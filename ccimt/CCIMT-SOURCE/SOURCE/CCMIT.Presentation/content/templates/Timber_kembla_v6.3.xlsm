
<file path=[Content_Types].xml><?xml version="1.0" encoding="utf-8"?>
<Types xmlns="http://schemas.openxmlformats.org/package/2006/content-types"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charts/chart78.xml" ContentType="application/vnd.openxmlformats-officedocument.drawingml.chart+xml"/>
  <Override PartName="/xl/vbaProject.bin" ContentType="application/vnd.ms-office.vbaProject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charts/chart49.xml" ContentType="application/vnd.openxmlformats-officedocument.drawingml.chart+xml"/>
  <Override PartName="/xl/charts/chart58.xml" ContentType="application/vnd.openxmlformats-officedocument.drawingml.chart+xml"/>
  <Override PartName="/xl/charts/chart67.xml" ContentType="application/vnd.openxmlformats-officedocument.drawingml.chart+xml"/>
  <Override PartName="/xl/charts/chart76.xml" ContentType="application/vnd.openxmlformats-officedocument.drawingml.chart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charts/chart56.xml" ContentType="application/vnd.openxmlformats-officedocument.drawingml.chart+xml"/>
  <Override PartName="/xl/charts/chart65.xml" ContentType="application/vnd.openxmlformats-officedocument.drawingml.chart+xml"/>
  <Override PartName="/xl/charts/chart74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54.xml" ContentType="application/vnd.openxmlformats-officedocument.drawingml.chart+xml"/>
  <Override PartName="/xl/charts/chart63.xml" ContentType="application/vnd.openxmlformats-officedocument.drawingml.chart+xml"/>
  <Override PartName="/xl/charts/chart72.xml" ContentType="application/vnd.openxmlformats-officedocument.drawingml.chart+xml"/>
  <Override PartName="/xl/charts/chart81.xml" ContentType="application/vnd.openxmlformats-officedocument.drawingml.char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52.xml" ContentType="application/vnd.openxmlformats-officedocument.drawingml.chart+xml"/>
  <Override PartName="/xl/charts/chart61.xml" ContentType="application/vnd.openxmlformats-officedocument.drawingml.chart+xml"/>
  <Override PartName="/xl/charts/chart70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Override PartName="/xl/ctrlProps/ctrlProp2.xml" ContentType="application/vnd.ms-excel.control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charts/chart3.xml" ContentType="application/vnd.openxmlformats-officedocument.drawingml.chart+xml"/>
  <Override PartName="/xl/charts/chart59.xml" ContentType="application/vnd.openxmlformats-officedocument.drawingml.chart+xml"/>
  <Default Extension="emf" ContentType="image/x-emf"/>
  <Override PartName="/xl/drawings/drawing5.xml" ContentType="application/vnd.openxmlformats-officedocument.drawing+xml"/>
  <Override PartName="/xl/charts/chart79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charts/chart39.xml" ContentType="application/vnd.openxmlformats-officedocument.drawingml.chart+xml"/>
  <Override PartName="/xl/drawings/drawing3.xml" ContentType="application/vnd.openxmlformats-officedocument.drawing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xl/charts/chart68.xml" ContentType="application/vnd.openxmlformats-officedocument.drawingml.chart+xml"/>
  <Override PartName="/xl/charts/chart77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Override PartName="/xl/charts/chart66.xml" ContentType="application/vnd.openxmlformats-officedocument.drawingml.chart+xml"/>
  <Override PartName="/xl/charts/chart75.xml" ContentType="application/vnd.openxmlformats-officedocument.drawingml.chart+xml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harts/chart64.xml" ContentType="application/vnd.openxmlformats-officedocument.drawingml.chart+xml"/>
  <Default Extension="vml" ContentType="application/vnd.openxmlformats-officedocument.vmlDrawing"/>
  <Override PartName="/xl/comments1.xml" ContentType="application/vnd.openxmlformats-officedocument.spreadsheetml.comments+xml"/>
  <Override PartName="/xl/charts/chart73.xml" ContentType="application/vnd.openxmlformats-officedocument.drawingml.chart+xml"/>
  <Override PartName="/xl/charts/chart82.xml" ContentType="application/vnd.openxmlformats-officedocument.drawingml.chart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charts/chart62.xml" ContentType="application/vnd.openxmlformats-officedocument.drawingml.chart+xml"/>
  <Override PartName="/xl/charts/chart71.xml" ContentType="application/vnd.openxmlformats-officedocument.drawingml.chart+xml"/>
  <Override PartName="/xl/charts/chart80.xml" ContentType="application/vnd.openxmlformats-officedocument.drawingml.char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60.xml" ContentType="application/vnd.openxmlformats-officedocument.drawingml.chart+xml"/>
  <Override PartName="/xl/ctrlProps/ctrlProp1.xml" ContentType="application/vnd.ms-excel.controlproperties+xml"/>
  <Override PartName="/docProps/core.xml" ContentType="application/vnd.openxmlformats-package.core-properties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69.xml" ContentType="application/vnd.openxmlformats-officedocument.drawingml.chart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720" yWindow="495" windowWidth="21840" windowHeight="13335" activeTab="4"/>
  </bookViews>
  <sheets>
    <sheet name="Baseline" sheetId="45" r:id="rId1"/>
    <sheet name="MostLikely" sheetId="46" r:id="rId2"/>
    <sheet name="Hotter&amp;Drier" sheetId="47" r:id="rId3"/>
    <sheet name="Cooler&amp;Wetter" sheetId="48" r:id="rId4"/>
    <sheet name="Coefficients" sheetId="2" r:id="rId5"/>
    <sheet name="InputData" sheetId="8" r:id="rId6"/>
    <sheet name="Mastersheet" sheetId="1" r:id="rId7"/>
  </sheets>
  <externalReferences>
    <externalReference r:id="rId8"/>
    <externalReference r:id="rId9"/>
  </externalReferences>
  <definedNames>
    <definedName name="CaO" localSheetId="0">[1]Coefficients!$B$2</definedName>
    <definedName name="CaO" localSheetId="3">[1]Coefficients!$B$2</definedName>
    <definedName name="CaO" localSheetId="2">[1]Coefficients!$B$2</definedName>
    <definedName name="CaO" localSheetId="1">[1]Coefficients!$B$2</definedName>
    <definedName name="CaO">[2]Coefficients!$B$2</definedName>
    <definedName name="kc" localSheetId="0">[1]Coefficients!$B$10</definedName>
    <definedName name="kc" localSheetId="3">[1]Coefficients!$B$10</definedName>
    <definedName name="kc" localSheetId="2">[1]Coefficients!$B$10</definedName>
    <definedName name="kc" localSheetId="1">[1]Coefficients!$B$10</definedName>
    <definedName name="kc">[2]Coefficients!$B$10</definedName>
    <definedName name="kt" localSheetId="0">[1]Coefficients!$B$11</definedName>
    <definedName name="kt" localSheetId="3">[1]Coefficients!$B$11</definedName>
    <definedName name="kt" localSheetId="2">[1]Coefficients!$B$11</definedName>
    <definedName name="kt" localSheetId="1">[1]Coefficients!$B$11</definedName>
    <definedName name="kt">[2]Coefficients!$B$11</definedName>
    <definedName name="kurban" localSheetId="0">[1]Coefficients!$B$5</definedName>
    <definedName name="kurban" localSheetId="3">[1]Coefficients!$B$5</definedName>
    <definedName name="kurban" localSheetId="2">[1]Coefficients!$B$5</definedName>
    <definedName name="kurban" localSheetId="1">[1]Coefficients!$B$5</definedName>
    <definedName name="kurban">[2]Coefficients!$B$5</definedName>
    <definedName name="MCaO" localSheetId="0">[1]Coefficients!$B$3</definedName>
    <definedName name="MCaO" localSheetId="3">[1]Coefficients!$B$3</definedName>
    <definedName name="MCaO" localSheetId="2">[1]Coefficients!$B$3</definedName>
    <definedName name="MCaO" localSheetId="1">[1]Coefficients!$B$3</definedName>
    <definedName name="MCaO">[2]Coefficients!$B$3</definedName>
    <definedName name="MCO2_" localSheetId="0">[1]Coefficients!$B$4</definedName>
    <definedName name="MCO2_" localSheetId="3">[1]Coefficients!$B$4</definedName>
    <definedName name="MCO2_" localSheetId="2">[1]Coefficients!$B$4</definedName>
    <definedName name="MCO2_" localSheetId="1">[1]Coefficients!$B$4</definedName>
    <definedName name="MCO2_">[2]Coefficients!$B$4</definedName>
    <definedName name="nm">[2]Coefficients!$B$6</definedName>
    <definedName name="RR" localSheetId="0">[1]Coefficients!$B$1</definedName>
    <definedName name="RR" localSheetId="3">[1]Coefficients!$B$1</definedName>
    <definedName name="RR" localSheetId="2">[1]Coefficients!$B$1</definedName>
    <definedName name="RR" localSheetId="1">[1]Coefficients!$B$1</definedName>
    <definedName name="RR">[2]Coefficients!$B$1</definedName>
    <definedName name="Z_631F6804_8E08_4B2F_9345_3C134C600F36_.wvu.Cols" localSheetId="3" hidden="1">'Cooler&amp;Wetter'!$CD:$CJ</definedName>
    <definedName name="Z_631F6804_8E08_4B2F_9345_3C134C600F36_.wvu.Cols" localSheetId="2" hidden="1">'Hotter&amp;Drier'!$CD:$CJ</definedName>
    <definedName name="Z_631F6804_8E08_4B2F_9345_3C134C600F36_.wvu.Cols" localSheetId="1" hidden="1">MostLikely!$CD:$CJ</definedName>
    <definedName name="Z_6EA53ED3_DD45_43C7_9D00_1DAD4247774B_.wvu.Cols" localSheetId="3" hidden="1">'Cooler&amp;Wetter'!$CD:$CJ</definedName>
    <definedName name="Z_6EA53ED3_DD45_43C7_9D00_1DAD4247774B_.wvu.Cols" localSheetId="2" hidden="1">'Hotter&amp;Drier'!$CD:$CJ</definedName>
    <definedName name="Z_6EA53ED3_DD45_43C7_9D00_1DAD4247774B_.wvu.Cols" localSheetId="1" hidden="1">MostLikely!$CD:$CJ</definedName>
    <definedName name="Z_C18760B8_B28E_4DA3_8AE1_F99984A3CA0A_.wvu.Cols" localSheetId="3" hidden="1">'Cooler&amp;Wetter'!$CD:$CJ</definedName>
    <definedName name="Z_C18760B8_B28E_4DA3_8AE1_F99984A3CA0A_.wvu.Cols" localSheetId="2" hidden="1">'Hotter&amp;Drier'!$CD:$CJ</definedName>
    <definedName name="Z_C18760B8_B28E_4DA3_8AE1_F99984A3CA0A_.wvu.Cols" localSheetId="1" hidden="1">MostLikely!$CD:$CJ</definedName>
  </definedNames>
  <calcPr calcId="145621"/>
</workbook>
</file>

<file path=xl/calcChain.xml><?xml version="1.0" encoding="utf-8"?>
<calcChain xmlns="http://schemas.openxmlformats.org/spreadsheetml/2006/main">
  <c r="AQ512" i="1"/>
  <c r="AQ511"/>
  <c r="AQ510"/>
  <c r="AQ509"/>
  <c r="AQ508"/>
  <c r="AQ507"/>
  <c r="AQ506"/>
  <c r="AQ505"/>
  <c r="AQ504"/>
  <c r="AQ503"/>
  <c r="AQ502"/>
  <c r="AQ501"/>
  <c r="AQ500"/>
  <c r="AQ499"/>
  <c r="AQ498"/>
  <c r="AQ497"/>
  <c r="AQ496"/>
  <c r="AQ495"/>
  <c r="AQ494"/>
  <c r="AQ493"/>
  <c r="AQ492"/>
  <c r="AQ491"/>
  <c r="AQ490"/>
  <c r="AQ489"/>
  <c r="AQ488"/>
  <c r="AQ487"/>
  <c r="AQ486"/>
  <c r="AQ485"/>
  <c r="AQ484"/>
  <c r="AQ483"/>
  <c r="AQ482"/>
  <c r="AQ481"/>
  <c r="AQ480"/>
  <c r="AQ479"/>
  <c r="AQ478"/>
  <c r="AQ477"/>
  <c r="AQ476"/>
  <c r="AQ475"/>
  <c r="AQ474"/>
  <c r="AQ473"/>
  <c r="AQ472"/>
  <c r="AQ471"/>
  <c r="AQ470"/>
  <c r="AQ469"/>
  <c r="AQ468"/>
  <c r="AQ467"/>
  <c r="AQ466"/>
  <c r="AQ465"/>
  <c r="AQ464"/>
  <c r="AQ463"/>
  <c r="AQ462"/>
  <c r="AQ461"/>
  <c r="AQ460"/>
  <c r="AQ459"/>
  <c r="AQ458"/>
  <c r="AQ457"/>
  <c r="AQ456"/>
  <c r="AQ455"/>
  <c r="AQ454"/>
  <c r="AQ453"/>
  <c r="AQ452"/>
  <c r="AQ451"/>
  <c r="AQ450"/>
  <c r="AQ449"/>
  <c r="AQ448"/>
  <c r="AQ447"/>
  <c r="AQ446"/>
  <c r="AQ445"/>
  <c r="AQ444"/>
  <c r="AQ443"/>
  <c r="AQ442"/>
  <c r="AQ440"/>
  <c r="AQ439"/>
  <c r="AQ438"/>
  <c r="AQ437"/>
  <c r="AQ436"/>
  <c r="AQ435"/>
  <c r="AQ434"/>
  <c r="AQ433"/>
  <c r="AQ432"/>
  <c r="AQ431"/>
  <c r="AQ430"/>
  <c r="AQ429"/>
  <c r="AQ428"/>
  <c r="AQ427"/>
  <c r="AQ426"/>
  <c r="AQ425"/>
  <c r="AQ424"/>
  <c r="AQ423"/>
  <c r="AQ422"/>
  <c r="AQ421"/>
  <c r="AQ420"/>
  <c r="AQ419"/>
  <c r="AQ418"/>
  <c r="AQ417"/>
  <c r="AQ416"/>
  <c r="AQ415"/>
  <c r="AQ414"/>
  <c r="AQ413"/>
  <c r="AQ412"/>
  <c r="AQ411"/>
  <c r="AQ410"/>
  <c r="AQ409"/>
  <c r="AQ408"/>
  <c r="AQ407"/>
  <c r="AQ406"/>
  <c r="AQ405"/>
  <c r="AQ404"/>
  <c r="AQ403"/>
  <c r="AQ402"/>
  <c r="AQ401"/>
  <c r="AQ400"/>
  <c r="AQ399"/>
  <c r="AQ398"/>
  <c r="AQ397"/>
  <c r="AQ396"/>
  <c r="AQ395"/>
  <c r="AQ394"/>
  <c r="AQ393"/>
  <c r="AQ392"/>
  <c r="AQ391"/>
  <c r="AQ390"/>
  <c r="AQ389"/>
  <c r="AQ388"/>
  <c r="AQ387"/>
  <c r="AQ386"/>
  <c r="AQ385"/>
  <c r="AQ384"/>
  <c r="AQ383"/>
  <c r="AQ382"/>
  <c r="AQ381"/>
  <c r="AQ380"/>
  <c r="AQ379"/>
  <c r="AQ378"/>
  <c r="AQ377"/>
  <c r="AQ376"/>
  <c r="AQ375"/>
  <c r="AQ374"/>
  <c r="AQ373"/>
  <c r="AQ372"/>
  <c r="AQ371"/>
  <c r="AQ370"/>
  <c r="AQ368"/>
  <c r="AQ367"/>
  <c r="AQ366"/>
  <c r="AQ365"/>
  <c r="AQ364"/>
  <c r="AQ363"/>
  <c r="AQ362"/>
  <c r="AQ361"/>
  <c r="AQ360"/>
  <c r="AQ359"/>
  <c r="AQ358"/>
  <c r="AQ357"/>
  <c r="AQ356"/>
  <c r="AQ355"/>
  <c r="AQ354"/>
  <c r="AQ353"/>
  <c r="AQ352"/>
  <c r="AQ351"/>
  <c r="AQ350"/>
  <c r="AQ349"/>
  <c r="AQ348"/>
  <c r="AQ347"/>
  <c r="AQ346"/>
  <c r="AQ345"/>
  <c r="AQ344"/>
  <c r="AQ343"/>
  <c r="AQ342"/>
  <c r="AQ341"/>
  <c r="AQ340"/>
  <c r="AQ339"/>
  <c r="AQ338"/>
  <c r="AQ337"/>
  <c r="AQ336"/>
  <c r="AQ335"/>
  <c r="AQ334"/>
  <c r="AQ333"/>
  <c r="AQ332"/>
  <c r="AQ331"/>
  <c r="AQ330"/>
  <c r="AQ329"/>
  <c r="AQ328"/>
  <c r="AQ327"/>
  <c r="AQ326"/>
  <c r="AQ325"/>
  <c r="AQ324"/>
  <c r="AQ323"/>
  <c r="AQ322"/>
  <c r="AQ321"/>
  <c r="AQ320"/>
  <c r="AQ319"/>
  <c r="AQ318"/>
  <c r="AQ317"/>
  <c r="AQ316"/>
  <c r="AQ315"/>
  <c r="AQ314"/>
  <c r="AQ313"/>
  <c r="AQ312"/>
  <c r="AQ311"/>
  <c r="AQ310"/>
  <c r="AQ309"/>
  <c r="AQ308"/>
  <c r="AQ307"/>
  <c r="AQ306"/>
  <c r="AQ305"/>
  <c r="AQ304"/>
  <c r="AQ303"/>
  <c r="AQ302"/>
  <c r="AQ301"/>
  <c r="AQ300"/>
  <c r="AQ299"/>
  <c r="AQ298"/>
  <c r="AQ296"/>
  <c r="AQ295"/>
  <c r="AQ294"/>
  <c r="AQ293"/>
  <c r="AQ292"/>
  <c r="AQ291"/>
  <c r="AQ290"/>
  <c r="AQ289"/>
  <c r="AQ288"/>
  <c r="AQ287"/>
  <c r="AQ286"/>
  <c r="AQ285"/>
  <c r="AQ284"/>
  <c r="AQ283"/>
  <c r="AQ282"/>
  <c r="AQ281"/>
  <c r="AQ280"/>
  <c r="AQ279"/>
  <c r="AQ278"/>
  <c r="AQ277"/>
  <c r="AQ276"/>
  <c r="AQ275"/>
  <c r="AQ274"/>
  <c r="AQ273"/>
  <c r="AQ272"/>
  <c r="AQ271"/>
  <c r="AQ270"/>
  <c r="AQ269"/>
  <c r="AQ268"/>
  <c r="AQ267"/>
  <c r="AQ266"/>
  <c r="AQ265"/>
  <c r="AQ264"/>
  <c r="AQ263"/>
  <c r="AQ262"/>
  <c r="AQ261"/>
  <c r="AQ260"/>
  <c r="AQ259"/>
  <c r="AQ258"/>
  <c r="AQ257"/>
  <c r="AQ256"/>
  <c r="AQ255"/>
  <c r="AQ254"/>
  <c r="AQ253"/>
  <c r="AQ252"/>
  <c r="AQ251"/>
  <c r="AQ250"/>
  <c r="AQ249"/>
  <c r="AQ248"/>
  <c r="AQ247"/>
  <c r="AQ246"/>
  <c r="AQ245"/>
  <c r="AQ244"/>
  <c r="AQ243"/>
  <c r="AQ242"/>
  <c r="AQ241"/>
  <c r="AQ240"/>
  <c r="AQ239"/>
  <c r="AQ238"/>
  <c r="AQ237"/>
  <c r="AQ236"/>
  <c r="AQ235"/>
  <c r="AQ234"/>
  <c r="AQ233"/>
  <c r="AQ232"/>
  <c r="AQ231"/>
  <c r="AQ230"/>
  <c r="AQ229"/>
  <c r="AQ228"/>
  <c r="AQ227"/>
  <c r="AQ226"/>
  <c r="AQ224"/>
  <c r="AQ223"/>
  <c r="AQ222"/>
  <c r="AQ221"/>
  <c r="AQ220"/>
  <c r="AQ219"/>
  <c r="AQ218"/>
  <c r="AQ217"/>
  <c r="AQ216"/>
  <c r="AQ215"/>
  <c r="AQ214"/>
  <c r="AQ213"/>
  <c r="AQ212"/>
  <c r="AQ211"/>
  <c r="AQ210"/>
  <c r="AQ209"/>
  <c r="AQ208"/>
  <c r="AQ207"/>
  <c r="AQ206"/>
  <c r="AQ205"/>
  <c r="AQ204"/>
  <c r="AQ203"/>
  <c r="AQ202"/>
  <c r="AQ201"/>
  <c r="AQ200"/>
  <c r="AQ199"/>
  <c r="AQ198"/>
  <c r="AQ197"/>
  <c r="AQ196"/>
  <c r="AQ195"/>
  <c r="AQ194"/>
  <c r="AQ193"/>
  <c r="AQ192"/>
  <c r="AQ191"/>
  <c r="AQ190"/>
  <c r="AQ189"/>
  <c r="AQ188"/>
  <c r="AQ187"/>
  <c r="AQ186"/>
  <c r="AQ185"/>
  <c r="AQ184"/>
  <c r="AQ183"/>
  <c r="AQ182"/>
  <c r="AQ181"/>
  <c r="AQ180"/>
  <c r="AQ179"/>
  <c r="AQ178"/>
  <c r="AQ177"/>
  <c r="AQ176"/>
  <c r="AQ175"/>
  <c r="AQ174"/>
  <c r="AQ173"/>
  <c r="AQ172"/>
  <c r="AQ171"/>
  <c r="AQ170"/>
  <c r="AQ169"/>
  <c r="AQ168"/>
  <c r="AQ167"/>
  <c r="AQ166"/>
  <c r="AQ165"/>
  <c r="AQ164"/>
  <c r="AQ163"/>
  <c r="AQ162"/>
  <c r="AQ161"/>
  <c r="AQ160"/>
  <c r="AQ159"/>
  <c r="AQ158"/>
  <c r="AQ157"/>
  <c r="AQ156"/>
  <c r="AQ155"/>
  <c r="AQ154"/>
  <c r="AQ152"/>
  <c r="AQ151"/>
  <c r="AQ150"/>
  <c r="AQ149"/>
  <c r="AQ148"/>
  <c r="AQ147"/>
  <c r="AQ146"/>
  <c r="AQ145"/>
  <c r="AQ144"/>
  <c r="AQ143"/>
  <c r="AQ142"/>
  <c r="AQ141"/>
  <c r="AQ140"/>
  <c r="AQ139"/>
  <c r="AQ138"/>
  <c r="AQ137"/>
  <c r="AQ136"/>
  <c r="AQ135"/>
  <c r="AQ134"/>
  <c r="AQ133"/>
  <c r="AQ132"/>
  <c r="AQ131"/>
  <c r="AQ130"/>
  <c r="AQ129"/>
  <c r="AQ128"/>
  <c r="AQ127"/>
  <c r="AQ126"/>
  <c r="AQ125"/>
  <c r="AQ124"/>
  <c r="AQ123"/>
  <c r="AQ122"/>
  <c r="AQ121"/>
  <c r="AQ120"/>
  <c r="AQ119"/>
  <c r="AQ118"/>
  <c r="AQ117"/>
  <c r="AQ116"/>
  <c r="AQ115"/>
  <c r="AQ114"/>
  <c r="AQ113"/>
  <c r="AQ112"/>
  <c r="AQ111"/>
  <c r="AQ110"/>
  <c r="AQ109"/>
  <c r="AQ108"/>
  <c r="AQ107"/>
  <c r="AQ106"/>
  <c r="AQ105"/>
  <c r="AQ104"/>
  <c r="AQ103"/>
  <c r="AQ102"/>
  <c r="AQ101"/>
  <c r="AQ100"/>
  <c r="AQ99"/>
  <c r="AQ98"/>
  <c r="AQ97"/>
  <c r="AQ96"/>
  <c r="AQ95"/>
  <c r="AQ94"/>
  <c r="AQ93"/>
  <c r="AQ92"/>
  <c r="AQ91"/>
  <c r="AQ90"/>
  <c r="AQ89"/>
  <c r="AQ88"/>
  <c r="AQ87"/>
  <c r="AQ86"/>
  <c r="AQ85"/>
  <c r="AQ84"/>
  <c r="AQ83"/>
  <c r="AQ82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10"/>
  <c r="E371" l="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370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298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82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154"/>
  <c r="AM512" l="1"/>
  <c r="AM511"/>
  <c r="AM510"/>
  <c r="AM509"/>
  <c r="AM508"/>
  <c r="AM507"/>
  <c r="AM506"/>
  <c r="AM505"/>
  <c r="AM504"/>
  <c r="AM503"/>
  <c r="AM502"/>
  <c r="AM501"/>
  <c r="AM500"/>
  <c r="AM499"/>
  <c r="AM498"/>
  <c r="AM497"/>
  <c r="AM496"/>
  <c r="AM495"/>
  <c r="AM494"/>
  <c r="AM493"/>
  <c r="AM492"/>
  <c r="AM491"/>
  <c r="AM490"/>
  <c r="AM489"/>
  <c r="AM488"/>
  <c r="AM487"/>
  <c r="AM486"/>
  <c r="AM485"/>
  <c r="AM484"/>
  <c r="AM483"/>
  <c r="AM482"/>
  <c r="AM481"/>
  <c r="AM480"/>
  <c r="AM479"/>
  <c r="AM478"/>
  <c r="AM477"/>
  <c r="AM476"/>
  <c r="AM475"/>
  <c r="AM474"/>
  <c r="AM473"/>
  <c r="AM472"/>
  <c r="AM471"/>
  <c r="AM470"/>
  <c r="AM469"/>
  <c r="AM468"/>
  <c r="AM467"/>
  <c r="AM466"/>
  <c r="AM465"/>
  <c r="AM464"/>
  <c r="AM463"/>
  <c r="AM462"/>
  <c r="AM461"/>
  <c r="AM460"/>
  <c r="AM459"/>
  <c r="AM458"/>
  <c r="AM457"/>
  <c r="AM456"/>
  <c r="AM455"/>
  <c r="AM454"/>
  <c r="AM453"/>
  <c r="AM452"/>
  <c r="AM451"/>
  <c r="AM450"/>
  <c r="AM449"/>
  <c r="AM448"/>
  <c r="AM447"/>
  <c r="AM446"/>
  <c r="AM445"/>
  <c r="AM444"/>
  <c r="AM443"/>
  <c r="AM442"/>
  <c r="AM440"/>
  <c r="AM439"/>
  <c r="AM438"/>
  <c r="AM437"/>
  <c r="AM436"/>
  <c r="AM435"/>
  <c r="AM434"/>
  <c r="AM433"/>
  <c r="AM432"/>
  <c r="AM431"/>
  <c r="AM430"/>
  <c r="AM429"/>
  <c r="AM428"/>
  <c r="AM427"/>
  <c r="AM426"/>
  <c r="AM425"/>
  <c r="AM424"/>
  <c r="AM423"/>
  <c r="AM422"/>
  <c r="AM421"/>
  <c r="AM420"/>
  <c r="AM419"/>
  <c r="AM418"/>
  <c r="AM417"/>
  <c r="AM416"/>
  <c r="AM415"/>
  <c r="AM414"/>
  <c r="AM413"/>
  <c r="AM412"/>
  <c r="AM411"/>
  <c r="AM410"/>
  <c r="AM409"/>
  <c r="AM408"/>
  <c r="AM407"/>
  <c r="AM406"/>
  <c r="AM405"/>
  <c r="AM404"/>
  <c r="AM403"/>
  <c r="AM402"/>
  <c r="AM401"/>
  <c r="AM400"/>
  <c r="AM399"/>
  <c r="AM398"/>
  <c r="AM397"/>
  <c r="AM396"/>
  <c r="AM395"/>
  <c r="AM394"/>
  <c r="AM393"/>
  <c r="AM392"/>
  <c r="AM391"/>
  <c r="AM390"/>
  <c r="AM389"/>
  <c r="AM388"/>
  <c r="AM387"/>
  <c r="AM386"/>
  <c r="AM385"/>
  <c r="AM384"/>
  <c r="AM383"/>
  <c r="AM382"/>
  <c r="AM381"/>
  <c r="AM380"/>
  <c r="AM379"/>
  <c r="AM378"/>
  <c r="AM377"/>
  <c r="AM376"/>
  <c r="AM375"/>
  <c r="AM374"/>
  <c r="AM373"/>
  <c r="AM372"/>
  <c r="AM371"/>
  <c r="AM370"/>
  <c r="AM368"/>
  <c r="AM367"/>
  <c r="AM366"/>
  <c r="AM365"/>
  <c r="AM364"/>
  <c r="AM363"/>
  <c r="AM362"/>
  <c r="AM361"/>
  <c r="AM360"/>
  <c r="AM359"/>
  <c r="AM358"/>
  <c r="AM357"/>
  <c r="AM356"/>
  <c r="AM355"/>
  <c r="AM354"/>
  <c r="AM353"/>
  <c r="AM352"/>
  <c r="AM351"/>
  <c r="AM350"/>
  <c r="AM349"/>
  <c r="AM348"/>
  <c r="AM347"/>
  <c r="AM346"/>
  <c r="AM345"/>
  <c r="AM344"/>
  <c r="AM343"/>
  <c r="AM342"/>
  <c r="AM341"/>
  <c r="AM340"/>
  <c r="AM339"/>
  <c r="AM338"/>
  <c r="AM337"/>
  <c r="AM336"/>
  <c r="AM335"/>
  <c r="AM334"/>
  <c r="AM333"/>
  <c r="AM332"/>
  <c r="AM331"/>
  <c r="AM330"/>
  <c r="AM329"/>
  <c r="AM328"/>
  <c r="AM327"/>
  <c r="AM326"/>
  <c r="AM325"/>
  <c r="AM324"/>
  <c r="AM323"/>
  <c r="AM322"/>
  <c r="AM321"/>
  <c r="AM320"/>
  <c r="AM319"/>
  <c r="AM318"/>
  <c r="AM317"/>
  <c r="AM316"/>
  <c r="AM315"/>
  <c r="AM314"/>
  <c r="AM313"/>
  <c r="AM312"/>
  <c r="AM311"/>
  <c r="AM310"/>
  <c r="AM309"/>
  <c r="AM308"/>
  <c r="AM307"/>
  <c r="AM306"/>
  <c r="AM305"/>
  <c r="AM304"/>
  <c r="AM303"/>
  <c r="AM302"/>
  <c r="AM301"/>
  <c r="AM300"/>
  <c r="AM299"/>
  <c r="AM298"/>
  <c r="AM296"/>
  <c r="AM295"/>
  <c r="AM294"/>
  <c r="AM293"/>
  <c r="AM292"/>
  <c r="AM291"/>
  <c r="AM290"/>
  <c r="AM289"/>
  <c r="AM288"/>
  <c r="AM287"/>
  <c r="AM286"/>
  <c r="AM285"/>
  <c r="AM284"/>
  <c r="AM283"/>
  <c r="AM282"/>
  <c r="AM281"/>
  <c r="AM280"/>
  <c r="AM279"/>
  <c r="AM278"/>
  <c r="AM277"/>
  <c r="AM276"/>
  <c r="AM275"/>
  <c r="AM274"/>
  <c r="AM273"/>
  <c r="AM272"/>
  <c r="AM271"/>
  <c r="AM270"/>
  <c r="AM269"/>
  <c r="AM268"/>
  <c r="AM267"/>
  <c r="AM266"/>
  <c r="AM265"/>
  <c r="AM264"/>
  <c r="AM263"/>
  <c r="AM262"/>
  <c r="AM261"/>
  <c r="AM260"/>
  <c r="AM259"/>
  <c r="AM258"/>
  <c r="AM257"/>
  <c r="AM256"/>
  <c r="AM255"/>
  <c r="AM254"/>
  <c r="AM253"/>
  <c r="AM252"/>
  <c r="AM251"/>
  <c r="AM250"/>
  <c r="AM249"/>
  <c r="AM248"/>
  <c r="AM247"/>
  <c r="AM246"/>
  <c r="AM245"/>
  <c r="AM244"/>
  <c r="AM243"/>
  <c r="AM242"/>
  <c r="AM241"/>
  <c r="AM240"/>
  <c r="AM239"/>
  <c r="AM238"/>
  <c r="AM237"/>
  <c r="AM236"/>
  <c r="AM235"/>
  <c r="AM234"/>
  <c r="AM233"/>
  <c r="AM232"/>
  <c r="AM231"/>
  <c r="AM230"/>
  <c r="AM229"/>
  <c r="AM228"/>
  <c r="AM227"/>
  <c r="AM226"/>
  <c r="AM224"/>
  <c r="AM223"/>
  <c r="AM222"/>
  <c r="AM221"/>
  <c r="AM220"/>
  <c r="AM219"/>
  <c r="AM218"/>
  <c r="AM217"/>
  <c r="AM216"/>
  <c r="AM215"/>
  <c r="AM214"/>
  <c r="AM213"/>
  <c r="AM212"/>
  <c r="AM211"/>
  <c r="AM210"/>
  <c r="AM209"/>
  <c r="AM208"/>
  <c r="AM207"/>
  <c r="AM206"/>
  <c r="AM205"/>
  <c r="AM204"/>
  <c r="AM203"/>
  <c r="AM202"/>
  <c r="AM201"/>
  <c r="AM200"/>
  <c r="AM199"/>
  <c r="AM198"/>
  <c r="AM197"/>
  <c r="AM196"/>
  <c r="AM195"/>
  <c r="AM194"/>
  <c r="AM193"/>
  <c r="AM192"/>
  <c r="AM191"/>
  <c r="AM190"/>
  <c r="AM189"/>
  <c r="AM188"/>
  <c r="AM187"/>
  <c r="AM186"/>
  <c r="AM185"/>
  <c r="AM184"/>
  <c r="AM183"/>
  <c r="AM182"/>
  <c r="AM181"/>
  <c r="AM180"/>
  <c r="AM179"/>
  <c r="AM178"/>
  <c r="AM177"/>
  <c r="AM176"/>
  <c r="AM175"/>
  <c r="AM174"/>
  <c r="AM173"/>
  <c r="AM172"/>
  <c r="AM171"/>
  <c r="AM170"/>
  <c r="AM169"/>
  <c r="AM168"/>
  <c r="AM167"/>
  <c r="AM166"/>
  <c r="AM165"/>
  <c r="AM164"/>
  <c r="AM163"/>
  <c r="AM162"/>
  <c r="AM161"/>
  <c r="AM160"/>
  <c r="AM159"/>
  <c r="AM158"/>
  <c r="AM157"/>
  <c r="AM156"/>
  <c r="AM155"/>
  <c r="AM154"/>
  <c r="AM152"/>
  <c r="AM151"/>
  <c r="AM150"/>
  <c r="AM149"/>
  <c r="AM148"/>
  <c r="AM147"/>
  <c r="AM146"/>
  <c r="AM145"/>
  <c r="AM144"/>
  <c r="AM143"/>
  <c r="AM142"/>
  <c r="AM141"/>
  <c r="AM140"/>
  <c r="AM139"/>
  <c r="AM138"/>
  <c r="AM137"/>
  <c r="AM136"/>
  <c r="AM135"/>
  <c r="AM134"/>
  <c r="AM133"/>
  <c r="AM132"/>
  <c r="AM131"/>
  <c r="AM130"/>
  <c r="AM129"/>
  <c r="AM128"/>
  <c r="AM127"/>
  <c r="AM126"/>
  <c r="AM125"/>
  <c r="AM124"/>
  <c r="AM123"/>
  <c r="AM122"/>
  <c r="AM121"/>
  <c r="AM120"/>
  <c r="AM119"/>
  <c r="AM118"/>
  <c r="AM117"/>
  <c r="AM116"/>
  <c r="AM115"/>
  <c r="AM114"/>
  <c r="AM113"/>
  <c r="AM112"/>
  <c r="AM111"/>
  <c r="AM110"/>
  <c r="AM109"/>
  <c r="AM108"/>
  <c r="AM107"/>
  <c r="AM106"/>
  <c r="AM105"/>
  <c r="AM104"/>
  <c r="AM103"/>
  <c r="AM102"/>
  <c r="AM101"/>
  <c r="AM100"/>
  <c r="AM99"/>
  <c r="AM98"/>
  <c r="AM97"/>
  <c r="AM96"/>
  <c r="AM95"/>
  <c r="AM94"/>
  <c r="AM93"/>
  <c r="AM92"/>
  <c r="AM91"/>
  <c r="AM90"/>
  <c r="AM89"/>
  <c r="AM88"/>
  <c r="AM87"/>
  <c r="AM86"/>
  <c r="AM85"/>
  <c r="AM84"/>
  <c r="AM83"/>
  <c r="AM82"/>
  <c r="AM11"/>
  <c r="AM12"/>
  <c r="AM13"/>
  <c r="AM14"/>
  <c r="AM15"/>
  <c r="AM16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10"/>
  <c r="AH2" i="48" l="1"/>
  <c r="AH2" i="47"/>
  <c r="AH2" i="46"/>
  <c r="E443" i="1" l="1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442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26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442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370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298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26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154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82"/>
  <c r="F10" l="1"/>
  <c r="F11" l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E10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442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370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298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26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154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82"/>
  <c r="AF18" i="48"/>
  <c r="AE18"/>
  <c r="AB18"/>
  <c r="AA18"/>
  <c r="AD18"/>
  <c r="AC18"/>
  <c r="Z18"/>
  <c r="Y18"/>
  <c r="X18"/>
  <c r="W18"/>
  <c r="V18"/>
  <c r="U18"/>
  <c r="T18"/>
  <c r="S18"/>
  <c r="AD18" i="47"/>
  <c r="AC18"/>
  <c r="Z18"/>
  <c r="Y18"/>
  <c r="X18"/>
  <c r="W18"/>
  <c r="V18"/>
  <c r="U18"/>
  <c r="T18"/>
  <c r="S18"/>
  <c r="AD18" i="46"/>
  <c r="AC18"/>
  <c r="Z18"/>
  <c r="Y18"/>
  <c r="X18"/>
  <c r="W18"/>
  <c r="V18"/>
  <c r="U18"/>
  <c r="T18"/>
  <c r="S18"/>
  <c r="CJ98" i="48" l="1"/>
  <c r="CG98"/>
  <c r="O98"/>
  <c r="N98"/>
  <c r="M98"/>
  <c r="L98"/>
  <c r="K98"/>
  <c r="J98"/>
  <c r="I98"/>
  <c r="H98"/>
  <c r="G98"/>
  <c r="F98"/>
  <c r="E98"/>
  <c r="D98"/>
  <c r="C98"/>
  <c r="B98"/>
  <c r="CJ97"/>
  <c r="CG97"/>
  <c r="CJ96"/>
  <c r="CG96"/>
  <c r="CJ95"/>
  <c r="CG95"/>
  <c r="CJ94"/>
  <c r="CG94"/>
  <c r="CJ93"/>
  <c r="CG93"/>
  <c r="CJ92"/>
  <c r="CG92"/>
  <c r="CJ91"/>
  <c r="CG91"/>
  <c r="CJ90"/>
  <c r="CG90"/>
  <c r="CJ89"/>
  <c r="CG89"/>
  <c r="CJ88"/>
  <c r="CG88"/>
  <c r="CJ87"/>
  <c r="CG87"/>
  <c r="CJ86"/>
  <c r="CG86"/>
  <c r="CJ85"/>
  <c r="CG85"/>
  <c r="CJ84"/>
  <c r="CG84"/>
  <c r="CJ83"/>
  <c r="CG83"/>
  <c r="CJ82"/>
  <c r="CG82"/>
  <c r="CJ81"/>
  <c r="CG81"/>
  <c r="CJ80"/>
  <c r="CG80"/>
  <c r="CJ79"/>
  <c r="CG79"/>
  <c r="CJ78"/>
  <c r="CG78"/>
  <c r="O78"/>
  <c r="O79" s="1"/>
  <c r="O80" s="1"/>
  <c r="O81" s="1"/>
  <c r="O82" s="1"/>
  <c r="O83" s="1"/>
  <c r="O84" s="1"/>
  <c r="O85" s="1"/>
  <c r="O86" s="1"/>
  <c r="O87" s="1"/>
  <c r="O88" s="1"/>
  <c r="O89" s="1"/>
  <c r="O90" s="1"/>
  <c r="O91" s="1"/>
  <c r="O92" s="1"/>
  <c r="O93" s="1"/>
  <c r="O94" s="1"/>
  <c r="O95" s="1"/>
  <c r="O96" s="1"/>
  <c r="O97" s="1"/>
  <c r="N78"/>
  <c r="N79" s="1"/>
  <c r="N80" s="1"/>
  <c r="N81" s="1"/>
  <c r="N82" s="1"/>
  <c r="N83" s="1"/>
  <c r="N84" s="1"/>
  <c r="N85" s="1"/>
  <c r="N86" s="1"/>
  <c r="N87" s="1"/>
  <c r="N88" s="1"/>
  <c r="N89" s="1"/>
  <c r="N90" s="1"/>
  <c r="N91" s="1"/>
  <c r="N92" s="1"/>
  <c r="N93" s="1"/>
  <c r="N94" s="1"/>
  <c r="N95" s="1"/>
  <c r="N96" s="1"/>
  <c r="N97" s="1"/>
  <c r="M78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M94" s="1"/>
  <c r="M95" s="1"/>
  <c r="M96" s="1"/>
  <c r="M97" s="1"/>
  <c r="L78"/>
  <c r="L79" s="1"/>
  <c r="L80" s="1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K78"/>
  <c r="K79" s="1"/>
  <c r="K80" s="1"/>
  <c r="K81" s="1"/>
  <c r="K82" s="1"/>
  <c r="K83" s="1"/>
  <c r="K84" s="1"/>
  <c r="K85" s="1"/>
  <c r="K86" s="1"/>
  <c r="K87" s="1"/>
  <c r="K88" s="1"/>
  <c r="K89" s="1"/>
  <c r="K90" s="1"/>
  <c r="K91" s="1"/>
  <c r="K92" s="1"/>
  <c r="K93" s="1"/>
  <c r="K94" s="1"/>
  <c r="K95" s="1"/>
  <c r="K96" s="1"/>
  <c r="K97" s="1"/>
  <c r="J78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I78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H78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G78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F78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E78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D78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C78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B78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CJ77"/>
  <c r="CG77"/>
  <c r="CJ76"/>
  <c r="CG76"/>
  <c r="CJ75"/>
  <c r="CG75"/>
  <c r="CJ74"/>
  <c r="CG74"/>
  <c r="CJ73"/>
  <c r="CG73"/>
  <c r="CJ72"/>
  <c r="CG72"/>
  <c r="CJ71"/>
  <c r="CG71"/>
  <c r="CJ70"/>
  <c r="CG70"/>
  <c r="CJ69"/>
  <c r="CG69"/>
  <c r="CJ68"/>
  <c r="CG68"/>
  <c r="CJ67"/>
  <c r="CG67"/>
  <c r="CJ66"/>
  <c r="CG66"/>
  <c r="CJ65"/>
  <c r="CG65"/>
  <c r="CJ64"/>
  <c r="CG64"/>
  <c r="CJ63"/>
  <c r="CG63"/>
  <c r="CJ62"/>
  <c r="CG62"/>
  <c r="CJ61"/>
  <c r="CG61"/>
  <c r="CJ60"/>
  <c r="CG60"/>
  <c r="N60"/>
  <c r="N61" s="1"/>
  <c r="N62" s="1"/>
  <c r="N63" s="1"/>
  <c r="N64" s="1"/>
  <c r="N65" s="1"/>
  <c r="N66" s="1"/>
  <c r="N67" s="1"/>
  <c r="N68" s="1"/>
  <c r="N69" s="1"/>
  <c r="N70" s="1"/>
  <c r="N71" s="1"/>
  <c r="N72" s="1"/>
  <c r="N73" s="1"/>
  <c r="N74" s="1"/>
  <c r="N75" s="1"/>
  <c r="N76" s="1"/>
  <c r="N77" s="1"/>
  <c r="F60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CJ59"/>
  <c r="CG59"/>
  <c r="I59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F59"/>
  <c r="E59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B59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CJ58"/>
  <c r="CG58"/>
  <c r="O58"/>
  <c r="O59" s="1"/>
  <c r="O60" s="1"/>
  <c r="O61" s="1"/>
  <c r="O62" s="1"/>
  <c r="O63" s="1"/>
  <c r="O64" s="1"/>
  <c r="O65" s="1"/>
  <c r="O66" s="1"/>
  <c r="O67" s="1"/>
  <c r="O68" s="1"/>
  <c r="O69" s="1"/>
  <c r="O70" s="1"/>
  <c r="O71" s="1"/>
  <c r="O72" s="1"/>
  <c r="O73" s="1"/>
  <c r="O74" s="1"/>
  <c r="O75" s="1"/>
  <c r="O76" s="1"/>
  <c r="O77" s="1"/>
  <c r="N58"/>
  <c r="N59" s="1"/>
  <c r="M58"/>
  <c r="M59" s="1"/>
  <c r="M60" s="1"/>
  <c r="M61" s="1"/>
  <c r="M62" s="1"/>
  <c r="M63" s="1"/>
  <c r="M64" s="1"/>
  <c r="M65" s="1"/>
  <c r="M66" s="1"/>
  <c r="M67" s="1"/>
  <c r="M68" s="1"/>
  <c r="M69" s="1"/>
  <c r="M70" s="1"/>
  <c r="M71" s="1"/>
  <c r="M72" s="1"/>
  <c r="M73" s="1"/>
  <c r="M74" s="1"/>
  <c r="M75" s="1"/>
  <c r="M76" s="1"/>
  <c r="M77" s="1"/>
  <c r="L58"/>
  <c r="L59" s="1"/>
  <c r="L60" s="1"/>
  <c r="L61" s="1"/>
  <c r="L62" s="1"/>
  <c r="L63" s="1"/>
  <c r="L64" s="1"/>
  <c r="L65" s="1"/>
  <c r="L66" s="1"/>
  <c r="L67" s="1"/>
  <c r="L68" s="1"/>
  <c r="L69" s="1"/>
  <c r="L70" s="1"/>
  <c r="L71" s="1"/>
  <c r="L72" s="1"/>
  <c r="L73" s="1"/>
  <c r="L74" s="1"/>
  <c r="L75" s="1"/>
  <c r="L76" s="1"/>
  <c r="L77" s="1"/>
  <c r="K58"/>
  <c r="K59" s="1"/>
  <c r="K60" s="1"/>
  <c r="K61" s="1"/>
  <c r="K62" s="1"/>
  <c r="K63" s="1"/>
  <c r="K64" s="1"/>
  <c r="K65" s="1"/>
  <c r="K66" s="1"/>
  <c r="K67" s="1"/>
  <c r="K68" s="1"/>
  <c r="K69" s="1"/>
  <c r="K70" s="1"/>
  <c r="K71" s="1"/>
  <c r="K72" s="1"/>
  <c r="K73" s="1"/>
  <c r="K74" s="1"/>
  <c r="K75" s="1"/>
  <c r="K76" s="1"/>
  <c r="K77" s="1"/>
  <c r="J58"/>
  <c r="J59" s="1"/>
  <c r="J60" s="1"/>
  <c r="J61" s="1"/>
  <c r="J62" s="1"/>
  <c r="J63" s="1"/>
  <c r="J64" s="1"/>
  <c r="J65" s="1"/>
  <c r="J66" s="1"/>
  <c r="J67" s="1"/>
  <c r="J68" s="1"/>
  <c r="J69" s="1"/>
  <c r="J70" s="1"/>
  <c r="J71" s="1"/>
  <c r="J72" s="1"/>
  <c r="J73" s="1"/>
  <c r="J74" s="1"/>
  <c r="J75" s="1"/>
  <c r="J76" s="1"/>
  <c r="J77" s="1"/>
  <c r="I58"/>
  <c r="H58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G58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F58"/>
  <c r="E58"/>
  <c r="D58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C58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B58"/>
  <c r="CJ57"/>
  <c r="CG57"/>
  <c r="CJ56"/>
  <c r="CG56"/>
  <c r="CJ55"/>
  <c r="CG55"/>
  <c r="CJ54"/>
  <c r="CG54"/>
  <c r="CJ53"/>
  <c r="CG53"/>
  <c r="CJ52"/>
  <c r="CG52"/>
  <c r="CJ51"/>
  <c r="CG51"/>
  <c r="CJ50"/>
  <c r="CG50"/>
  <c r="CJ49"/>
  <c r="CG49"/>
  <c r="CJ48"/>
  <c r="CG48"/>
  <c r="CJ47"/>
  <c r="CG47"/>
  <c r="CJ46"/>
  <c r="CG46"/>
  <c r="CJ45"/>
  <c r="CG45"/>
  <c r="CJ44"/>
  <c r="CG44"/>
  <c r="CJ43"/>
  <c r="CG43"/>
  <c r="CJ42"/>
  <c r="CG42"/>
  <c r="CJ41"/>
  <c r="CG41"/>
  <c r="CJ40"/>
  <c r="CG40"/>
  <c r="O40"/>
  <c r="O41" s="1"/>
  <c r="O42" s="1"/>
  <c r="O43" s="1"/>
  <c r="O44" s="1"/>
  <c r="O45" s="1"/>
  <c r="O46" s="1"/>
  <c r="O47" s="1"/>
  <c r="O48" s="1"/>
  <c r="O49" s="1"/>
  <c r="O50" s="1"/>
  <c r="O51" s="1"/>
  <c r="O52" s="1"/>
  <c r="O53" s="1"/>
  <c r="O54" s="1"/>
  <c r="O55" s="1"/>
  <c r="O56" s="1"/>
  <c r="O57" s="1"/>
  <c r="H40"/>
  <c r="H41" s="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H56" s="1"/>
  <c r="H57" s="1"/>
  <c r="G40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CJ39"/>
  <c r="CG39"/>
  <c r="CJ38"/>
  <c r="CG38"/>
  <c r="O38"/>
  <c r="O39" s="1"/>
  <c r="N38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M38"/>
  <c r="M39" s="1"/>
  <c r="M40" s="1"/>
  <c r="M41" s="1"/>
  <c r="M42" s="1"/>
  <c r="M43" s="1"/>
  <c r="M44" s="1"/>
  <c r="M45" s="1"/>
  <c r="M46" s="1"/>
  <c r="M47" s="1"/>
  <c r="M48" s="1"/>
  <c r="M49" s="1"/>
  <c r="M50" s="1"/>
  <c r="M51" s="1"/>
  <c r="M52" s="1"/>
  <c r="M53" s="1"/>
  <c r="M54" s="1"/>
  <c r="M55" s="1"/>
  <c r="M56" s="1"/>
  <c r="M57" s="1"/>
  <c r="L38"/>
  <c r="L39" s="1"/>
  <c r="L40" s="1"/>
  <c r="L41" s="1"/>
  <c r="L42" s="1"/>
  <c r="L43" s="1"/>
  <c r="L44" s="1"/>
  <c r="L45" s="1"/>
  <c r="L46" s="1"/>
  <c r="L47" s="1"/>
  <c r="L48" s="1"/>
  <c r="L49" s="1"/>
  <c r="L50" s="1"/>
  <c r="L51" s="1"/>
  <c r="L52" s="1"/>
  <c r="L53" s="1"/>
  <c r="L54" s="1"/>
  <c r="L55" s="1"/>
  <c r="L56" s="1"/>
  <c r="L57" s="1"/>
  <c r="K38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K52" s="1"/>
  <c r="K53" s="1"/>
  <c r="K54" s="1"/>
  <c r="K55" s="1"/>
  <c r="K56" s="1"/>
  <c r="K57" s="1"/>
  <c r="J38"/>
  <c r="J39" s="1"/>
  <c r="J40" s="1"/>
  <c r="J41" s="1"/>
  <c r="J42" s="1"/>
  <c r="J43" s="1"/>
  <c r="J44" s="1"/>
  <c r="J45" s="1"/>
  <c r="J46" s="1"/>
  <c r="J47" s="1"/>
  <c r="J48" s="1"/>
  <c r="J49" s="1"/>
  <c r="J50" s="1"/>
  <c r="J51" s="1"/>
  <c r="J52" s="1"/>
  <c r="J53" s="1"/>
  <c r="J54" s="1"/>
  <c r="J55" s="1"/>
  <c r="J56" s="1"/>
  <c r="J57" s="1"/>
  <c r="I38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H38"/>
  <c r="H39" s="1"/>
  <c r="G38"/>
  <c r="G39" s="1"/>
  <c r="F38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E38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D38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C38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B38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CJ37"/>
  <c r="CG37"/>
  <c r="CJ36"/>
  <c r="CG36"/>
  <c r="CJ35"/>
  <c r="CG35"/>
  <c r="CJ34"/>
  <c r="CG34"/>
  <c r="CJ33"/>
  <c r="CG33"/>
  <c r="CJ32"/>
  <c r="CG32"/>
  <c r="CJ31"/>
  <c r="CG31"/>
  <c r="CJ30"/>
  <c r="CG30"/>
  <c r="CJ29"/>
  <c r="CG29"/>
  <c r="CJ28"/>
  <c r="CG28"/>
  <c r="Z52"/>
  <c r="T55"/>
  <c r="CH55" s="1"/>
  <c r="O18"/>
  <c r="O19" s="1"/>
  <c r="O20" s="1"/>
  <c r="O21" s="1"/>
  <c r="N18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M18"/>
  <c r="M19" s="1"/>
  <c r="M20" s="1"/>
  <c r="M21" s="1"/>
  <c r="M22" s="1"/>
  <c r="M23" s="1"/>
  <c r="M24" s="1"/>
  <c r="M25" s="1"/>
  <c r="M26" s="1"/>
  <c r="M27" s="1"/>
  <c r="M28" s="1"/>
  <c r="M29" s="1"/>
  <c r="M30" s="1"/>
  <c r="M31" s="1"/>
  <c r="M32" s="1"/>
  <c r="M33" s="1"/>
  <c r="M34" s="1"/>
  <c r="M35" s="1"/>
  <c r="M36" s="1"/>
  <c r="M37" s="1"/>
  <c r="AD37" s="1"/>
  <c r="L18"/>
  <c r="L19" s="1"/>
  <c r="L20" s="1"/>
  <c r="L21" s="1"/>
  <c r="K18"/>
  <c r="K19" s="1"/>
  <c r="K20" s="1"/>
  <c r="K21" s="1"/>
  <c r="K22" s="1"/>
  <c r="J18"/>
  <c r="J19" s="1"/>
  <c r="J20" s="1"/>
  <c r="J21" s="1"/>
  <c r="J22" s="1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I18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H18"/>
  <c r="H19" s="1"/>
  <c r="H20" s="1"/>
  <c r="H21" s="1"/>
  <c r="H22" s="1"/>
  <c r="H23" s="1"/>
  <c r="H24" s="1"/>
  <c r="G18"/>
  <c r="G19" s="1"/>
  <c r="G20" s="1"/>
  <c r="G21" s="1"/>
  <c r="F18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E18"/>
  <c r="E19" s="1"/>
  <c r="E20" s="1"/>
  <c r="E21" s="1"/>
  <c r="E22" s="1"/>
  <c r="E23" s="1"/>
  <c r="E24" s="1"/>
  <c r="E25" s="1"/>
  <c r="E26" s="1"/>
  <c r="E27" s="1"/>
  <c r="E28" s="1"/>
  <c r="E29" s="1"/>
  <c r="D18"/>
  <c r="D19" s="1"/>
  <c r="D20" s="1"/>
  <c r="D21" s="1"/>
  <c r="D22" s="1"/>
  <c r="D23" s="1"/>
  <c r="C18"/>
  <c r="C19" s="1"/>
  <c r="C20" s="1"/>
  <c r="C21" s="1"/>
  <c r="C22" s="1"/>
  <c r="C23" s="1"/>
  <c r="C24" s="1"/>
  <c r="B18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G17"/>
  <c r="F17"/>
  <c r="E17"/>
  <c r="D17"/>
  <c r="C17"/>
  <c r="B17"/>
  <c r="AH3"/>
  <c r="CJ98" i="47"/>
  <c r="CG98"/>
  <c r="O98"/>
  <c r="N98"/>
  <c r="M98"/>
  <c r="L98"/>
  <c r="K98"/>
  <c r="J98"/>
  <c r="I98"/>
  <c r="H98"/>
  <c r="G98"/>
  <c r="F98"/>
  <c r="E98"/>
  <c r="D98"/>
  <c r="C98"/>
  <c r="B98"/>
  <c r="CJ97"/>
  <c r="CG97"/>
  <c r="CJ96"/>
  <c r="CG96"/>
  <c r="CJ95"/>
  <c r="CG95"/>
  <c r="CJ94"/>
  <c r="CG94"/>
  <c r="CJ93"/>
  <c r="CG93"/>
  <c r="CJ92"/>
  <c r="CG92"/>
  <c r="CJ91"/>
  <c r="CG91"/>
  <c r="CJ90"/>
  <c r="CG90"/>
  <c r="CJ89"/>
  <c r="CG89"/>
  <c r="CJ88"/>
  <c r="CG88"/>
  <c r="CJ87"/>
  <c r="CG87"/>
  <c r="CJ86"/>
  <c r="CG86"/>
  <c r="CJ85"/>
  <c r="CG85"/>
  <c r="CJ84"/>
  <c r="CG84"/>
  <c r="CJ83"/>
  <c r="CG83"/>
  <c r="CJ82"/>
  <c r="CG82"/>
  <c r="CJ81"/>
  <c r="CG81"/>
  <c r="CJ80"/>
  <c r="CG80"/>
  <c r="CJ79"/>
  <c r="CG79"/>
  <c r="N79"/>
  <c r="N80" s="1"/>
  <c r="N81" s="1"/>
  <c r="N82" s="1"/>
  <c r="N83" s="1"/>
  <c r="N84" s="1"/>
  <c r="N85" s="1"/>
  <c r="N86" s="1"/>
  <c r="N87" s="1"/>
  <c r="N88" s="1"/>
  <c r="N89" s="1"/>
  <c r="N90" s="1"/>
  <c r="N91" s="1"/>
  <c r="N92" s="1"/>
  <c r="N93" s="1"/>
  <c r="N94" s="1"/>
  <c r="N95" s="1"/>
  <c r="N96" s="1"/>
  <c r="N97" s="1"/>
  <c r="M79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M94" s="1"/>
  <c r="M95" s="1"/>
  <c r="M96" s="1"/>
  <c r="M97" s="1"/>
  <c r="J79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I79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F79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E79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B79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CJ78"/>
  <c r="CG78"/>
  <c r="O78"/>
  <c r="O79" s="1"/>
  <c r="O80" s="1"/>
  <c r="O81" s="1"/>
  <c r="O82" s="1"/>
  <c r="O83" s="1"/>
  <c r="O84" s="1"/>
  <c r="O85" s="1"/>
  <c r="O86" s="1"/>
  <c r="O87" s="1"/>
  <c r="O88" s="1"/>
  <c r="O89" s="1"/>
  <c r="O90" s="1"/>
  <c r="O91" s="1"/>
  <c r="O92" s="1"/>
  <c r="O93" s="1"/>
  <c r="O94" s="1"/>
  <c r="O95" s="1"/>
  <c r="O96" s="1"/>
  <c r="O97" s="1"/>
  <c r="N78"/>
  <c r="M78"/>
  <c r="L78"/>
  <c r="L79" s="1"/>
  <c r="L80" s="1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K78"/>
  <c r="K79" s="1"/>
  <c r="K80" s="1"/>
  <c r="K81" s="1"/>
  <c r="K82" s="1"/>
  <c r="K83" s="1"/>
  <c r="K84" s="1"/>
  <c r="K85" s="1"/>
  <c r="K86" s="1"/>
  <c r="K87" s="1"/>
  <c r="K88" s="1"/>
  <c r="K89" s="1"/>
  <c r="K90" s="1"/>
  <c r="K91" s="1"/>
  <c r="K92" s="1"/>
  <c r="K93" s="1"/>
  <c r="K94" s="1"/>
  <c r="K95" s="1"/>
  <c r="K96" s="1"/>
  <c r="K97" s="1"/>
  <c r="J78"/>
  <c r="I78"/>
  <c r="H78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G78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F78"/>
  <c r="E78"/>
  <c r="D78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C78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B78"/>
  <c r="CJ77"/>
  <c r="CG77"/>
  <c r="CJ76"/>
  <c r="CG76"/>
  <c r="CJ75"/>
  <c r="CG75"/>
  <c r="CJ74"/>
  <c r="CG74"/>
  <c r="CJ73"/>
  <c r="CG73"/>
  <c r="CJ72"/>
  <c r="CG72"/>
  <c r="CJ71"/>
  <c r="CG71"/>
  <c r="CJ70"/>
  <c r="CG70"/>
  <c r="CJ69"/>
  <c r="CG69"/>
  <c r="CJ68"/>
  <c r="CG68"/>
  <c r="CJ67"/>
  <c r="CG67"/>
  <c r="CJ66"/>
  <c r="CG66"/>
  <c r="CJ65"/>
  <c r="CG65"/>
  <c r="CJ64"/>
  <c r="CG64"/>
  <c r="CJ63"/>
  <c r="CG63"/>
  <c r="CJ62"/>
  <c r="CG62"/>
  <c r="CJ61"/>
  <c r="CG61"/>
  <c r="CJ60"/>
  <c r="CG60"/>
  <c r="CJ59"/>
  <c r="CG59"/>
  <c r="O59"/>
  <c r="O60" s="1"/>
  <c r="O61" s="1"/>
  <c r="O62" s="1"/>
  <c r="O63" s="1"/>
  <c r="O64" s="1"/>
  <c r="O65" s="1"/>
  <c r="O66" s="1"/>
  <c r="O67" s="1"/>
  <c r="O68" s="1"/>
  <c r="O69" s="1"/>
  <c r="O70" s="1"/>
  <c r="O71" s="1"/>
  <c r="O72" s="1"/>
  <c r="O73" s="1"/>
  <c r="O74" s="1"/>
  <c r="O75" s="1"/>
  <c r="O76" s="1"/>
  <c r="O77" s="1"/>
  <c r="H59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G59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CJ58"/>
  <c r="CG58"/>
  <c r="O58"/>
  <c r="N58"/>
  <c r="N59" s="1"/>
  <c r="N60" s="1"/>
  <c r="N61" s="1"/>
  <c r="N62" s="1"/>
  <c r="N63" s="1"/>
  <c r="N64" s="1"/>
  <c r="N65" s="1"/>
  <c r="N66" s="1"/>
  <c r="N67" s="1"/>
  <c r="N68" s="1"/>
  <c r="N69" s="1"/>
  <c r="N70" s="1"/>
  <c r="N71" s="1"/>
  <c r="N72" s="1"/>
  <c r="N73" s="1"/>
  <c r="N74" s="1"/>
  <c r="N75" s="1"/>
  <c r="N76" s="1"/>
  <c r="N77" s="1"/>
  <c r="M58"/>
  <c r="M59" s="1"/>
  <c r="M60" s="1"/>
  <c r="M61" s="1"/>
  <c r="M62" s="1"/>
  <c r="M63" s="1"/>
  <c r="M64" s="1"/>
  <c r="M65" s="1"/>
  <c r="M66" s="1"/>
  <c r="M67" s="1"/>
  <c r="M68" s="1"/>
  <c r="M69" s="1"/>
  <c r="M70" s="1"/>
  <c r="M71" s="1"/>
  <c r="M72" s="1"/>
  <c r="M73" s="1"/>
  <c r="M74" s="1"/>
  <c r="M75" s="1"/>
  <c r="M76" s="1"/>
  <c r="M77" s="1"/>
  <c r="L58"/>
  <c r="L59" s="1"/>
  <c r="L60" s="1"/>
  <c r="L61" s="1"/>
  <c r="L62" s="1"/>
  <c r="L63" s="1"/>
  <c r="L64" s="1"/>
  <c r="L65" s="1"/>
  <c r="L66" s="1"/>
  <c r="L67" s="1"/>
  <c r="L68" s="1"/>
  <c r="L69" s="1"/>
  <c r="L70" s="1"/>
  <c r="L71" s="1"/>
  <c r="L72" s="1"/>
  <c r="L73" s="1"/>
  <c r="L74" s="1"/>
  <c r="L75" s="1"/>
  <c r="L76" s="1"/>
  <c r="L77" s="1"/>
  <c r="K58"/>
  <c r="K59" s="1"/>
  <c r="K60" s="1"/>
  <c r="K61" s="1"/>
  <c r="K62" s="1"/>
  <c r="K63" s="1"/>
  <c r="K64" s="1"/>
  <c r="K65" s="1"/>
  <c r="K66" s="1"/>
  <c r="K67" s="1"/>
  <c r="K68" s="1"/>
  <c r="K69" s="1"/>
  <c r="K70" s="1"/>
  <c r="K71" s="1"/>
  <c r="K72" s="1"/>
  <c r="K73" s="1"/>
  <c r="K74" s="1"/>
  <c r="K75" s="1"/>
  <c r="K76" s="1"/>
  <c r="K77" s="1"/>
  <c r="J58"/>
  <c r="J59" s="1"/>
  <c r="J60" s="1"/>
  <c r="J61" s="1"/>
  <c r="J62" s="1"/>
  <c r="J63" s="1"/>
  <c r="J64" s="1"/>
  <c r="J65" s="1"/>
  <c r="J66" s="1"/>
  <c r="J67" s="1"/>
  <c r="J68" s="1"/>
  <c r="J69" s="1"/>
  <c r="J70" s="1"/>
  <c r="J71" s="1"/>
  <c r="J72" s="1"/>
  <c r="J73" s="1"/>
  <c r="J74" s="1"/>
  <c r="J75" s="1"/>
  <c r="J76" s="1"/>
  <c r="J77" s="1"/>
  <c r="I58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H58"/>
  <c r="G58"/>
  <c r="F58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E58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D58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C58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B58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CJ57"/>
  <c r="CG57"/>
  <c r="CJ56"/>
  <c r="CG56"/>
  <c r="CJ55"/>
  <c r="CG55"/>
  <c r="CJ54"/>
  <c r="CG54"/>
  <c r="CJ53"/>
  <c r="CG53"/>
  <c r="CJ52"/>
  <c r="CG52"/>
  <c r="CJ51"/>
  <c r="CG51"/>
  <c r="CJ50"/>
  <c r="CG50"/>
  <c r="CJ49"/>
  <c r="CG49"/>
  <c r="CJ48"/>
  <c r="CG48"/>
  <c r="CJ47"/>
  <c r="CG47"/>
  <c r="CJ46"/>
  <c r="CG46"/>
  <c r="CJ45"/>
  <c r="CG45"/>
  <c r="CJ44"/>
  <c r="CG44"/>
  <c r="CJ43"/>
  <c r="CG43"/>
  <c r="CJ42"/>
  <c r="CG42"/>
  <c r="CJ41"/>
  <c r="CG41"/>
  <c r="CJ40"/>
  <c r="CG40"/>
  <c r="CJ39"/>
  <c r="CG39"/>
  <c r="O39"/>
  <c r="O40" s="1"/>
  <c r="O41" s="1"/>
  <c r="O42" s="1"/>
  <c r="O43" s="1"/>
  <c r="O44" s="1"/>
  <c r="O45" s="1"/>
  <c r="O46" s="1"/>
  <c r="O47" s="1"/>
  <c r="O48" s="1"/>
  <c r="O49" s="1"/>
  <c r="O50" s="1"/>
  <c r="O51" s="1"/>
  <c r="O52" s="1"/>
  <c r="O53" s="1"/>
  <c r="O54" s="1"/>
  <c r="O55" s="1"/>
  <c r="O56" s="1"/>
  <c r="O57" s="1"/>
  <c r="N39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K39"/>
  <c r="K40" s="1"/>
  <c r="K41" s="1"/>
  <c r="K42" s="1"/>
  <c r="K43" s="1"/>
  <c r="K44" s="1"/>
  <c r="K45" s="1"/>
  <c r="K46" s="1"/>
  <c r="K47" s="1"/>
  <c r="K48" s="1"/>
  <c r="K49" s="1"/>
  <c r="K50" s="1"/>
  <c r="K51" s="1"/>
  <c r="K52" s="1"/>
  <c r="K53" s="1"/>
  <c r="K54" s="1"/>
  <c r="K55" s="1"/>
  <c r="K56" s="1"/>
  <c r="K57" s="1"/>
  <c r="J39"/>
  <c r="J40" s="1"/>
  <c r="J41" s="1"/>
  <c r="J42" s="1"/>
  <c r="J43" s="1"/>
  <c r="J44" s="1"/>
  <c r="J45" s="1"/>
  <c r="J46" s="1"/>
  <c r="J47" s="1"/>
  <c r="J48" s="1"/>
  <c r="J49" s="1"/>
  <c r="J50" s="1"/>
  <c r="J51" s="1"/>
  <c r="J52" s="1"/>
  <c r="J53" s="1"/>
  <c r="J54" s="1"/>
  <c r="J55" s="1"/>
  <c r="J56" s="1"/>
  <c r="J57" s="1"/>
  <c r="G39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F39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C39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B39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CJ38"/>
  <c r="CG38"/>
  <c r="O38"/>
  <c r="N38"/>
  <c r="M38"/>
  <c r="M39" s="1"/>
  <c r="M40" s="1"/>
  <c r="M41" s="1"/>
  <c r="M42" s="1"/>
  <c r="M43" s="1"/>
  <c r="M44" s="1"/>
  <c r="M45" s="1"/>
  <c r="M46" s="1"/>
  <c r="M47" s="1"/>
  <c r="M48" s="1"/>
  <c r="M49" s="1"/>
  <c r="M50" s="1"/>
  <c r="M51" s="1"/>
  <c r="M52" s="1"/>
  <c r="M53" s="1"/>
  <c r="M54" s="1"/>
  <c r="M55" s="1"/>
  <c r="M56" s="1"/>
  <c r="M57" s="1"/>
  <c r="L38"/>
  <c r="L39" s="1"/>
  <c r="L40" s="1"/>
  <c r="L41" s="1"/>
  <c r="L42" s="1"/>
  <c r="L43" s="1"/>
  <c r="L44" s="1"/>
  <c r="L45" s="1"/>
  <c r="L46" s="1"/>
  <c r="L47" s="1"/>
  <c r="L48" s="1"/>
  <c r="L49" s="1"/>
  <c r="L50" s="1"/>
  <c r="L51" s="1"/>
  <c r="L52" s="1"/>
  <c r="L53" s="1"/>
  <c r="L54" s="1"/>
  <c r="L55" s="1"/>
  <c r="L56" s="1"/>
  <c r="L57" s="1"/>
  <c r="K38"/>
  <c r="J38"/>
  <c r="I38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H38"/>
  <c r="H39" s="1"/>
  <c r="H40" s="1"/>
  <c r="H41" s="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H56" s="1"/>
  <c r="H57" s="1"/>
  <c r="G38"/>
  <c r="F38"/>
  <c r="E38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D38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C38"/>
  <c r="B38"/>
  <c r="CJ37"/>
  <c r="CG37"/>
  <c r="CJ36"/>
  <c r="CG36"/>
  <c r="CJ35"/>
  <c r="CG35"/>
  <c r="CJ34"/>
  <c r="CG34"/>
  <c r="CJ33"/>
  <c r="CG33"/>
  <c r="CJ32"/>
  <c r="CG32"/>
  <c r="CJ31"/>
  <c r="CG31"/>
  <c r="CJ30"/>
  <c r="CG30"/>
  <c r="CJ29"/>
  <c r="CG29"/>
  <c r="CJ28"/>
  <c r="CG28"/>
  <c r="AD19"/>
  <c r="M19"/>
  <c r="M20" s="1"/>
  <c r="M21" s="1"/>
  <c r="I19"/>
  <c r="I20" s="1"/>
  <c r="I21" s="1"/>
  <c r="I22" s="1"/>
  <c r="I23" s="1"/>
  <c r="I24" s="1"/>
  <c r="I25" s="1"/>
  <c r="I26" s="1"/>
  <c r="I27" s="1"/>
  <c r="I28" s="1"/>
  <c r="I29" s="1"/>
  <c r="W41"/>
  <c r="CF41" s="1"/>
  <c r="S41"/>
  <c r="CE41" s="1"/>
  <c r="O18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N18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M18"/>
  <c r="L18"/>
  <c r="L19" s="1"/>
  <c r="L20" s="1"/>
  <c r="L21" s="1"/>
  <c r="L22" s="1"/>
  <c r="L23" s="1"/>
  <c r="L24" s="1"/>
  <c r="L25" s="1"/>
  <c r="L26" s="1"/>
  <c r="L27" s="1"/>
  <c r="L28" s="1"/>
  <c r="L29" s="1"/>
  <c r="L30" s="1"/>
  <c r="L31" s="1"/>
  <c r="L32" s="1"/>
  <c r="L33" s="1"/>
  <c r="L34" s="1"/>
  <c r="L35" s="1"/>
  <c r="L36" s="1"/>
  <c r="L37" s="1"/>
  <c r="K18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J18"/>
  <c r="J19" s="1"/>
  <c r="J20" s="1"/>
  <c r="J21" s="1"/>
  <c r="J22" s="1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I18"/>
  <c r="H18"/>
  <c r="H19" s="1"/>
  <c r="H20" s="1"/>
  <c r="H21" s="1"/>
  <c r="H22" s="1"/>
  <c r="H23" s="1"/>
  <c r="H24" s="1"/>
  <c r="H25" s="1"/>
  <c r="H26" s="1"/>
  <c r="H27" s="1"/>
  <c r="H28" s="1"/>
  <c r="H29" s="1"/>
  <c r="G18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F18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E18"/>
  <c r="E19" s="1"/>
  <c r="E20" s="1"/>
  <c r="E21" s="1"/>
  <c r="E22" s="1"/>
  <c r="E23" s="1"/>
  <c r="E24" s="1"/>
  <c r="E25" s="1"/>
  <c r="E26" s="1"/>
  <c r="E27" s="1"/>
  <c r="E28" s="1"/>
  <c r="E29" s="1"/>
  <c r="D18"/>
  <c r="D19" s="1"/>
  <c r="D20" s="1"/>
  <c r="D21" s="1"/>
  <c r="D22" s="1"/>
  <c r="D23" s="1"/>
  <c r="D24" s="1"/>
  <c r="D25" s="1"/>
  <c r="D26" s="1"/>
  <c r="D27" s="1"/>
  <c r="D28" s="1"/>
  <c r="D29" s="1"/>
  <c r="C18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B18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M17"/>
  <c r="L17"/>
  <c r="I17"/>
  <c r="H17"/>
  <c r="G17"/>
  <c r="F17"/>
  <c r="E17"/>
  <c r="D17"/>
  <c r="C17"/>
  <c r="B17"/>
  <c r="AH3"/>
  <c r="CJ98" i="46"/>
  <c r="CG98"/>
  <c r="O98"/>
  <c r="N98"/>
  <c r="M98"/>
  <c r="L98"/>
  <c r="K98"/>
  <c r="J98"/>
  <c r="I98"/>
  <c r="H98"/>
  <c r="G98"/>
  <c r="F98"/>
  <c r="E98"/>
  <c r="D98"/>
  <c r="C98"/>
  <c r="B98"/>
  <c r="CJ97"/>
  <c r="CG97"/>
  <c r="CJ96"/>
  <c r="CG96"/>
  <c r="CJ95"/>
  <c r="CG95"/>
  <c r="CJ94"/>
  <c r="CG94"/>
  <c r="CJ93"/>
  <c r="CG93"/>
  <c r="CJ92"/>
  <c r="CG92"/>
  <c r="CJ91"/>
  <c r="CG91"/>
  <c r="CJ90"/>
  <c r="CG90"/>
  <c r="CJ89"/>
  <c r="CG89"/>
  <c r="CJ88"/>
  <c r="CG88"/>
  <c r="CJ87"/>
  <c r="CG87"/>
  <c r="CJ86"/>
  <c r="CG86"/>
  <c r="CJ85"/>
  <c r="CG85"/>
  <c r="CJ84"/>
  <c r="CG84"/>
  <c r="CJ83"/>
  <c r="CG83"/>
  <c r="CJ82"/>
  <c r="CG82"/>
  <c r="CJ81"/>
  <c r="CG81"/>
  <c r="CJ80"/>
  <c r="CG80"/>
  <c r="CJ79"/>
  <c r="CG79"/>
  <c r="CJ78"/>
  <c r="CG78"/>
  <c r="O78"/>
  <c r="O79" s="1"/>
  <c r="O80" s="1"/>
  <c r="O81" s="1"/>
  <c r="O82" s="1"/>
  <c r="O83" s="1"/>
  <c r="O84" s="1"/>
  <c r="O85" s="1"/>
  <c r="O86" s="1"/>
  <c r="O87" s="1"/>
  <c r="O88" s="1"/>
  <c r="O89" s="1"/>
  <c r="O90" s="1"/>
  <c r="O91" s="1"/>
  <c r="O92" s="1"/>
  <c r="O93" s="1"/>
  <c r="O94" s="1"/>
  <c r="O95" s="1"/>
  <c r="O96" s="1"/>
  <c r="O97" s="1"/>
  <c r="N78"/>
  <c r="N79" s="1"/>
  <c r="N80" s="1"/>
  <c r="N81" s="1"/>
  <c r="N82" s="1"/>
  <c r="N83" s="1"/>
  <c r="N84" s="1"/>
  <c r="N85" s="1"/>
  <c r="N86" s="1"/>
  <c r="N87" s="1"/>
  <c r="N88" s="1"/>
  <c r="N89" s="1"/>
  <c r="N90" s="1"/>
  <c r="N91" s="1"/>
  <c r="N92" s="1"/>
  <c r="N93" s="1"/>
  <c r="N94" s="1"/>
  <c r="N95" s="1"/>
  <c r="N96" s="1"/>
  <c r="N97" s="1"/>
  <c r="M78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M94" s="1"/>
  <c r="M95" s="1"/>
  <c r="M96" s="1"/>
  <c r="M97" s="1"/>
  <c r="L78"/>
  <c r="L79" s="1"/>
  <c r="L80" s="1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K78"/>
  <c r="K79" s="1"/>
  <c r="K80" s="1"/>
  <c r="K81" s="1"/>
  <c r="K82" s="1"/>
  <c r="K83" s="1"/>
  <c r="K84" s="1"/>
  <c r="K85" s="1"/>
  <c r="K86" s="1"/>
  <c r="K87" s="1"/>
  <c r="K88" s="1"/>
  <c r="K89" s="1"/>
  <c r="K90" s="1"/>
  <c r="K91" s="1"/>
  <c r="K92" s="1"/>
  <c r="K93" s="1"/>
  <c r="K94" s="1"/>
  <c r="K95" s="1"/>
  <c r="K96" s="1"/>
  <c r="K97" s="1"/>
  <c r="J78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I78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H78"/>
  <c r="H79" s="1"/>
  <c r="H80" s="1"/>
  <c r="H81" s="1"/>
  <c r="H82" s="1"/>
  <c r="H83" s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G78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F78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E78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D78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C78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B78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CJ77"/>
  <c r="CG77"/>
  <c r="CJ76"/>
  <c r="CG76"/>
  <c r="CJ75"/>
  <c r="CG75"/>
  <c r="CJ74"/>
  <c r="CG74"/>
  <c r="CJ73"/>
  <c r="CG73"/>
  <c r="CJ72"/>
  <c r="CG72"/>
  <c r="CJ71"/>
  <c r="CG71"/>
  <c r="CJ70"/>
  <c r="CG70"/>
  <c r="CJ69"/>
  <c r="CG69"/>
  <c r="CJ68"/>
  <c r="CG68"/>
  <c r="CJ67"/>
  <c r="CG67"/>
  <c r="CJ66"/>
  <c r="CG66"/>
  <c r="CJ65"/>
  <c r="CG65"/>
  <c r="CJ64"/>
  <c r="CG64"/>
  <c r="CJ63"/>
  <c r="CG63"/>
  <c r="CJ62"/>
  <c r="CG62"/>
  <c r="CJ61"/>
  <c r="CG61"/>
  <c r="CJ60"/>
  <c r="CG60"/>
  <c r="CJ59"/>
  <c r="CG59"/>
  <c r="O59"/>
  <c r="O60" s="1"/>
  <c r="O61" s="1"/>
  <c r="O62" s="1"/>
  <c r="O63" s="1"/>
  <c r="O64" s="1"/>
  <c r="O65" s="1"/>
  <c r="O66" s="1"/>
  <c r="O67" s="1"/>
  <c r="O68" s="1"/>
  <c r="O69" s="1"/>
  <c r="O70" s="1"/>
  <c r="O71" s="1"/>
  <c r="O72" s="1"/>
  <c r="O73" s="1"/>
  <c r="O74" s="1"/>
  <c r="O75" s="1"/>
  <c r="O76" s="1"/>
  <c r="O77" s="1"/>
  <c r="N59"/>
  <c r="N60" s="1"/>
  <c r="N61" s="1"/>
  <c r="N62" s="1"/>
  <c r="N63" s="1"/>
  <c r="N64" s="1"/>
  <c r="N65" s="1"/>
  <c r="N66" s="1"/>
  <c r="N67" s="1"/>
  <c r="N68" s="1"/>
  <c r="N69" s="1"/>
  <c r="N70" s="1"/>
  <c r="N71" s="1"/>
  <c r="N72" s="1"/>
  <c r="N73" s="1"/>
  <c r="N74" s="1"/>
  <c r="N75" s="1"/>
  <c r="N76" s="1"/>
  <c r="N77" s="1"/>
  <c r="K59"/>
  <c r="K60" s="1"/>
  <c r="K61" s="1"/>
  <c r="K62" s="1"/>
  <c r="K63" s="1"/>
  <c r="K64" s="1"/>
  <c r="K65" s="1"/>
  <c r="K66" s="1"/>
  <c r="K67" s="1"/>
  <c r="K68" s="1"/>
  <c r="K69" s="1"/>
  <c r="K70" s="1"/>
  <c r="K71" s="1"/>
  <c r="K72" s="1"/>
  <c r="K73" s="1"/>
  <c r="K74" s="1"/>
  <c r="K75" s="1"/>
  <c r="K76" s="1"/>
  <c r="K77" s="1"/>
  <c r="J59"/>
  <c r="J60" s="1"/>
  <c r="J61" s="1"/>
  <c r="J62" s="1"/>
  <c r="J63" s="1"/>
  <c r="J64" s="1"/>
  <c r="J65" s="1"/>
  <c r="J66" s="1"/>
  <c r="J67" s="1"/>
  <c r="J68" s="1"/>
  <c r="J69" s="1"/>
  <c r="J70" s="1"/>
  <c r="J71" s="1"/>
  <c r="J72" s="1"/>
  <c r="J73" s="1"/>
  <c r="J74" s="1"/>
  <c r="J75" s="1"/>
  <c r="J76" s="1"/>
  <c r="J77" s="1"/>
  <c r="G59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F59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C59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B59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CJ58"/>
  <c r="CG58"/>
  <c r="O58"/>
  <c r="N58"/>
  <c r="M58"/>
  <c r="M59" s="1"/>
  <c r="M60" s="1"/>
  <c r="M61" s="1"/>
  <c r="M62" s="1"/>
  <c r="M63" s="1"/>
  <c r="M64" s="1"/>
  <c r="M65" s="1"/>
  <c r="M66" s="1"/>
  <c r="M67" s="1"/>
  <c r="M68" s="1"/>
  <c r="M69" s="1"/>
  <c r="M70" s="1"/>
  <c r="M71" s="1"/>
  <c r="M72" s="1"/>
  <c r="M73" s="1"/>
  <c r="M74" s="1"/>
  <c r="M75" s="1"/>
  <c r="M76" s="1"/>
  <c r="M77" s="1"/>
  <c r="L58"/>
  <c r="L59" s="1"/>
  <c r="L60" s="1"/>
  <c r="L61" s="1"/>
  <c r="L62" s="1"/>
  <c r="L63" s="1"/>
  <c r="L64" s="1"/>
  <c r="L65" s="1"/>
  <c r="L66" s="1"/>
  <c r="L67" s="1"/>
  <c r="L68" s="1"/>
  <c r="L69" s="1"/>
  <c r="L70" s="1"/>
  <c r="L71" s="1"/>
  <c r="L72" s="1"/>
  <c r="L73" s="1"/>
  <c r="L74" s="1"/>
  <c r="L75" s="1"/>
  <c r="L76" s="1"/>
  <c r="L77" s="1"/>
  <c r="K58"/>
  <c r="J58"/>
  <c r="I58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H58"/>
  <c r="H59" s="1"/>
  <c r="H60" s="1"/>
  <c r="H61" s="1"/>
  <c r="H62" s="1"/>
  <c r="H63" s="1"/>
  <c r="H64" s="1"/>
  <c r="H65" s="1"/>
  <c r="H66" s="1"/>
  <c r="H67" s="1"/>
  <c r="H68" s="1"/>
  <c r="H69" s="1"/>
  <c r="H70" s="1"/>
  <c r="H71" s="1"/>
  <c r="H72" s="1"/>
  <c r="H73" s="1"/>
  <c r="H74" s="1"/>
  <c r="H75" s="1"/>
  <c r="H76" s="1"/>
  <c r="H77" s="1"/>
  <c r="G58"/>
  <c r="F58"/>
  <c r="E58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D58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C58"/>
  <c r="B58"/>
  <c r="CJ57"/>
  <c r="CG57"/>
  <c r="CJ56"/>
  <c r="CG56"/>
  <c r="CJ55"/>
  <c r="CG55"/>
  <c r="CJ54"/>
  <c r="CG54"/>
  <c r="CJ53"/>
  <c r="CG53"/>
  <c r="CJ52"/>
  <c r="CG52"/>
  <c r="CJ51"/>
  <c r="CG51"/>
  <c r="CJ50"/>
  <c r="CG50"/>
  <c r="CJ49"/>
  <c r="CG49"/>
  <c r="CJ48"/>
  <c r="CG48"/>
  <c r="CJ47"/>
  <c r="CG47"/>
  <c r="CJ46"/>
  <c r="CG46"/>
  <c r="CJ45"/>
  <c r="CG45"/>
  <c r="CJ44"/>
  <c r="CG44"/>
  <c r="CJ43"/>
  <c r="CG43"/>
  <c r="CJ42"/>
  <c r="CG42"/>
  <c r="CJ41"/>
  <c r="CG41"/>
  <c r="CJ40"/>
  <c r="CG40"/>
  <c r="J40"/>
  <c r="J41" s="1"/>
  <c r="J42" s="1"/>
  <c r="J43" s="1"/>
  <c r="J44" s="1"/>
  <c r="J45" s="1"/>
  <c r="J46" s="1"/>
  <c r="J47" s="1"/>
  <c r="J48" s="1"/>
  <c r="J49" s="1"/>
  <c r="J50" s="1"/>
  <c r="J51" s="1"/>
  <c r="J52" s="1"/>
  <c r="J53" s="1"/>
  <c r="J54" s="1"/>
  <c r="J55" s="1"/>
  <c r="J56" s="1"/>
  <c r="J57" s="1"/>
  <c r="B40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CJ39"/>
  <c r="CG39"/>
  <c r="M39"/>
  <c r="M40" s="1"/>
  <c r="M41" s="1"/>
  <c r="M42" s="1"/>
  <c r="M43" s="1"/>
  <c r="M44" s="1"/>
  <c r="M45" s="1"/>
  <c r="M46" s="1"/>
  <c r="M47" s="1"/>
  <c r="M48" s="1"/>
  <c r="M49" s="1"/>
  <c r="M50" s="1"/>
  <c r="M51" s="1"/>
  <c r="M52" s="1"/>
  <c r="M53" s="1"/>
  <c r="M54" s="1"/>
  <c r="M55" s="1"/>
  <c r="M56" s="1"/>
  <c r="M57" s="1"/>
  <c r="L39"/>
  <c r="L40" s="1"/>
  <c r="L41" s="1"/>
  <c r="L42" s="1"/>
  <c r="L43" s="1"/>
  <c r="L44" s="1"/>
  <c r="L45" s="1"/>
  <c r="L46" s="1"/>
  <c r="L47" s="1"/>
  <c r="L48" s="1"/>
  <c r="L49" s="1"/>
  <c r="L50" s="1"/>
  <c r="L51" s="1"/>
  <c r="L52" s="1"/>
  <c r="L53" s="1"/>
  <c r="L54" s="1"/>
  <c r="L55" s="1"/>
  <c r="L56" s="1"/>
  <c r="L57" s="1"/>
  <c r="I39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H39"/>
  <c r="H40" s="1"/>
  <c r="H41" s="1"/>
  <c r="H42" s="1"/>
  <c r="H43" s="1"/>
  <c r="H44" s="1"/>
  <c r="H45" s="1"/>
  <c r="H46" s="1"/>
  <c r="H47" s="1"/>
  <c r="H48" s="1"/>
  <c r="H49" s="1"/>
  <c r="H50" s="1"/>
  <c r="H51" s="1"/>
  <c r="H52" s="1"/>
  <c r="H53" s="1"/>
  <c r="H54" s="1"/>
  <c r="H55" s="1"/>
  <c r="H56" s="1"/>
  <c r="H57" s="1"/>
  <c r="E39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D39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CJ38"/>
  <c r="CG38"/>
  <c r="O38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O52" s="1"/>
  <c r="O53" s="1"/>
  <c r="O54" s="1"/>
  <c r="O55" s="1"/>
  <c r="O56" s="1"/>
  <c r="O57" s="1"/>
  <c r="N38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N52" s="1"/>
  <c r="N53" s="1"/>
  <c r="N54" s="1"/>
  <c r="N55" s="1"/>
  <c r="N56" s="1"/>
  <c r="N57" s="1"/>
  <c r="M38"/>
  <c r="L38"/>
  <c r="K38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K52" s="1"/>
  <c r="K53" s="1"/>
  <c r="K54" s="1"/>
  <c r="K55" s="1"/>
  <c r="K56" s="1"/>
  <c r="K57" s="1"/>
  <c r="J38"/>
  <c r="J39" s="1"/>
  <c r="I38"/>
  <c r="H38"/>
  <c r="G38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F38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E38"/>
  <c r="D38"/>
  <c r="C38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B38"/>
  <c r="B39" s="1"/>
  <c r="CJ37"/>
  <c r="CG37"/>
  <c r="CJ36"/>
  <c r="CG36"/>
  <c r="CJ35"/>
  <c r="CG35"/>
  <c r="CJ34"/>
  <c r="CG34"/>
  <c r="CJ33"/>
  <c r="CG33"/>
  <c r="CJ32"/>
  <c r="CG32"/>
  <c r="CJ31"/>
  <c r="CG31"/>
  <c r="CJ30"/>
  <c r="CG30"/>
  <c r="CJ29"/>
  <c r="CG29"/>
  <c r="CJ28"/>
  <c r="CG28"/>
  <c r="Z36"/>
  <c r="S47"/>
  <c r="CE47" s="1"/>
  <c r="O18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N18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M18"/>
  <c r="M19" s="1"/>
  <c r="M20" s="1"/>
  <c r="M21" s="1"/>
  <c r="M22" s="1"/>
  <c r="M23" s="1"/>
  <c r="M24" s="1"/>
  <c r="M25" s="1"/>
  <c r="M26" s="1"/>
  <c r="M27" s="1"/>
  <c r="M28" s="1"/>
  <c r="M29" s="1"/>
  <c r="M30" s="1"/>
  <c r="M31" s="1"/>
  <c r="M32" s="1"/>
  <c r="M33" s="1"/>
  <c r="M34" s="1"/>
  <c r="M35" s="1"/>
  <c r="M36" s="1"/>
  <c r="M37" s="1"/>
  <c r="L18"/>
  <c r="L19" s="1"/>
  <c r="L20" s="1"/>
  <c r="L21" s="1"/>
  <c r="L22" s="1"/>
  <c r="L23" s="1"/>
  <c r="L24" s="1"/>
  <c r="L25" s="1"/>
  <c r="L26" s="1"/>
  <c r="L27" s="1"/>
  <c r="L28" s="1"/>
  <c r="L29" s="1"/>
  <c r="L30" s="1"/>
  <c r="L31" s="1"/>
  <c r="L32" s="1"/>
  <c r="L33" s="1"/>
  <c r="L34" s="1"/>
  <c r="L35" s="1"/>
  <c r="L36" s="1"/>
  <c r="L37" s="1"/>
  <c r="K18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J18"/>
  <c r="J19" s="1"/>
  <c r="J20" s="1"/>
  <c r="J21" s="1"/>
  <c r="J22" s="1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I18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H18"/>
  <c r="H19" s="1"/>
  <c r="H20" s="1"/>
  <c r="H21" s="1"/>
  <c r="H22" s="1"/>
  <c r="H23" s="1"/>
  <c r="H24" s="1"/>
  <c r="H25" s="1"/>
  <c r="H26" s="1"/>
  <c r="H27" s="1"/>
  <c r="H28" s="1"/>
  <c r="H29" s="1"/>
  <c r="H30" s="1"/>
  <c r="H31" s="1"/>
  <c r="H32" s="1"/>
  <c r="H33" s="1"/>
  <c r="H34" s="1"/>
  <c r="H35" s="1"/>
  <c r="H36" s="1"/>
  <c r="H37" s="1"/>
  <c r="G18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F18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E18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D18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C18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B18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M17"/>
  <c r="L17"/>
  <c r="I17"/>
  <c r="H17"/>
  <c r="G17"/>
  <c r="F17"/>
  <c r="E17"/>
  <c r="D17"/>
  <c r="C17"/>
  <c r="B17"/>
  <c r="AH3"/>
  <c r="E30" i="48" l="1"/>
  <c r="E31" s="1"/>
  <c r="E32" s="1"/>
  <c r="E33" s="1"/>
  <c r="E34" s="1"/>
  <c r="E35" s="1"/>
  <c r="E36" s="1"/>
  <c r="E37" s="1"/>
  <c r="V37" s="1"/>
  <c r="V29"/>
  <c r="I32"/>
  <c r="I33" s="1"/>
  <c r="Z31"/>
  <c r="C25"/>
  <c r="C26" s="1"/>
  <c r="C27" s="1"/>
  <c r="C28" s="1"/>
  <c r="T24"/>
  <c r="G22"/>
  <c r="G23" s="1"/>
  <c r="G24" s="1"/>
  <c r="G25" s="1"/>
  <c r="X21"/>
  <c r="K23"/>
  <c r="K24" s="1"/>
  <c r="K25" s="1"/>
  <c r="K26" s="1"/>
  <c r="AB22"/>
  <c r="O22"/>
  <c r="O23" s="1"/>
  <c r="AF21"/>
  <c r="AD35"/>
  <c r="D24"/>
  <c r="D25" s="1"/>
  <c r="D26" s="1"/>
  <c r="D27" s="1"/>
  <c r="U23"/>
  <c r="H25"/>
  <c r="H26" s="1"/>
  <c r="H27" s="1"/>
  <c r="H28" s="1"/>
  <c r="Y24"/>
  <c r="L22"/>
  <c r="L23" s="1"/>
  <c r="L24" s="1"/>
  <c r="L25" s="1"/>
  <c r="AC21"/>
  <c r="S97"/>
  <c r="CE97" s="1"/>
  <c r="S95"/>
  <c r="CE95" s="1"/>
  <c r="S93"/>
  <c r="CE93" s="1"/>
  <c r="S91"/>
  <c r="CE91" s="1"/>
  <c r="S89"/>
  <c r="CE89" s="1"/>
  <c r="S98"/>
  <c r="CE98" s="1"/>
  <c r="S96"/>
  <c r="CE96" s="1"/>
  <c r="S94"/>
  <c r="CE94" s="1"/>
  <c r="S92"/>
  <c r="CE92" s="1"/>
  <c r="S90"/>
  <c r="CE90" s="1"/>
  <c r="S88"/>
  <c r="CE88" s="1"/>
  <c r="S86"/>
  <c r="CE86" s="1"/>
  <c r="S84"/>
  <c r="CE84" s="1"/>
  <c r="S82"/>
  <c r="CE82" s="1"/>
  <c r="S80"/>
  <c r="CE80" s="1"/>
  <c r="S78"/>
  <c r="CE78" s="1"/>
  <c r="S87"/>
  <c r="CE87" s="1"/>
  <c r="S85"/>
  <c r="CE85" s="1"/>
  <c r="S83"/>
  <c r="CE83" s="1"/>
  <c r="S81"/>
  <c r="CE81" s="1"/>
  <c r="S79"/>
  <c r="CE79" s="1"/>
  <c r="S77"/>
  <c r="CE77" s="1"/>
  <c r="S76"/>
  <c r="CE76" s="1"/>
  <c r="S75"/>
  <c r="CE75" s="1"/>
  <c r="S73"/>
  <c r="CE73" s="1"/>
  <c r="S71"/>
  <c r="CE71" s="1"/>
  <c r="S69"/>
  <c r="CE69" s="1"/>
  <c r="S67"/>
  <c r="CE67" s="1"/>
  <c r="S65"/>
  <c r="CE65" s="1"/>
  <c r="S63"/>
  <c r="CE63" s="1"/>
  <c r="S61"/>
  <c r="CE61" s="1"/>
  <c r="S74"/>
  <c r="CE74" s="1"/>
  <c r="S72"/>
  <c r="CE72" s="1"/>
  <c r="S70"/>
  <c r="CE70" s="1"/>
  <c r="S68"/>
  <c r="CE68" s="1"/>
  <c r="S66"/>
  <c r="CE66" s="1"/>
  <c r="S64"/>
  <c r="CE64" s="1"/>
  <c r="S62"/>
  <c r="CE62" s="1"/>
  <c r="S60"/>
  <c r="CE60" s="1"/>
  <c r="S58"/>
  <c r="CE58" s="1"/>
  <c r="S56"/>
  <c r="CE56" s="1"/>
  <c r="S54"/>
  <c r="CE54" s="1"/>
  <c r="S52"/>
  <c r="CE52" s="1"/>
  <c r="S50"/>
  <c r="CE50" s="1"/>
  <c r="S48"/>
  <c r="CE48" s="1"/>
  <c r="S46"/>
  <c r="CE46" s="1"/>
  <c r="S44"/>
  <c r="CE44" s="1"/>
  <c r="S42"/>
  <c r="CE42" s="1"/>
  <c r="S59"/>
  <c r="CE59" s="1"/>
  <c r="S57"/>
  <c r="CE57" s="1"/>
  <c r="S55"/>
  <c r="CE55" s="1"/>
  <c r="S53"/>
  <c r="CE53" s="1"/>
  <c r="S51"/>
  <c r="CE51" s="1"/>
  <c r="S49"/>
  <c r="CE49" s="1"/>
  <c r="S47"/>
  <c r="CE47" s="1"/>
  <c r="S45"/>
  <c r="CE45" s="1"/>
  <c r="S43"/>
  <c r="CE43" s="1"/>
  <c r="S41"/>
  <c r="CE41" s="1"/>
  <c r="S39"/>
  <c r="CE39" s="1"/>
  <c r="S38"/>
  <c r="CE38" s="1"/>
  <c r="S36"/>
  <c r="CE36" s="1"/>
  <c r="S34"/>
  <c r="CE34" s="1"/>
  <c r="S32"/>
  <c r="CE32" s="1"/>
  <c r="S30"/>
  <c r="CE30" s="1"/>
  <c r="S40"/>
  <c r="CE40" s="1"/>
  <c r="S37"/>
  <c r="CE37" s="1"/>
  <c r="W97"/>
  <c r="CF97" s="1"/>
  <c r="W95"/>
  <c r="CF95" s="1"/>
  <c r="W93"/>
  <c r="CF93" s="1"/>
  <c r="W91"/>
  <c r="CF91" s="1"/>
  <c r="W89"/>
  <c r="CF89" s="1"/>
  <c r="W98"/>
  <c r="CF98" s="1"/>
  <c r="W96"/>
  <c r="CF96" s="1"/>
  <c r="W94"/>
  <c r="CF94" s="1"/>
  <c r="W92"/>
  <c r="CF92" s="1"/>
  <c r="W90"/>
  <c r="CF90" s="1"/>
  <c r="W88"/>
  <c r="CF88" s="1"/>
  <c r="W86"/>
  <c r="CF86" s="1"/>
  <c r="W84"/>
  <c r="CF84" s="1"/>
  <c r="W82"/>
  <c r="CF82" s="1"/>
  <c r="W80"/>
  <c r="CF80" s="1"/>
  <c r="W78"/>
  <c r="CF78" s="1"/>
  <c r="W87"/>
  <c r="CF87" s="1"/>
  <c r="W85"/>
  <c r="CF85" s="1"/>
  <c r="W83"/>
  <c r="CF83" s="1"/>
  <c r="W81"/>
  <c r="CF81" s="1"/>
  <c r="W79"/>
  <c r="CF79" s="1"/>
  <c r="W77"/>
  <c r="CF77" s="1"/>
  <c r="W76"/>
  <c r="CF76" s="1"/>
  <c r="W75"/>
  <c r="CF75" s="1"/>
  <c r="W73"/>
  <c r="CF73" s="1"/>
  <c r="W71"/>
  <c r="CF71" s="1"/>
  <c r="W69"/>
  <c r="CF69" s="1"/>
  <c r="W67"/>
  <c r="CF67" s="1"/>
  <c r="W74"/>
  <c r="CF74" s="1"/>
  <c r="W72"/>
  <c r="CF72" s="1"/>
  <c r="W70"/>
  <c r="CF70" s="1"/>
  <c r="W68"/>
  <c r="CF68" s="1"/>
  <c r="W66"/>
  <c r="CF66" s="1"/>
  <c r="W65"/>
  <c r="CF65" s="1"/>
  <c r="W63"/>
  <c r="CF63" s="1"/>
  <c r="W61"/>
  <c r="CF61" s="1"/>
  <c r="W64"/>
  <c r="CF64" s="1"/>
  <c r="W62"/>
  <c r="CF62" s="1"/>
  <c r="W60"/>
  <c r="CF60" s="1"/>
  <c r="W59"/>
  <c r="CF59" s="1"/>
  <c r="W58"/>
  <c r="CF58" s="1"/>
  <c r="W56"/>
  <c r="CF56" s="1"/>
  <c r="W54"/>
  <c r="CF54" s="1"/>
  <c r="W52"/>
  <c r="CF52" s="1"/>
  <c r="W50"/>
  <c r="CF50" s="1"/>
  <c r="W48"/>
  <c r="CF48" s="1"/>
  <c r="W46"/>
  <c r="CF46" s="1"/>
  <c r="W44"/>
  <c r="CF44" s="1"/>
  <c r="W42"/>
  <c r="CF42" s="1"/>
  <c r="W57"/>
  <c r="CF57" s="1"/>
  <c r="W55"/>
  <c r="CF55" s="1"/>
  <c r="W53"/>
  <c r="CF53" s="1"/>
  <c r="W51"/>
  <c r="CF51" s="1"/>
  <c r="W49"/>
  <c r="CF49" s="1"/>
  <c r="W47"/>
  <c r="CF47" s="1"/>
  <c r="W45"/>
  <c r="CF45" s="1"/>
  <c r="W43"/>
  <c r="CF43" s="1"/>
  <c r="W41"/>
  <c r="CF41" s="1"/>
  <c r="W39"/>
  <c r="CF39" s="1"/>
  <c r="W40"/>
  <c r="CF40" s="1"/>
  <c r="W38"/>
  <c r="CF38" s="1"/>
  <c r="W36"/>
  <c r="CF36" s="1"/>
  <c r="W34"/>
  <c r="CF34" s="1"/>
  <c r="W32"/>
  <c r="CF32" s="1"/>
  <c r="W30"/>
  <c r="CF30" s="1"/>
  <c r="W37"/>
  <c r="CF37" s="1"/>
  <c r="AA97"/>
  <c r="AA95"/>
  <c r="AA93"/>
  <c r="AA91"/>
  <c r="AA89"/>
  <c r="AA98"/>
  <c r="AA96"/>
  <c r="AA94"/>
  <c r="AA92"/>
  <c r="AA90"/>
  <c r="AA88"/>
  <c r="AA86"/>
  <c r="AA84"/>
  <c r="AA82"/>
  <c r="AA80"/>
  <c r="AA78"/>
  <c r="AA87"/>
  <c r="AA85"/>
  <c r="AA83"/>
  <c r="AA81"/>
  <c r="AA79"/>
  <c r="AA77"/>
  <c r="AA76"/>
  <c r="AA75"/>
  <c r="AA73"/>
  <c r="AA71"/>
  <c r="AA69"/>
  <c r="AA67"/>
  <c r="AA65"/>
  <c r="AA63"/>
  <c r="AA61"/>
  <c r="AA74"/>
  <c r="AA72"/>
  <c r="AA70"/>
  <c r="AA68"/>
  <c r="AA66"/>
  <c r="AA64"/>
  <c r="AA62"/>
  <c r="AA60"/>
  <c r="AA58"/>
  <c r="AA56"/>
  <c r="AA54"/>
  <c r="AA52"/>
  <c r="AA50"/>
  <c r="AA48"/>
  <c r="AA46"/>
  <c r="AA44"/>
  <c r="AA42"/>
  <c r="AA59"/>
  <c r="AA57"/>
  <c r="AA55"/>
  <c r="AA53"/>
  <c r="AA51"/>
  <c r="AA49"/>
  <c r="AA47"/>
  <c r="AA45"/>
  <c r="AA43"/>
  <c r="AA41"/>
  <c r="AA39"/>
  <c r="AA36"/>
  <c r="AA34"/>
  <c r="AA32"/>
  <c r="AA30"/>
  <c r="AA40"/>
  <c r="AA38"/>
  <c r="AA37"/>
  <c r="AE97"/>
  <c r="AE95"/>
  <c r="AE93"/>
  <c r="AE91"/>
  <c r="AE89"/>
  <c r="AE98"/>
  <c r="AE96"/>
  <c r="AE94"/>
  <c r="AE92"/>
  <c r="AE90"/>
  <c r="AE88"/>
  <c r="AE86"/>
  <c r="AE84"/>
  <c r="AE82"/>
  <c r="AE80"/>
  <c r="AE78"/>
  <c r="AE87"/>
  <c r="AE85"/>
  <c r="AE83"/>
  <c r="AE81"/>
  <c r="AE79"/>
  <c r="AE77"/>
  <c r="AE76"/>
  <c r="AE75"/>
  <c r="AE73"/>
  <c r="AE71"/>
  <c r="AE69"/>
  <c r="AE67"/>
  <c r="AE74"/>
  <c r="AE72"/>
  <c r="AE70"/>
  <c r="AE68"/>
  <c r="AE66"/>
  <c r="AE65"/>
  <c r="AE63"/>
  <c r="AE61"/>
  <c r="AE64"/>
  <c r="AE62"/>
  <c r="AE60"/>
  <c r="AE59"/>
  <c r="AE58"/>
  <c r="AE56"/>
  <c r="AE54"/>
  <c r="AE52"/>
  <c r="AE50"/>
  <c r="AE48"/>
  <c r="AE46"/>
  <c r="AE44"/>
  <c r="AE42"/>
  <c r="AE57"/>
  <c r="AE55"/>
  <c r="AE53"/>
  <c r="AE51"/>
  <c r="AE49"/>
  <c r="AE47"/>
  <c r="AE45"/>
  <c r="AE43"/>
  <c r="AE41"/>
  <c r="AE39"/>
  <c r="AE40"/>
  <c r="AE38"/>
  <c r="AE36"/>
  <c r="AE34"/>
  <c r="AE32"/>
  <c r="AE30"/>
  <c r="AE37"/>
  <c r="S19"/>
  <c r="W19"/>
  <c r="AA19"/>
  <c r="AE19"/>
  <c r="S20"/>
  <c r="W20"/>
  <c r="AA20"/>
  <c r="AE20"/>
  <c r="S21"/>
  <c r="W22"/>
  <c r="AA23"/>
  <c r="AE24"/>
  <c r="S25"/>
  <c r="W26"/>
  <c r="AA27"/>
  <c r="AE28"/>
  <c r="AA29"/>
  <c r="T47"/>
  <c r="CH47" s="1"/>
  <c r="Z48"/>
  <c r="Z56"/>
  <c r="T97"/>
  <c r="CH97" s="1"/>
  <c r="T95"/>
  <c r="CH95" s="1"/>
  <c r="T93"/>
  <c r="CH93" s="1"/>
  <c r="T91"/>
  <c r="CH91" s="1"/>
  <c r="T89"/>
  <c r="CH89" s="1"/>
  <c r="T98"/>
  <c r="CH98" s="1"/>
  <c r="T96"/>
  <c r="CH96" s="1"/>
  <c r="T94"/>
  <c r="CH94" s="1"/>
  <c r="T92"/>
  <c r="CH92" s="1"/>
  <c r="T90"/>
  <c r="CH90" s="1"/>
  <c r="T88"/>
  <c r="CH88" s="1"/>
  <c r="T86"/>
  <c r="CH86" s="1"/>
  <c r="T84"/>
  <c r="CH84" s="1"/>
  <c r="T82"/>
  <c r="CH82" s="1"/>
  <c r="T80"/>
  <c r="CH80" s="1"/>
  <c r="T78"/>
  <c r="CH78" s="1"/>
  <c r="T87"/>
  <c r="CH87" s="1"/>
  <c r="T85"/>
  <c r="CH85" s="1"/>
  <c r="T83"/>
  <c r="CH83" s="1"/>
  <c r="T81"/>
  <c r="CH81" s="1"/>
  <c r="T79"/>
  <c r="CH79" s="1"/>
  <c r="T77"/>
  <c r="CH77" s="1"/>
  <c r="T76"/>
  <c r="CH76" s="1"/>
  <c r="T74"/>
  <c r="CH74" s="1"/>
  <c r="T72"/>
  <c r="CH72" s="1"/>
  <c r="T70"/>
  <c r="CH70" s="1"/>
  <c r="T68"/>
  <c r="CH68" s="1"/>
  <c r="T65"/>
  <c r="CH65" s="1"/>
  <c r="T63"/>
  <c r="CH63" s="1"/>
  <c r="T61"/>
  <c r="CH61" s="1"/>
  <c r="T75"/>
  <c r="CH75" s="1"/>
  <c r="T73"/>
  <c r="CH73" s="1"/>
  <c r="T71"/>
  <c r="CH71" s="1"/>
  <c r="T69"/>
  <c r="CH69" s="1"/>
  <c r="T67"/>
  <c r="CH67" s="1"/>
  <c r="T66"/>
  <c r="CH66" s="1"/>
  <c r="T64"/>
  <c r="CH64" s="1"/>
  <c r="T62"/>
  <c r="CH62" s="1"/>
  <c r="T60"/>
  <c r="CH60" s="1"/>
  <c r="T59"/>
  <c r="CH59" s="1"/>
  <c r="T58"/>
  <c r="CH58" s="1"/>
  <c r="T56"/>
  <c r="CH56" s="1"/>
  <c r="T54"/>
  <c r="CH54" s="1"/>
  <c r="T52"/>
  <c r="CH52" s="1"/>
  <c r="T50"/>
  <c r="CH50" s="1"/>
  <c r="T48"/>
  <c r="CH48" s="1"/>
  <c r="T46"/>
  <c r="CH46" s="1"/>
  <c r="T44"/>
  <c r="CH44" s="1"/>
  <c r="T42"/>
  <c r="CH42" s="1"/>
  <c r="T40"/>
  <c r="CH40" s="1"/>
  <c r="T41"/>
  <c r="CH41" s="1"/>
  <c r="T39"/>
  <c r="CH39" s="1"/>
  <c r="X97"/>
  <c r="CI97" s="1"/>
  <c r="X95"/>
  <c r="CI95" s="1"/>
  <c r="X93"/>
  <c r="CI93" s="1"/>
  <c r="X91"/>
  <c r="CI91" s="1"/>
  <c r="X89"/>
  <c r="CI89" s="1"/>
  <c r="X98"/>
  <c r="CI98" s="1"/>
  <c r="X96"/>
  <c r="CI96" s="1"/>
  <c r="X94"/>
  <c r="CI94" s="1"/>
  <c r="X92"/>
  <c r="CI92" s="1"/>
  <c r="X90"/>
  <c r="CI90" s="1"/>
  <c r="X88"/>
  <c r="CI88" s="1"/>
  <c r="X86"/>
  <c r="CI86" s="1"/>
  <c r="X84"/>
  <c r="CI84" s="1"/>
  <c r="X82"/>
  <c r="CI82" s="1"/>
  <c r="X80"/>
  <c r="CI80" s="1"/>
  <c r="X78"/>
  <c r="CI78" s="1"/>
  <c r="X87"/>
  <c r="CI87" s="1"/>
  <c r="X85"/>
  <c r="CI85" s="1"/>
  <c r="X83"/>
  <c r="CI83" s="1"/>
  <c r="X81"/>
  <c r="CI81" s="1"/>
  <c r="X79"/>
  <c r="CI79" s="1"/>
  <c r="X77"/>
  <c r="CI77" s="1"/>
  <c r="X76"/>
  <c r="CI76" s="1"/>
  <c r="X74"/>
  <c r="CI74" s="1"/>
  <c r="X72"/>
  <c r="CI72" s="1"/>
  <c r="X70"/>
  <c r="CI70" s="1"/>
  <c r="X68"/>
  <c r="CI68" s="1"/>
  <c r="X66"/>
  <c r="CI66" s="1"/>
  <c r="X65"/>
  <c r="CI65" s="1"/>
  <c r="X63"/>
  <c r="CI63" s="1"/>
  <c r="X61"/>
  <c r="CI61" s="1"/>
  <c r="X64"/>
  <c r="CI64" s="1"/>
  <c r="X62"/>
  <c r="CI62" s="1"/>
  <c r="X60"/>
  <c r="CI60" s="1"/>
  <c r="X75"/>
  <c r="CI75" s="1"/>
  <c r="X73"/>
  <c r="CI73" s="1"/>
  <c r="X71"/>
  <c r="CI71" s="1"/>
  <c r="X69"/>
  <c r="CI69" s="1"/>
  <c r="X67"/>
  <c r="CI67" s="1"/>
  <c r="X59"/>
  <c r="CI59" s="1"/>
  <c r="X58"/>
  <c r="CI58" s="1"/>
  <c r="X56"/>
  <c r="CI56" s="1"/>
  <c r="X54"/>
  <c r="CI54" s="1"/>
  <c r="X52"/>
  <c r="CI52" s="1"/>
  <c r="X50"/>
  <c r="CI50" s="1"/>
  <c r="X48"/>
  <c r="CI48" s="1"/>
  <c r="X46"/>
  <c r="CI46" s="1"/>
  <c r="X44"/>
  <c r="CI44" s="1"/>
  <c r="X42"/>
  <c r="CI42" s="1"/>
  <c r="X40"/>
  <c r="CI40" s="1"/>
  <c r="X38"/>
  <c r="CI38" s="1"/>
  <c r="X57"/>
  <c r="CI57" s="1"/>
  <c r="X55"/>
  <c r="CI55" s="1"/>
  <c r="X53"/>
  <c r="CI53" s="1"/>
  <c r="X51"/>
  <c r="CI51" s="1"/>
  <c r="X49"/>
  <c r="CI49" s="1"/>
  <c r="X47"/>
  <c r="CI47" s="1"/>
  <c r="X45"/>
  <c r="CI45" s="1"/>
  <c r="X43"/>
  <c r="CI43" s="1"/>
  <c r="AB97"/>
  <c r="AB95"/>
  <c r="AB93"/>
  <c r="AB91"/>
  <c r="AB89"/>
  <c r="AB98"/>
  <c r="AB96"/>
  <c r="AB94"/>
  <c r="AB92"/>
  <c r="AB90"/>
  <c r="AB88"/>
  <c r="AB86"/>
  <c r="AB84"/>
  <c r="AB82"/>
  <c r="AB80"/>
  <c r="AB78"/>
  <c r="AB87"/>
  <c r="AB85"/>
  <c r="AB83"/>
  <c r="AB81"/>
  <c r="AB79"/>
  <c r="AB77"/>
  <c r="AB76"/>
  <c r="AB74"/>
  <c r="AB72"/>
  <c r="AB70"/>
  <c r="AB68"/>
  <c r="AB66"/>
  <c r="AB65"/>
  <c r="AB63"/>
  <c r="AB61"/>
  <c r="AB75"/>
  <c r="AB73"/>
  <c r="AB71"/>
  <c r="AB69"/>
  <c r="AB67"/>
  <c r="AB64"/>
  <c r="AB62"/>
  <c r="AB60"/>
  <c r="AB59"/>
  <c r="AB58"/>
  <c r="AB56"/>
  <c r="AB54"/>
  <c r="AB52"/>
  <c r="AB50"/>
  <c r="AB48"/>
  <c r="AB46"/>
  <c r="AB44"/>
  <c r="AB42"/>
  <c r="AB40"/>
  <c r="AB38"/>
  <c r="AB57"/>
  <c r="AB55"/>
  <c r="AB53"/>
  <c r="AB51"/>
  <c r="AB49"/>
  <c r="AB47"/>
  <c r="AB45"/>
  <c r="AB43"/>
  <c r="AB41"/>
  <c r="AB39"/>
  <c r="AF97"/>
  <c r="AF95"/>
  <c r="AF93"/>
  <c r="AF91"/>
  <c r="AF89"/>
  <c r="AF98"/>
  <c r="AF96"/>
  <c r="AF94"/>
  <c r="AF92"/>
  <c r="AF90"/>
  <c r="AF88"/>
  <c r="AF86"/>
  <c r="AF84"/>
  <c r="AF82"/>
  <c r="AF80"/>
  <c r="AF78"/>
  <c r="AF87"/>
  <c r="AF85"/>
  <c r="AF83"/>
  <c r="AF81"/>
  <c r="AF79"/>
  <c r="AF77"/>
  <c r="AF75"/>
  <c r="AF76"/>
  <c r="AF74"/>
  <c r="AF72"/>
  <c r="AF70"/>
  <c r="AF68"/>
  <c r="AF66"/>
  <c r="AF65"/>
  <c r="AF63"/>
  <c r="AF61"/>
  <c r="AF64"/>
  <c r="AF62"/>
  <c r="AF60"/>
  <c r="AF73"/>
  <c r="AF71"/>
  <c r="AF69"/>
  <c r="AF67"/>
  <c r="AF59"/>
  <c r="AF58"/>
  <c r="AF56"/>
  <c r="AF54"/>
  <c r="AF52"/>
  <c r="AF50"/>
  <c r="AF48"/>
  <c r="AF46"/>
  <c r="AF44"/>
  <c r="AF42"/>
  <c r="AF40"/>
  <c r="AF38"/>
  <c r="AF57"/>
  <c r="AF55"/>
  <c r="AF53"/>
  <c r="AF51"/>
  <c r="AF49"/>
  <c r="AF47"/>
  <c r="AF45"/>
  <c r="AF43"/>
  <c r="AF41"/>
  <c r="T19"/>
  <c r="X19"/>
  <c r="AB19"/>
  <c r="AF19"/>
  <c r="T20"/>
  <c r="X20"/>
  <c r="AB20"/>
  <c r="AF20"/>
  <c r="T21"/>
  <c r="Y21"/>
  <c r="AE21"/>
  <c r="S22"/>
  <c r="X22"/>
  <c r="AC22"/>
  <c r="W23"/>
  <c r="AB23"/>
  <c r="U24"/>
  <c r="AA24"/>
  <c r="T25"/>
  <c r="Y25"/>
  <c r="AE25"/>
  <c r="S26"/>
  <c r="W27"/>
  <c r="AA28"/>
  <c r="W29"/>
  <c r="CF29" s="1"/>
  <c r="S31"/>
  <c r="CE31" s="1"/>
  <c r="AA31"/>
  <c r="S33"/>
  <c r="CE33" s="1"/>
  <c r="AA33"/>
  <c r="S35"/>
  <c r="CE35" s="1"/>
  <c r="AA35"/>
  <c r="X39"/>
  <c r="CI39" s="1"/>
  <c r="Z40"/>
  <c r="T45"/>
  <c r="CH45" s="1"/>
  <c r="Z46"/>
  <c r="T53"/>
  <c r="CH53" s="1"/>
  <c r="Z54"/>
  <c r="U98"/>
  <c r="U96"/>
  <c r="U94"/>
  <c r="U92"/>
  <c r="U90"/>
  <c r="U88"/>
  <c r="U97"/>
  <c r="U95"/>
  <c r="U93"/>
  <c r="U91"/>
  <c r="U89"/>
  <c r="U87"/>
  <c r="U85"/>
  <c r="U83"/>
  <c r="U81"/>
  <c r="U79"/>
  <c r="U77"/>
  <c r="U86"/>
  <c r="U84"/>
  <c r="U82"/>
  <c r="U80"/>
  <c r="U78"/>
  <c r="U76"/>
  <c r="U74"/>
  <c r="U72"/>
  <c r="U70"/>
  <c r="U68"/>
  <c r="U66"/>
  <c r="U75"/>
  <c r="U73"/>
  <c r="U71"/>
  <c r="U69"/>
  <c r="U67"/>
  <c r="U64"/>
  <c r="U62"/>
  <c r="U65"/>
  <c r="U63"/>
  <c r="U61"/>
  <c r="U59"/>
  <c r="U57"/>
  <c r="U55"/>
  <c r="U53"/>
  <c r="U51"/>
  <c r="U49"/>
  <c r="U47"/>
  <c r="U45"/>
  <c r="U43"/>
  <c r="U58"/>
  <c r="U56"/>
  <c r="U54"/>
  <c r="U52"/>
  <c r="U50"/>
  <c r="U48"/>
  <c r="U46"/>
  <c r="U44"/>
  <c r="U42"/>
  <c r="U40"/>
  <c r="U60"/>
  <c r="U41"/>
  <c r="U39"/>
  <c r="U38"/>
  <c r="Y98"/>
  <c r="Y96"/>
  <c r="Y94"/>
  <c r="Y92"/>
  <c r="Y90"/>
  <c r="Y88"/>
  <c r="Y97"/>
  <c r="Y95"/>
  <c r="Y93"/>
  <c r="Y91"/>
  <c r="Y89"/>
  <c r="Y87"/>
  <c r="Y85"/>
  <c r="Y83"/>
  <c r="Y81"/>
  <c r="Y79"/>
  <c r="Y77"/>
  <c r="Y86"/>
  <c r="Y84"/>
  <c r="Y82"/>
  <c r="Y80"/>
  <c r="Y78"/>
  <c r="Y76"/>
  <c r="Y74"/>
  <c r="Y72"/>
  <c r="Y70"/>
  <c r="Y68"/>
  <c r="Y66"/>
  <c r="Y64"/>
  <c r="Y62"/>
  <c r="Y75"/>
  <c r="Y73"/>
  <c r="Y71"/>
  <c r="Y69"/>
  <c r="Y67"/>
  <c r="Y65"/>
  <c r="Y63"/>
  <c r="Y61"/>
  <c r="Y59"/>
  <c r="Y57"/>
  <c r="Y55"/>
  <c r="Y53"/>
  <c r="Y51"/>
  <c r="Y49"/>
  <c r="Y47"/>
  <c r="Y45"/>
  <c r="Y43"/>
  <c r="Y60"/>
  <c r="Y58"/>
  <c r="Y56"/>
  <c r="Y54"/>
  <c r="Y52"/>
  <c r="Y50"/>
  <c r="Y48"/>
  <c r="Y46"/>
  <c r="Y44"/>
  <c r="Y42"/>
  <c r="Y40"/>
  <c r="Y38"/>
  <c r="Y41"/>
  <c r="Y39"/>
  <c r="AC98"/>
  <c r="AC96"/>
  <c r="AC94"/>
  <c r="AC92"/>
  <c r="AC90"/>
  <c r="AC88"/>
  <c r="AC97"/>
  <c r="AC95"/>
  <c r="AC93"/>
  <c r="AC91"/>
  <c r="AC89"/>
  <c r="AC87"/>
  <c r="AC85"/>
  <c r="AC83"/>
  <c r="AC81"/>
  <c r="AC79"/>
  <c r="AC77"/>
  <c r="AC86"/>
  <c r="AC84"/>
  <c r="AC82"/>
  <c r="AC80"/>
  <c r="AC78"/>
  <c r="AC76"/>
  <c r="AC74"/>
  <c r="AC72"/>
  <c r="AC70"/>
  <c r="AC68"/>
  <c r="AC66"/>
  <c r="AC75"/>
  <c r="AC73"/>
  <c r="AC71"/>
  <c r="AC69"/>
  <c r="AC67"/>
  <c r="AC64"/>
  <c r="AC62"/>
  <c r="AC65"/>
  <c r="AC63"/>
  <c r="AC61"/>
  <c r="AC59"/>
  <c r="AC57"/>
  <c r="AC55"/>
  <c r="AC53"/>
  <c r="AC51"/>
  <c r="AC49"/>
  <c r="AC47"/>
  <c r="AC45"/>
  <c r="AC43"/>
  <c r="AC41"/>
  <c r="AC58"/>
  <c r="AC56"/>
  <c r="AC54"/>
  <c r="AC52"/>
  <c r="AC50"/>
  <c r="AC48"/>
  <c r="AC46"/>
  <c r="AC44"/>
  <c r="AC42"/>
  <c r="AC40"/>
  <c r="AC38"/>
  <c r="AC60"/>
  <c r="AC39"/>
  <c r="U19"/>
  <c r="Y19"/>
  <c r="AC19"/>
  <c r="U20"/>
  <c r="Y20"/>
  <c r="AC20"/>
  <c r="U21"/>
  <c r="AA21"/>
  <c r="T22"/>
  <c r="Y22"/>
  <c r="AE22"/>
  <c r="S23"/>
  <c r="X23"/>
  <c r="AC23"/>
  <c r="W24"/>
  <c r="AB24"/>
  <c r="U25"/>
  <c r="AA25"/>
  <c r="T26"/>
  <c r="Y26"/>
  <c r="AE26"/>
  <c r="S27"/>
  <c r="W28"/>
  <c r="CF28" s="1"/>
  <c r="S29"/>
  <c r="CE29" s="1"/>
  <c r="AD29"/>
  <c r="V31"/>
  <c r="AD31"/>
  <c r="V33"/>
  <c r="AD33"/>
  <c r="V35"/>
  <c r="T38"/>
  <c r="CH38" s="1"/>
  <c r="AF39"/>
  <c r="T43"/>
  <c r="CH43" s="1"/>
  <c r="Z44"/>
  <c r="T51"/>
  <c r="CH51" s="1"/>
  <c r="V98"/>
  <c r="V96"/>
  <c r="V94"/>
  <c r="V92"/>
  <c r="V90"/>
  <c r="V88"/>
  <c r="V97"/>
  <c r="V95"/>
  <c r="V93"/>
  <c r="V91"/>
  <c r="V89"/>
  <c r="V87"/>
  <c r="V85"/>
  <c r="V83"/>
  <c r="V81"/>
  <c r="V79"/>
  <c r="V77"/>
  <c r="V86"/>
  <c r="V84"/>
  <c r="V82"/>
  <c r="V80"/>
  <c r="V78"/>
  <c r="V76"/>
  <c r="V75"/>
  <c r="V73"/>
  <c r="V71"/>
  <c r="V69"/>
  <c r="V67"/>
  <c r="V64"/>
  <c r="V62"/>
  <c r="V74"/>
  <c r="V72"/>
  <c r="V70"/>
  <c r="V68"/>
  <c r="V66"/>
  <c r="V65"/>
  <c r="V63"/>
  <c r="V61"/>
  <c r="V59"/>
  <c r="V60"/>
  <c r="V57"/>
  <c r="V55"/>
  <c r="V53"/>
  <c r="V51"/>
  <c r="V49"/>
  <c r="V47"/>
  <c r="V45"/>
  <c r="V43"/>
  <c r="V41"/>
  <c r="V39"/>
  <c r="V56"/>
  <c r="V54"/>
  <c r="V52"/>
  <c r="V50"/>
  <c r="V48"/>
  <c r="V46"/>
  <c r="V44"/>
  <c r="V42"/>
  <c r="V40"/>
  <c r="V38"/>
  <c r="V36"/>
  <c r="V34"/>
  <c r="V32"/>
  <c r="V30"/>
  <c r="V28"/>
  <c r="V27"/>
  <c r="V26"/>
  <c r="V25"/>
  <c r="V24"/>
  <c r="V23"/>
  <c r="V22"/>
  <c r="V21"/>
  <c r="V58"/>
  <c r="Z98"/>
  <c r="Z96"/>
  <c r="Z94"/>
  <c r="Z92"/>
  <c r="Z90"/>
  <c r="Z88"/>
  <c r="Z97"/>
  <c r="Z95"/>
  <c r="Z93"/>
  <c r="Z91"/>
  <c r="Z89"/>
  <c r="Z87"/>
  <c r="Z85"/>
  <c r="Z83"/>
  <c r="Z81"/>
  <c r="Z79"/>
  <c r="Z77"/>
  <c r="Z86"/>
  <c r="Z84"/>
  <c r="Z82"/>
  <c r="Z80"/>
  <c r="Z78"/>
  <c r="Z76"/>
  <c r="Z75"/>
  <c r="Z73"/>
  <c r="Z71"/>
  <c r="Z69"/>
  <c r="Z67"/>
  <c r="Z64"/>
  <c r="Z62"/>
  <c r="Z65"/>
  <c r="Z63"/>
  <c r="Z61"/>
  <c r="Z59"/>
  <c r="Z74"/>
  <c r="Z72"/>
  <c r="Z70"/>
  <c r="Z68"/>
  <c r="Z66"/>
  <c r="Z60"/>
  <c r="Z57"/>
  <c r="Z55"/>
  <c r="Z53"/>
  <c r="Z51"/>
  <c r="Z49"/>
  <c r="Z47"/>
  <c r="Z45"/>
  <c r="Z43"/>
  <c r="Z41"/>
  <c r="Z39"/>
  <c r="Z58"/>
  <c r="Z32"/>
  <c r="Z30"/>
  <c r="Z28"/>
  <c r="Z27"/>
  <c r="Z26"/>
  <c r="Z25"/>
  <c r="Z24"/>
  <c r="Z23"/>
  <c r="Z22"/>
  <c r="Z21"/>
  <c r="AD98"/>
  <c r="AD96"/>
  <c r="AD94"/>
  <c r="AD92"/>
  <c r="AD90"/>
  <c r="AD88"/>
  <c r="AD97"/>
  <c r="AD95"/>
  <c r="AD93"/>
  <c r="AD91"/>
  <c r="AD89"/>
  <c r="AD87"/>
  <c r="AD85"/>
  <c r="AD83"/>
  <c r="AD81"/>
  <c r="AD79"/>
  <c r="AD77"/>
  <c r="AD86"/>
  <c r="AD84"/>
  <c r="AD82"/>
  <c r="AD80"/>
  <c r="AD78"/>
  <c r="AD76"/>
  <c r="AD75"/>
  <c r="AD73"/>
  <c r="AD71"/>
  <c r="AD69"/>
  <c r="AD67"/>
  <c r="AD64"/>
  <c r="AD62"/>
  <c r="AD74"/>
  <c r="AD72"/>
  <c r="AD70"/>
  <c r="AD68"/>
  <c r="AD66"/>
  <c r="AD65"/>
  <c r="AD63"/>
  <c r="AD61"/>
  <c r="AD59"/>
  <c r="AD60"/>
  <c r="AD57"/>
  <c r="AD55"/>
  <c r="AD53"/>
  <c r="AD51"/>
  <c r="AD49"/>
  <c r="AD47"/>
  <c r="AD45"/>
  <c r="AD43"/>
  <c r="AD41"/>
  <c r="AD39"/>
  <c r="AD58"/>
  <c r="AD40"/>
  <c r="AD38"/>
  <c r="AD36"/>
  <c r="AD34"/>
  <c r="AD32"/>
  <c r="AD30"/>
  <c r="AD28"/>
  <c r="AD27"/>
  <c r="AD26"/>
  <c r="AD25"/>
  <c r="AD24"/>
  <c r="AD23"/>
  <c r="AD22"/>
  <c r="AD21"/>
  <c r="AD56"/>
  <c r="AD54"/>
  <c r="AD52"/>
  <c r="AD50"/>
  <c r="AD48"/>
  <c r="AD46"/>
  <c r="AD44"/>
  <c r="AD42"/>
  <c r="V19"/>
  <c r="Z19"/>
  <c r="AD19"/>
  <c r="V20"/>
  <c r="Z20"/>
  <c r="AD20"/>
  <c r="W21"/>
  <c r="AB21"/>
  <c r="U22"/>
  <c r="AA22"/>
  <c r="AF22"/>
  <c r="T23"/>
  <c r="Y23"/>
  <c r="AE23"/>
  <c r="S24"/>
  <c r="X24"/>
  <c r="AC24"/>
  <c r="W25"/>
  <c r="AB25"/>
  <c r="U26"/>
  <c r="AA26"/>
  <c r="T27"/>
  <c r="Y27"/>
  <c r="AE27"/>
  <c r="S28"/>
  <c r="CE28" s="1"/>
  <c r="Z29"/>
  <c r="AE29"/>
  <c r="W31"/>
  <c r="CF31" s="1"/>
  <c r="AE31"/>
  <c r="W33"/>
  <c r="CF33" s="1"/>
  <c r="AE33"/>
  <c r="W35"/>
  <c r="CF35" s="1"/>
  <c r="AE35"/>
  <c r="Z38"/>
  <c r="X41"/>
  <c r="CI41" s="1"/>
  <c r="Z42"/>
  <c r="T49"/>
  <c r="CH49" s="1"/>
  <c r="Z50"/>
  <c r="T57"/>
  <c r="CH57" s="1"/>
  <c r="E30" i="47"/>
  <c r="E31" s="1"/>
  <c r="V29"/>
  <c r="Z29"/>
  <c r="I30"/>
  <c r="I31" s="1"/>
  <c r="M22"/>
  <c r="M23" s="1"/>
  <c r="M24" s="1"/>
  <c r="M25" s="1"/>
  <c r="M26" s="1"/>
  <c r="M27" s="1"/>
  <c r="M28" s="1"/>
  <c r="M29" s="1"/>
  <c r="M30" s="1"/>
  <c r="M31" s="1"/>
  <c r="M32" s="1"/>
  <c r="M33" s="1"/>
  <c r="M34" s="1"/>
  <c r="M35" s="1"/>
  <c r="M36" s="1"/>
  <c r="M37" s="1"/>
  <c r="AD21"/>
  <c r="D30"/>
  <c r="D31" s="1"/>
  <c r="U29"/>
  <c r="H30"/>
  <c r="H31" s="1"/>
  <c r="Y29"/>
  <c r="T97"/>
  <c r="CH97" s="1"/>
  <c r="T95"/>
  <c r="CH95" s="1"/>
  <c r="T93"/>
  <c r="CH93" s="1"/>
  <c r="T91"/>
  <c r="CH91" s="1"/>
  <c r="T89"/>
  <c r="CH89" s="1"/>
  <c r="T87"/>
  <c r="CH87" s="1"/>
  <c r="T98"/>
  <c r="CH98" s="1"/>
  <c r="T96"/>
  <c r="CH96" s="1"/>
  <c r="T94"/>
  <c r="CH94" s="1"/>
  <c r="T92"/>
  <c r="CH92" s="1"/>
  <c r="T90"/>
  <c r="CH90" s="1"/>
  <c r="T88"/>
  <c r="CH88" s="1"/>
  <c r="T86"/>
  <c r="CH86" s="1"/>
  <c r="T85"/>
  <c r="CH85" s="1"/>
  <c r="T83"/>
  <c r="CH83" s="1"/>
  <c r="T81"/>
  <c r="CH81" s="1"/>
  <c r="T79"/>
  <c r="CH79" s="1"/>
  <c r="T84"/>
  <c r="CH84" s="1"/>
  <c r="T82"/>
  <c r="CH82" s="1"/>
  <c r="T80"/>
  <c r="CH80" s="1"/>
  <c r="T78"/>
  <c r="CH78" s="1"/>
  <c r="T76"/>
  <c r="CH76" s="1"/>
  <c r="T73"/>
  <c r="CH73" s="1"/>
  <c r="T71"/>
  <c r="CH71" s="1"/>
  <c r="T69"/>
  <c r="CH69" s="1"/>
  <c r="T67"/>
  <c r="CH67" s="1"/>
  <c r="T65"/>
  <c r="CH65" s="1"/>
  <c r="T64"/>
  <c r="CH64" s="1"/>
  <c r="T75"/>
  <c r="CH75" s="1"/>
  <c r="T63"/>
  <c r="CH63" s="1"/>
  <c r="T61"/>
  <c r="CH61" s="1"/>
  <c r="T59"/>
  <c r="CH59" s="1"/>
  <c r="T77"/>
  <c r="CH77" s="1"/>
  <c r="T62"/>
  <c r="CH62" s="1"/>
  <c r="T60"/>
  <c r="CH60" s="1"/>
  <c r="T58"/>
  <c r="CH58" s="1"/>
  <c r="T56"/>
  <c r="CH56" s="1"/>
  <c r="T54"/>
  <c r="CH54" s="1"/>
  <c r="T52"/>
  <c r="CH52" s="1"/>
  <c r="T50"/>
  <c r="CH50" s="1"/>
  <c r="T48"/>
  <c r="CH48" s="1"/>
  <c r="T46"/>
  <c r="CH46" s="1"/>
  <c r="T44"/>
  <c r="CH44" s="1"/>
  <c r="T42"/>
  <c r="CH42" s="1"/>
  <c r="T68"/>
  <c r="CH68" s="1"/>
  <c r="T72"/>
  <c r="CH72" s="1"/>
  <c r="T57"/>
  <c r="CH57" s="1"/>
  <c r="T55"/>
  <c r="CH55" s="1"/>
  <c r="T53"/>
  <c r="CH53" s="1"/>
  <c r="T51"/>
  <c r="CH51" s="1"/>
  <c r="T49"/>
  <c r="CH49" s="1"/>
  <c r="T47"/>
  <c r="CH47" s="1"/>
  <c r="T45"/>
  <c r="CH45" s="1"/>
  <c r="T43"/>
  <c r="CH43" s="1"/>
  <c r="T41"/>
  <c r="CH41" s="1"/>
  <c r="T74"/>
  <c r="CH74" s="1"/>
  <c r="T70"/>
  <c r="CH70" s="1"/>
  <c r="T66"/>
  <c r="CH66" s="1"/>
  <c r="T38"/>
  <c r="CH38" s="1"/>
  <c r="T36"/>
  <c r="CH36" s="1"/>
  <c r="T34"/>
  <c r="CH34" s="1"/>
  <c r="T32"/>
  <c r="CH32" s="1"/>
  <c r="T30"/>
  <c r="CH30" s="1"/>
  <c r="T26"/>
  <c r="T40"/>
  <c r="CH40" s="1"/>
  <c r="T39"/>
  <c r="CH39" s="1"/>
  <c r="T37"/>
  <c r="CH37" s="1"/>
  <c r="T35"/>
  <c r="CH35" s="1"/>
  <c r="T33"/>
  <c r="CH33" s="1"/>
  <c r="T31"/>
  <c r="CH31" s="1"/>
  <c r="T29"/>
  <c r="CH29" s="1"/>
  <c r="T25"/>
  <c r="T24"/>
  <c r="T28"/>
  <c r="CH28" s="1"/>
  <c r="T27"/>
  <c r="T23"/>
  <c r="T22"/>
  <c r="X97"/>
  <c r="CI97" s="1"/>
  <c r="X95"/>
  <c r="CI95" s="1"/>
  <c r="X93"/>
  <c r="CI93" s="1"/>
  <c r="X91"/>
  <c r="CI91" s="1"/>
  <c r="X89"/>
  <c r="CI89" s="1"/>
  <c r="X87"/>
  <c r="CI87" s="1"/>
  <c r="X98"/>
  <c r="CI98" s="1"/>
  <c r="X96"/>
  <c r="CI96" s="1"/>
  <c r="X94"/>
  <c r="CI94" s="1"/>
  <c r="X92"/>
  <c r="CI92" s="1"/>
  <c r="X90"/>
  <c r="CI90" s="1"/>
  <c r="X88"/>
  <c r="CI88" s="1"/>
  <c r="X86"/>
  <c r="CI86" s="1"/>
  <c r="X85"/>
  <c r="CI85" s="1"/>
  <c r="X83"/>
  <c r="CI83" s="1"/>
  <c r="X81"/>
  <c r="CI81" s="1"/>
  <c r="X79"/>
  <c r="CI79" s="1"/>
  <c r="X84"/>
  <c r="CI84" s="1"/>
  <c r="X82"/>
  <c r="CI82" s="1"/>
  <c r="X80"/>
  <c r="CI80" s="1"/>
  <c r="X78"/>
  <c r="CI78" s="1"/>
  <c r="X76"/>
  <c r="CI76" s="1"/>
  <c r="X77"/>
  <c r="CI77" s="1"/>
  <c r="X75"/>
  <c r="CI75" s="1"/>
  <c r="X73"/>
  <c r="CI73" s="1"/>
  <c r="X71"/>
  <c r="CI71" s="1"/>
  <c r="X69"/>
  <c r="CI69" s="1"/>
  <c r="X67"/>
  <c r="CI67" s="1"/>
  <c r="X65"/>
  <c r="CI65" s="1"/>
  <c r="X74"/>
  <c r="CI74" s="1"/>
  <c r="X72"/>
  <c r="CI72" s="1"/>
  <c r="X70"/>
  <c r="CI70" s="1"/>
  <c r="X68"/>
  <c r="CI68" s="1"/>
  <c r="X66"/>
  <c r="CI66" s="1"/>
  <c r="X64"/>
  <c r="CI64" s="1"/>
  <c r="X63"/>
  <c r="CI63" s="1"/>
  <c r="X61"/>
  <c r="CI61" s="1"/>
  <c r="X59"/>
  <c r="CI59" s="1"/>
  <c r="X56"/>
  <c r="CI56" s="1"/>
  <c r="X54"/>
  <c r="CI54" s="1"/>
  <c r="X52"/>
  <c r="CI52" s="1"/>
  <c r="X50"/>
  <c r="CI50" s="1"/>
  <c r="X48"/>
  <c r="CI48" s="1"/>
  <c r="X46"/>
  <c r="CI46" s="1"/>
  <c r="X44"/>
  <c r="CI44" s="1"/>
  <c r="X42"/>
  <c r="CI42" s="1"/>
  <c r="X62"/>
  <c r="CI62" s="1"/>
  <c r="X60"/>
  <c r="CI60" s="1"/>
  <c r="X58"/>
  <c r="CI58" s="1"/>
  <c r="X57"/>
  <c r="CI57" s="1"/>
  <c r="X55"/>
  <c r="CI55" s="1"/>
  <c r="X53"/>
  <c r="CI53" s="1"/>
  <c r="X51"/>
  <c r="CI51" s="1"/>
  <c r="X49"/>
  <c r="CI49" s="1"/>
  <c r="X47"/>
  <c r="CI47" s="1"/>
  <c r="X45"/>
  <c r="CI45" s="1"/>
  <c r="X43"/>
  <c r="CI43" s="1"/>
  <c r="X41"/>
  <c r="CI41" s="1"/>
  <c r="X39"/>
  <c r="CI39" s="1"/>
  <c r="X40"/>
  <c r="CI40" s="1"/>
  <c r="X38"/>
  <c r="CI38" s="1"/>
  <c r="X36"/>
  <c r="CI36" s="1"/>
  <c r="X27"/>
  <c r="X24"/>
  <c r="X22"/>
  <c r="X37"/>
  <c r="CI37" s="1"/>
  <c r="X35"/>
  <c r="CI35" s="1"/>
  <c r="X33"/>
  <c r="CI33" s="1"/>
  <c r="X31"/>
  <c r="CI31" s="1"/>
  <c r="X29"/>
  <c r="CI29" s="1"/>
  <c r="X34"/>
  <c r="CI34" s="1"/>
  <c r="X32"/>
  <c r="CI32" s="1"/>
  <c r="X30"/>
  <c r="CI30" s="1"/>
  <c r="X23"/>
  <c r="X28"/>
  <c r="CI28" s="1"/>
  <c r="X26"/>
  <c r="X25"/>
  <c r="AD97"/>
  <c r="AD95"/>
  <c r="AD93"/>
  <c r="AD91"/>
  <c r="AD89"/>
  <c r="AD87"/>
  <c r="AD98"/>
  <c r="AD96"/>
  <c r="AD94"/>
  <c r="AD92"/>
  <c r="AD90"/>
  <c r="AD88"/>
  <c r="AD86"/>
  <c r="AD85"/>
  <c r="AD83"/>
  <c r="AD81"/>
  <c r="AD79"/>
  <c r="AD84"/>
  <c r="AD82"/>
  <c r="AD80"/>
  <c r="AD78"/>
  <c r="AD76"/>
  <c r="AD73"/>
  <c r="AD71"/>
  <c r="AD69"/>
  <c r="AD67"/>
  <c r="AD65"/>
  <c r="AD77"/>
  <c r="AD63"/>
  <c r="AD61"/>
  <c r="AD59"/>
  <c r="AD62"/>
  <c r="AD60"/>
  <c r="AD58"/>
  <c r="AD56"/>
  <c r="AD54"/>
  <c r="AD52"/>
  <c r="AD50"/>
  <c r="AD48"/>
  <c r="AD46"/>
  <c r="AD44"/>
  <c r="AD42"/>
  <c r="AD40"/>
  <c r="AD72"/>
  <c r="AD70"/>
  <c r="AD66"/>
  <c r="AD64"/>
  <c r="AD75"/>
  <c r="AD74"/>
  <c r="AD57"/>
  <c r="AD55"/>
  <c r="AD53"/>
  <c r="AD51"/>
  <c r="AD49"/>
  <c r="AD47"/>
  <c r="AD45"/>
  <c r="AD43"/>
  <c r="AD41"/>
  <c r="AD39"/>
  <c r="AD68"/>
  <c r="AD38"/>
  <c r="AD36"/>
  <c r="AD37"/>
  <c r="AD35"/>
  <c r="AD33"/>
  <c r="AD31"/>
  <c r="AD29"/>
  <c r="AD28"/>
  <c r="AD27"/>
  <c r="AD26"/>
  <c r="AD25"/>
  <c r="AD22"/>
  <c r="AD34"/>
  <c r="AD32"/>
  <c r="AD30"/>
  <c r="AD24"/>
  <c r="AD23"/>
  <c r="T19"/>
  <c r="AD20"/>
  <c r="T21"/>
  <c r="T20"/>
  <c r="X19"/>
  <c r="X21"/>
  <c r="AC37"/>
  <c r="X20"/>
  <c r="U98"/>
  <c r="U96"/>
  <c r="U94"/>
  <c r="U92"/>
  <c r="U90"/>
  <c r="U88"/>
  <c r="U86"/>
  <c r="U97"/>
  <c r="U95"/>
  <c r="U93"/>
  <c r="U91"/>
  <c r="U85"/>
  <c r="U83"/>
  <c r="U81"/>
  <c r="U79"/>
  <c r="U87"/>
  <c r="U84"/>
  <c r="U82"/>
  <c r="U80"/>
  <c r="U78"/>
  <c r="U76"/>
  <c r="U89"/>
  <c r="U77"/>
  <c r="U75"/>
  <c r="U74"/>
  <c r="U72"/>
  <c r="U70"/>
  <c r="U68"/>
  <c r="U66"/>
  <c r="U65"/>
  <c r="U63"/>
  <c r="U61"/>
  <c r="U59"/>
  <c r="U73"/>
  <c r="U69"/>
  <c r="U64"/>
  <c r="U57"/>
  <c r="U55"/>
  <c r="U53"/>
  <c r="U51"/>
  <c r="U49"/>
  <c r="U47"/>
  <c r="U45"/>
  <c r="U43"/>
  <c r="U41"/>
  <c r="U71"/>
  <c r="U67"/>
  <c r="U62"/>
  <c r="U60"/>
  <c r="U58"/>
  <c r="U56"/>
  <c r="U54"/>
  <c r="U52"/>
  <c r="U50"/>
  <c r="U48"/>
  <c r="U46"/>
  <c r="U44"/>
  <c r="U42"/>
  <c r="Y98"/>
  <c r="Y96"/>
  <c r="Y94"/>
  <c r="Y92"/>
  <c r="Y90"/>
  <c r="Y88"/>
  <c r="Y86"/>
  <c r="Y97"/>
  <c r="Y95"/>
  <c r="Y93"/>
  <c r="Y91"/>
  <c r="Y87"/>
  <c r="Y85"/>
  <c r="Y83"/>
  <c r="Y81"/>
  <c r="Y79"/>
  <c r="Y89"/>
  <c r="Y84"/>
  <c r="Y82"/>
  <c r="Y80"/>
  <c r="Y78"/>
  <c r="Y76"/>
  <c r="Y74"/>
  <c r="Y72"/>
  <c r="Y70"/>
  <c r="Y68"/>
  <c r="Y66"/>
  <c r="Y75"/>
  <c r="Y64"/>
  <c r="Y63"/>
  <c r="Y61"/>
  <c r="Y59"/>
  <c r="Y73"/>
  <c r="Y71"/>
  <c r="Y69"/>
  <c r="Y67"/>
  <c r="Y65"/>
  <c r="Y77"/>
  <c r="Y62"/>
  <c r="Y60"/>
  <c r="Y58"/>
  <c r="Y57"/>
  <c r="Y55"/>
  <c r="Y53"/>
  <c r="Y51"/>
  <c r="Y49"/>
  <c r="Y47"/>
  <c r="Y45"/>
  <c r="Y43"/>
  <c r="Y41"/>
  <c r="Y56"/>
  <c r="Y54"/>
  <c r="Y52"/>
  <c r="Y50"/>
  <c r="Y48"/>
  <c r="Y46"/>
  <c r="Y44"/>
  <c r="Y42"/>
  <c r="U19"/>
  <c r="Y19"/>
  <c r="U20"/>
  <c r="Y20"/>
  <c r="U21"/>
  <c r="Y21"/>
  <c r="U22"/>
  <c r="Y22"/>
  <c r="U23"/>
  <c r="Y23"/>
  <c r="U24"/>
  <c r="Y24"/>
  <c r="U25"/>
  <c r="Y25"/>
  <c r="U26"/>
  <c r="Y26"/>
  <c r="U27"/>
  <c r="Y27"/>
  <c r="U28"/>
  <c r="Y28"/>
  <c r="S29"/>
  <c r="CE29" s="1"/>
  <c r="W29"/>
  <c r="CF29" s="1"/>
  <c r="AC29"/>
  <c r="U30"/>
  <c r="Y30"/>
  <c r="S31"/>
  <c r="CE31" s="1"/>
  <c r="W31"/>
  <c r="CF31" s="1"/>
  <c r="AC31"/>
  <c r="S33"/>
  <c r="CE33" s="1"/>
  <c r="W33"/>
  <c r="CF33" s="1"/>
  <c r="AC33"/>
  <c r="S35"/>
  <c r="CE35" s="1"/>
  <c r="W35"/>
  <c r="CF35" s="1"/>
  <c r="AC35"/>
  <c r="S37"/>
  <c r="CE37" s="1"/>
  <c r="W37"/>
  <c r="CF37" s="1"/>
  <c r="U38"/>
  <c r="Y38"/>
  <c r="S39"/>
  <c r="CE39" s="1"/>
  <c r="W39"/>
  <c r="CF39" s="1"/>
  <c r="Y40"/>
  <c r="V98"/>
  <c r="V96"/>
  <c r="V94"/>
  <c r="V92"/>
  <c r="V90"/>
  <c r="V88"/>
  <c r="V86"/>
  <c r="V97"/>
  <c r="V95"/>
  <c r="V93"/>
  <c r="V91"/>
  <c r="V89"/>
  <c r="V87"/>
  <c r="V84"/>
  <c r="V82"/>
  <c r="V80"/>
  <c r="V85"/>
  <c r="V83"/>
  <c r="V81"/>
  <c r="V79"/>
  <c r="V77"/>
  <c r="V75"/>
  <c r="V76"/>
  <c r="V74"/>
  <c r="V72"/>
  <c r="V70"/>
  <c r="V68"/>
  <c r="V66"/>
  <c r="V64"/>
  <c r="V78"/>
  <c r="V62"/>
  <c r="V60"/>
  <c r="V58"/>
  <c r="V73"/>
  <c r="V57"/>
  <c r="V55"/>
  <c r="V53"/>
  <c r="V51"/>
  <c r="V49"/>
  <c r="V47"/>
  <c r="V45"/>
  <c r="V43"/>
  <c r="V41"/>
  <c r="V71"/>
  <c r="V67"/>
  <c r="V65"/>
  <c r="V63"/>
  <c r="V61"/>
  <c r="V59"/>
  <c r="V56"/>
  <c r="V54"/>
  <c r="V52"/>
  <c r="V50"/>
  <c r="V48"/>
  <c r="V46"/>
  <c r="V44"/>
  <c r="V42"/>
  <c r="V40"/>
  <c r="V69"/>
  <c r="Z98"/>
  <c r="Z96"/>
  <c r="Z94"/>
  <c r="Z92"/>
  <c r="Z90"/>
  <c r="Z88"/>
  <c r="Z86"/>
  <c r="Z97"/>
  <c r="Z95"/>
  <c r="Z93"/>
  <c r="Z91"/>
  <c r="Z89"/>
  <c r="Z87"/>
  <c r="Z84"/>
  <c r="Z82"/>
  <c r="Z80"/>
  <c r="Z85"/>
  <c r="Z83"/>
  <c r="Z81"/>
  <c r="Z79"/>
  <c r="Z77"/>
  <c r="Z75"/>
  <c r="Z78"/>
  <c r="Z74"/>
  <c r="Z72"/>
  <c r="Z70"/>
  <c r="Z68"/>
  <c r="Z66"/>
  <c r="Z64"/>
  <c r="Z73"/>
  <c r="Z71"/>
  <c r="Z69"/>
  <c r="Z67"/>
  <c r="Z65"/>
  <c r="Z76"/>
  <c r="Z62"/>
  <c r="Z60"/>
  <c r="Z58"/>
  <c r="Z63"/>
  <c r="Z61"/>
  <c r="Z59"/>
  <c r="Z57"/>
  <c r="Z55"/>
  <c r="Z53"/>
  <c r="Z51"/>
  <c r="Z49"/>
  <c r="Z47"/>
  <c r="Z45"/>
  <c r="Z43"/>
  <c r="Z41"/>
  <c r="Z56"/>
  <c r="Z54"/>
  <c r="Z52"/>
  <c r="Z50"/>
  <c r="Z48"/>
  <c r="Z46"/>
  <c r="Z44"/>
  <c r="Z42"/>
  <c r="Z40"/>
  <c r="V19"/>
  <c r="Z19"/>
  <c r="V20"/>
  <c r="Z20"/>
  <c r="V21"/>
  <c r="Z21"/>
  <c r="V22"/>
  <c r="Z22"/>
  <c r="V23"/>
  <c r="Z23"/>
  <c r="V24"/>
  <c r="Z24"/>
  <c r="V25"/>
  <c r="Z25"/>
  <c r="V26"/>
  <c r="Z26"/>
  <c r="V27"/>
  <c r="Z27"/>
  <c r="V28"/>
  <c r="Z28"/>
  <c r="V30"/>
  <c r="Z30"/>
  <c r="V38"/>
  <c r="Z38"/>
  <c r="Y39"/>
  <c r="S97"/>
  <c r="CE97" s="1"/>
  <c r="S95"/>
  <c r="CE95" s="1"/>
  <c r="S93"/>
  <c r="CE93" s="1"/>
  <c r="S91"/>
  <c r="CE91" s="1"/>
  <c r="S89"/>
  <c r="CE89" s="1"/>
  <c r="S87"/>
  <c r="CE87" s="1"/>
  <c r="S98"/>
  <c r="CE98" s="1"/>
  <c r="S96"/>
  <c r="CE96" s="1"/>
  <c r="S94"/>
  <c r="CE94" s="1"/>
  <c r="S92"/>
  <c r="CE92" s="1"/>
  <c r="S90"/>
  <c r="CE90" s="1"/>
  <c r="S88"/>
  <c r="CE88" s="1"/>
  <c r="S84"/>
  <c r="CE84" s="1"/>
  <c r="S82"/>
  <c r="CE82" s="1"/>
  <c r="S80"/>
  <c r="CE80" s="1"/>
  <c r="S86"/>
  <c r="CE86" s="1"/>
  <c r="S85"/>
  <c r="CE85" s="1"/>
  <c r="S83"/>
  <c r="CE83" s="1"/>
  <c r="S81"/>
  <c r="CE81" s="1"/>
  <c r="S79"/>
  <c r="CE79" s="1"/>
  <c r="S77"/>
  <c r="CE77" s="1"/>
  <c r="S75"/>
  <c r="CE75" s="1"/>
  <c r="S76"/>
  <c r="CE76" s="1"/>
  <c r="S73"/>
  <c r="CE73" s="1"/>
  <c r="S71"/>
  <c r="CE71" s="1"/>
  <c r="S69"/>
  <c r="CE69" s="1"/>
  <c r="S67"/>
  <c r="CE67" s="1"/>
  <c r="S78"/>
  <c r="CE78" s="1"/>
  <c r="S74"/>
  <c r="CE74" s="1"/>
  <c r="S72"/>
  <c r="CE72" s="1"/>
  <c r="S70"/>
  <c r="CE70" s="1"/>
  <c r="S68"/>
  <c r="CE68" s="1"/>
  <c r="S66"/>
  <c r="CE66" s="1"/>
  <c r="S62"/>
  <c r="CE62" s="1"/>
  <c r="S60"/>
  <c r="CE60" s="1"/>
  <c r="S65"/>
  <c r="CE65" s="1"/>
  <c r="S64"/>
  <c r="CE64" s="1"/>
  <c r="S58"/>
  <c r="CE58" s="1"/>
  <c r="S56"/>
  <c r="CE56" s="1"/>
  <c r="S54"/>
  <c r="CE54" s="1"/>
  <c r="S52"/>
  <c r="CE52" s="1"/>
  <c r="S50"/>
  <c r="CE50" s="1"/>
  <c r="S48"/>
  <c r="CE48" s="1"/>
  <c r="S46"/>
  <c r="CE46" s="1"/>
  <c r="S44"/>
  <c r="CE44" s="1"/>
  <c r="S42"/>
  <c r="CE42" s="1"/>
  <c r="S40"/>
  <c r="CE40" s="1"/>
  <c r="S63"/>
  <c r="CE63" s="1"/>
  <c r="S61"/>
  <c r="CE61" s="1"/>
  <c r="S59"/>
  <c r="CE59" s="1"/>
  <c r="S57"/>
  <c r="CE57" s="1"/>
  <c r="S55"/>
  <c r="CE55" s="1"/>
  <c r="S53"/>
  <c r="CE53" s="1"/>
  <c r="S51"/>
  <c r="CE51" s="1"/>
  <c r="S49"/>
  <c r="CE49" s="1"/>
  <c r="S47"/>
  <c r="CE47" s="1"/>
  <c r="S45"/>
  <c r="CE45" s="1"/>
  <c r="S43"/>
  <c r="CE43" s="1"/>
  <c r="W97"/>
  <c r="CF97" s="1"/>
  <c r="W95"/>
  <c r="CF95" s="1"/>
  <c r="W93"/>
  <c r="CF93" s="1"/>
  <c r="W91"/>
  <c r="CF91" s="1"/>
  <c r="W89"/>
  <c r="CF89" s="1"/>
  <c r="W87"/>
  <c r="CF87" s="1"/>
  <c r="W98"/>
  <c r="CF98" s="1"/>
  <c r="W96"/>
  <c r="CF96" s="1"/>
  <c r="W94"/>
  <c r="CF94" s="1"/>
  <c r="W92"/>
  <c r="CF92" s="1"/>
  <c r="W90"/>
  <c r="CF90" s="1"/>
  <c r="W84"/>
  <c r="CF84" s="1"/>
  <c r="W82"/>
  <c r="CF82" s="1"/>
  <c r="W80"/>
  <c r="CF80" s="1"/>
  <c r="W86"/>
  <c r="CF86" s="1"/>
  <c r="W85"/>
  <c r="CF85" s="1"/>
  <c r="W83"/>
  <c r="CF83" s="1"/>
  <c r="W81"/>
  <c r="CF81" s="1"/>
  <c r="W79"/>
  <c r="CF79" s="1"/>
  <c r="W77"/>
  <c r="CF77" s="1"/>
  <c r="W75"/>
  <c r="CF75" s="1"/>
  <c r="W88"/>
  <c r="CF88" s="1"/>
  <c r="W78"/>
  <c r="CF78" s="1"/>
  <c r="W73"/>
  <c r="CF73" s="1"/>
  <c r="W71"/>
  <c r="CF71" s="1"/>
  <c r="W69"/>
  <c r="CF69" s="1"/>
  <c r="W67"/>
  <c r="CF67" s="1"/>
  <c r="W62"/>
  <c r="CF62" s="1"/>
  <c r="W60"/>
  <c r="CF60" s="1"/>
  <c r="W58"/>
  <c r="CF58" s="1"/>
  <c r="W76"/>
  <c r="CF76" s="1"/>
  <c r="W74"/>
  <c r="CF74" s="1"/>
  <c r="W72"/>
  <c r="CF72" s="1"/>
  <c r="W68"/>
  <c r="CF68" s="1"/>
  <c r="W65"/>
  <c r="CF65" s="1"/>
  <c r="W63"/>
  <c r="CF63" s="1"/>
  <c r="W61"/>
  <c r="CF61" s="1"/>
  <c r="W59"/>
  <c r="CF59" s="1"/>
  <c r="W56"/>
  <c r="CF56" s="1"/>
  <c r="W54"/>
  <c r="CF54" s="1"/>
  <c r="W52"/>
  <c r="CF52" s="1"/>
  <c r="W50"/>
  <c r="CF50" s="1"/>
  <c r="W48"/>
  <c r="CF48" s="1"/>
  <c r="W46"/>
  <c r="CF46" s="1"/>
  <c r="W44"/>
  <c r="CF44" s="1"/>
  <c r="W42"/>
  <c r="CF42" s="1"/>
  <c r="W40"/>
  <c r="CF40" s="1"/>
  <c r="W70"/>
  <c r="CF70" s="1"/>
  <c r="W66"/>
  <c r="CF66" s="1"/>
  <c r="W64"/>
  <c r="CF64" s="1"/>
  <c r="W57"/>
  <c r="CF57" s="1"/>
  <c r="W55"/>
  <c r="CF55" s="1"/>
  <c r="W53"/>
  <c r="CF53" s="1"/>
  <c r="W51"/>
  <c r="CF51" s="1"/>
  <c r="W49"/>
  <c r="CF49" s="1"/>
  <c r="W47"/>
  <c r="CF47" s="1"/>
  <c r="W45"/>
  <c r="CF45" s="1"/>
  <c r="W43"/>
  <c r="CF43" s="1"/>
  <c r="AC97"/>
  <c r="AC95"/>
  <c r="AC93"/>
  <c r="AC91"/>
  <c r="AC89"/>
  <c r="AC87"/>
  <c r="AC98"/>
  <c r="AC96"/>
  <c r="AC94"/>
  <c r="AC92"/>
  <c r="AC90"/>
  <c r="AC86"/>
  <c r="AC84"/>
  <c r="AC82"/>
  <c r="AC80"/>
  <c r="AC88"/>
  <c r="AC85"/>
  <c r="AC83"/>
  <c r="AC81"/>
  <c r="AC79"/>
  <c r="AC77"/>
  <c r="AC75"/>
  <c r="AC76"/>
  <c r="AC73"/>
  <c r="AC71"/>
  <c r="AC69"/>
  <c r="AC67"/>
  <c r="AC78"/>
  <c r="AC74"/>
  <c r="AC72"/>
  <c r="AC70"/>
  <c r="AC68"/>
  <c r="AC66"/>
  <c r="AC62"/>
  <c r="AC60"/>
  <c r="AC58"/>
  <c r="AC65"/>
  <c r="AC56"/>
  <c r="AC54"/>
  <c r="AC52"/>
  <c r="AC50"/>
  <c r="AC48"/>
  <c r="AC46"/>
  <c r="AC44"/>
  <c r="AC42"/>
  <c r="AC40"/>
  <c r="AC64"/>
  <c r="AC63"/>
  <c r="AC61"/>
  <c r="AC59"/>
  <c r="AC57"/>
  <c r="AC55"/>
  <c r="AC53"/>
  <c r="AC51"/>
  <c r="AC49"/>
  <c r="AC47"/>
  <c r="AC45"/>
  <c r="AC43"/>
  <c r="S19"/>
  <c r="W19"/>
  <c r="AC19"/>
  <c r="S20"/>
  <c r="W20"/>
  <c r="AC20"/>
  <c r="S21"/>
  <c r="W21"/>
  <c r="AC21"/>
  <c r="S22"/>
  <c r="W22"/>
  <c r="AC22"/>
  <c r="S23"/>
  <c r="W23"/>
  <c r="AC23"/>
  <c r="S24"/>
  <c r="W24"/>
  <c r="AC24"/>
  <c r="S25"/>
  <c r="W25"/>
  <c r="AC25"/>
  <c r="S26"/>
  <c r="W26"/>
  <c r="AC26"/>
  <c r="S27"/>
  <c r="W27"/>
  <c r="AC27"/>
  <c r="S28"/>
  <c r="CE28" s="1"/>
  <c r="W28"/>
  <c r="CF28" s="1"/>
  <c r="AC28"/>
  <c r="S30"/>
  <c r="CE30" s="1"/>
  <c r="W30"/>
  <c r="CF30" s="1"/>
  <c r="AC30"/>
  <c r="S32"/>
  <c r="CE32" s="1"/>
  <c r="W32"/>
  <c r="CF32" s="1"/>
  <c r="AC32"/>
  <c r="S34"/>
  <c r="CE34" s="1"/>
  <c r="W34"/>
  <c r="CF34" s="1"/>
  <c r="AC34"/>
  <c r="S36"/>
  <c r="CE36" s="1"/>
  <c r="W36"/>
  <c r="CF36" s="1"/>
  <c r="AC36"/>
  <c r="S38"/>
  <c r="CE38" s="1"/>
  <c r="W38"/>
  <c r="CF38" s="1"/>
  <c r="AC38"/>
  <c r="U39"/>
  <c r="Z39"/>
  <c r="U40"/>
  <c r="AC41"/>
  <c r="V39"/>
  <c r="AC39"/>
  <c r="W47" i="46"/>
  <c r="CF47" s="1"/>
  <c r="V98"/>
  <c r="V96"/>
  <c r="V94"/>
  <c r="V92"/>
  <c r="V90"/>
  <c r="V88"/>
  <c r="V86"/>
  <c r="V97"/>
  <c r="V95"/>
  <c r="V93"/>
  <c r="V91"/>
  <c r="V89"/>
  <c r="V87"/>
  <c r="V85"/>
  <c r="V83"/>
  <c r="V81"/>
  <c r="V79"/>
  <c r="V77"/>
  <c r="V75"/>
  <c r="V84"/>
  <c r="V82"/>
  <c r="V80"/>
  <c r="V78"/>
  <c r="V76"/>
  <c r="V74"/>
  <c r="V72"/>
  <c r="V70"/>
  <c r="V73"/>
  <c r="V71"/>
  <c r="V69"/>
  <c r="V67"/>
  <c r="V65"/>
  <c r="V63"/>
  <c r="V61"/>
  <c r="V59"/>
  <c r="V57"/>
  <c r="V55"/>
  <c r="V53"/>
  <c r="V68"/>
  <c r="V66"/>
  <c r="V64"/>
  <c r="V62"/>
  <c r="V60"/>
  <c r="V58"/>
  <c r="V56"/>
  <c r="V54"/>
  <c r="V52"/>
  <c r="V50"/>
  <c r="V47"/>
  <c r="V45"/>
  <c r="V43"/>
  <c r="V41"/>
  <c r="V39"/>
  <c r="V37"/>
  <c r="V35"/>
  <c r="V33"/>
  <c r="V31"/>
  <c r="V29"/>
  <c r="AC97"/>
  <c r="AC95"/>
  <c r="AC93"/>
  <c r="AC91"/>
  <c r="AC89"/>
  <c r="AC87"/>
  <c r="AC98"/>
  <c r="AC96"/>
  <c r="AC94"/>
  <c r="AC92"/>
  <c r="AC90"/>
  <c r="AC88"/>
  <c r="AC86"/>
  <c r="AC84"/>
  <c r="AC82"/>
  <c r="AC80"/>
  <c r="AC78"/>
  <c r="AC76"/>
  <c r="AC74"/>
  <c r="AC85"/>
  <c r="AC83"/>
  <c r="AC81"/>
  <c r="AC79"/>
  <c r="AC77"/>
  <c r="AC75"/>
  <c r="AC72"/>
  <c r="AC70"/>
  <c r="AC73"/>
  <c r="AC71"/>
  <c r="AC69"/>
  <c r="AC67"/>
  <c r="AC65"/>
  <c r="AC63"/>
  <c r="AC61"/>
  <c r="AC60"/>
  <c r="AC58"/>
  <c r="AC56"/>
  <c r="AC54"/>
  <c r="AC68"/>
  <c r="AC66"/>
  <c r="AC64"/>
  <c r="AC62"/>
  <c r="AC59"/>
  <c r="AC57"/>
  <c r="AC55"/>
  <c r="AC53"/>
  <c r="AC51"/>
  <c r="AC49"/>
  <c r="AC52"/>
  <c r="AC50"/>
  <c r="AC48"/>
  <c r="AC46"/>
  <c r="AC44"/>
  <c r="AC42"/>
  <c r="AC40"/>
  <c r="AC38"/>
  <c r="AC36"/>
  <c r="AC34"/>
  <c r="AC32"/>
  <c r="AC30"/>
  <c r="AC28"/>
  <c r="AC27"/>
  <c r="AC26"/>
  <c r="AC19"/>
  <c r="W20"/>
  <c r="T97"/>
  <c r="CH97" s="1"/>
  <c r="T95"/>
  <c r="CH95" s="1"/>
  <c r="T93"/>
  <c r="CH93" s="1"/>
  <c r="T91"/>
  <c r="CH91" s="1"/>
  <c r="T89"/>
  <c r="CH89" s="1"/>
  <c r="T87"/>
  <c r="CH87" s="1"/>
  <c r="T98"/>
  <c r="CH98" s="1"/>
  <c r="T96"/>
  <c r="CH96" s="1"/>
  <c r="T94"/>
  <c r="CH94" s="1"/>
  <c r="T92"/>
  <c r="CH92" s="1"/>
  <c r="T90"/>
  <c r="CH90" s="1"/>
  <c r="T88"/>
  <c r="CH88" s="1"/>
  <c r="T86"/>
  <c r="CH86" s="1"/>
  <c r="T84"/>
  <c r="CH84" s="1"/>
  <c r="T82"/>
  <c r="CH82" s="1"/>
  <c r="T80"/>
  <c r="CH80" s="1"/>
  <c r="T78"/>
  <c r="CH78" s="1"/>
  <c r="T76"/>
  <c r="CH76" s="1"/>
  <c r="T74"/>
  <c r="CH74" s="1"/>
  <c r="T85"/>
  <c r="CH85" s="1"/>
  <c r="T83"/>
  <c r="CH83" s="1"/>
  <c r="T81"/>
  <c r="CH81" s="1"/>
  <c r="T79"/>
  <c r="CH79" s="1"/>
  <c r="T77"/>
  <c r="CH77" s="1"/>
  <c r="T75"/>
  <c r="CH75" s="1"/>
  <c r="T73"/>
  <c r="CH73" s="1"/>
  <c r="T71"/>
  <c r="CH71" s="1"/>
  <c r="T72"/>
  <c r="CH72" s="1"/>
  <c r="T70"/>
  <c r="CH70" s="1"/>
  <c r="T68"/>
  <c r="CH68" s="1"/>
  <c r="T66"/>
  <c r="CH66" s="1"/>
  <c r="T64"/>
  <c r="CH64" s="1"/>
  <c r="T62"/>
  <c r="CH62" s="1"/>
  <c r="T69"/>
  <c r="CH69" s="1"/>
  <c r="T67"/>
  <c r="CH67" s="1"/>
  <c r="T65"/>
  <c r="CH65" s="1"/>
  <c r="T63"/>
  <c r="CH63" s="1"/>
  <c r="T60"/>
  <c r="CH60" s="1"/>
  <c r="T58"/>
  <c r="CH58" s="1"/>
  <c r="T56"/>
  <c r="CH56" s="1"/>
  <c r="T54"/>
  <c r="CH54" s="1"/>
  <c r="T61"/>
  <c r="CH61" s="1"/>
  <c r="T59"/>
  <c r="CH59" s="1"/>
  <c r="T57"/>
  <c r="CH57" s="1"/>
  <c r="T55"/>
  <c r="CH55" s="1"/>
  <c r="T53"/>
  <c r="CH53" s="1"/>
  <c r="T51"/>
  <c r="CH51" s="1"/>
  <c r="T49"/>
  <c r="CH49" s="1"/>
  <c r="T52"/>
  <c r="CH52" s="1"/>
  <c r="T50"/>
  <c r="CH50" s="1"/>
  <c r="T48"/>
  <c r="CH48" s="1"/>
  <c r="T46"/>
  <c r="CH46" s="1"/>
  <c r="T44"/>
  <c r="CH44" s="1"/>
  <c r="T42"/>
  <c r="CH42" s="1"/>
  <c r="T40"/>
  <c r="CH40" s="1"/>
  <c r="T38"/>
  <c r="CH38" s="1"/>
  <c r="T36"/>
  <c r="CH36" s="1"/>
  <c r="T34"/>
  <c r="CH34" s="1"/>
  <c r="T32"/>
  <c r="CH32" s="1"/>
  <c r="T30"/>
  <c r="CH30" s="1"/>
  <c r="T28"/>
  <c r="CH28" s="1"/>
  <c r="T27"/>
  <c r="T26"/>
  <c r="X97"/>
  <c r="CI97" s="1"/>
  <c r="X95"/>
  <c r="CI95" s="1"/>
  <c r="X93"/>
  <c r="CI93" s="1"/>
  <c r="X91"/>
  <c r="CI91" s="1"/>
  <c r="X89"/>
  <c r="CI89" s="1"/>
  <c r="X87"/>
  <c r="CI87" s="1"/>
  <c r="X98"/>
  <c r="CI98" s="1"/>
  <c r="X96"/>
  <c r="CI96" s="1"/>
  <c r="X94"/>
  <c r="CI94" s="1"/>
  <c r="X92"/>
  <c r="CI92" s="1"/>
  <c r="X90"/>
  <c r="CI90" s="1"/>
  <c r="X88"/>
  <c r="CI88" s="1"/>
  <c r="X86"/>
  <c r="CI86" s="1"/>
  <c r="X84"/>
  <c r="CI84" s="1"/>
  <c r="X82"/>
  <c r="CI82" s="1"/>
  <c r="X80"/>
  <c r="CI80" s="1"/>
  <c r="X78"/>
  <c r="CI78" s="1"/>
  <c r="X76"/>
  <c r="CI76" s="1"/>
  <c r="X74"/>
  <c r="CI74" s="1"/>
  <c r="X85"/>
  <c r="CI85" s="1"/>
  <c r="X83"/>
  <c r="CI83" s="1"/>
  <c r="X81"/>
  <c r="CI81" s="1"/>
  <c r="X79"/>
  <c r="CI79" s="1"/>
  <c r="X77"/>
  <c r="CI77" s="1"/>
  <c r="X75"/>
  <c r="CI75" s="1"/>
  <c r="X73"/>
  <c r="CI73" s="1"/>
  <c r="X71"/>
  <c r="CI71" s="1"/>
  <c r="X72"/>
  <c r="CI72" s="1"/>
  <c r="X70"/>
  <c r="CI70" s="1"/>
  <c r="X68"/>
  <c r="CI68" s="1"/>
  <c r="X66"/>
  <c r="CI66" s="1"/>
  <c r="X64"/>
  <c r="CI64" s="1"/>
  <c r="X62"/>
  <c r="CI62" s="1"/>
  <c r="X60"/>
  <c r="CI60" s="1"/>
  <c r="X58"/>
  <c r="CI58" s="1"/>
  <c r="X56"/>
  <c r="CI56" s="1"/>
  <c r="X54"/>
  <c r="CI54" s="1"/>
  <c r="X69"/>
  <c r="CI69" s="1"/>
  <c r="X67"/>
  <c r="CI67" s="1"/>
  <c r="X65"/>
  <c r="CI65" s="1"/>
  <c r="X63"/>
  <c r="CI63" s="1"/>
  <c r="X61"/>
  <c r="CI61" s="1"/>
  <c r="X59"/>
  <c r="CI59" s="1"/>
  <c r="X57"/>
  <c r="CI57" s="1"/>
  <c r="X55"/>
  <c r="CI55" s="1"/>
  <c r="X53"/>
  <c r="CI53" s="1"/>
  <c r="X51"/>
  <c r="CI51" s="1"/>
  <c r="X49"/>
  <c r="CI49" s="1"/>
  <c r="X48"/>
  <c r="CI48" s="1"/>
  <c r="X46"/>
  <c r="CI46" s="1"/>
  <c r="X44"/>
  <c r="CI44" s="1"/>
  <c r="X42"/>
  <c r="CI42" s="1"/>
  <c r="X40"/>
  <c r="CI40" s="1"/>
  <c r="X38"/>
  <c r="CI38" s="1"/>
  <c r="X36"/>
  <c r="CI36" s="1"/>
  <c r="X34"/>
  <c r="CI34" s="1"/>
  <c r="X32"/>
  <c r="CI32" s="1"/>
  <c r="X30"/>
  <c r="CI30" s="1"/>
  <c r="X28"/>
  <c r="CI28" s="1"/>
  <c r="X27"/>
  <c r="X26"/>
  <c r="AD97"/>
  <c r="AD95"/>
  <c r="AD93"/>
  <c r="AD91"/>
  <c r="AD89"/>
  <c r="AD87"/>
  <c r="AD98"/>
  <c r="AD96"/>
  <c r="AD94"/>
  <c r="AD92"/>
  <c r="AD90"/>
  <c r="AD88"/>
  <c r="AD86"/>
  <c r="AD84"/>
  <c r="AD82"/>
  <c r="AD80"/>
  <c r="AD78"/>
  <c r="AD76"/>
  <c r="AD74"/>
  <c r="AD85"/>
  <c r="AD83"/>
  <c r="AD81"/>
  <c r="AD79"/>
  <c r="AD77"/>
  <c r="AD75"/>
  <c r="AD73"/>
  <c r="AD71"/>
  <c r="AD72"/>
  <c r="AD70"/>
  <c r="AD68"/>
  <c r="AD66"/>
  <c r="AD64"/>
  <c r="AD62"/>
  <c r="AD69"/>
  <c r="AD67"/>
  <c r="AD65"/>
  <c r="AD63"/>
  <c r="AD61"/>
  <c r="AD60"/>
  <c r="AD58"/>
  <c r="AD56"/>
  <c r="AD54"/>
  <c r="AD59"/>
  <c r="AD57"/>
  <c r="AD55"/>
  <c r="AD53"/>
  <c r="AD51"/>
  <c r="AD49"/>
  <c r="AD52"/>
  <c r="AD50"/>
  <c r="AD48"/>
  <c r="AD46"/>
  <c r="AD44"/>
  <c r="AD42"/>
  <c r="AD40"/>
  <c r="AD38"/>
  <c r="AD36"/>
  <c r="AD34"/>
  <c r="AD32"/>
  <c r="AD30"/>
  <c r="AD28"/>
  <c r="AD27"/>
  <c r="AD26"/>
  <c r="T19"/>
  <c r="X19"/>
  <c r="AD19"/>
  <c r="T20"/>
  <c r="X20"/>
  <c r="AD20"/>
  <c r="T21"/>
  <c r="X21"/>
  <c r="AD21"/>
  <c r="T22"/>
  <c r="X22"/>
  <c r="AD22"/>
  <c r="T23"/>
  <c r="X23"/>
  <c r="AD23"/>
  <c r="T24"/>
  <c r="X24"/>
  <c r="AD24"/>
  <c r="T25"/>
  <c r="X25"/>
  <c r="AD25"/>
  <c r="Z26"/>
  <c r="Z27"/>
  <c r="Z28"/>
  <c r="S29"/>
  <c r="CE29" s="1"/>
  <c r="AC29"/>
  <c r="Z30"/>
  <c r="S31"/>
  <c r="CE31" s="1"/>
  <c r="AC31"/>
  <c r="Z32"/>
  <c r="S33"/>
  <c r="CE33" s="1"/>
  <c r="AC33"/>
  <c r="Z34"/>
  <c r="S35"/>
  <c r="CE35" s="1"/>
  <c r="AC35"/>
  <c r="S37"/>
  <c r="CE37" s="1"/>
  <c r="AC37"/>
  <c r="V38"/>
  <c r="W39"/>
  <c r="CF39" s="1"/>
  <c r="V40"/>
  <c r="W41"/>
  <c r="CF41" s="1"/>
  <c r="V42"/>
  <c r="W43"/>
  <c r="CF43" s="1"/>
  <c r="V44"/>
  <c r="W45"/>
  <c r="CF45" s="1"/>
  <c r="V46"/>
  <c r="V48"/>
  <c r="X50"/>
  <c r="CI50" s="1"/>
  <c r="V51"/>
  <c r="Z98"/>
  <c r="Z96"/>
  <c r="Z94"/>
  <c r="Z92"/>
  <c r="Z90"/>
  <c r="Z88"/>
  <c r="Z86"/>
  <c r="Z97"/>
  <c r="Z95"/>
  <c r="Z93"/>
  <c r="Z91"/>
  <c r="Z89"/>
  <c r="Z87"/>
  <c r="Z85"/>
  <c r="Z83"/>
  <c r="Z81"/>
  <c r="Z79"/>
  <c r="Z77"/>
  <c r="Z75"/>
  <c r="Z84"/>
  <c r="Z82"/>
  <c r="Z80"/>
  <c r="Z78"/>
  <c r="Z76"/>
  <c r="Z74"/>
  <c r="Z72"/>
  <c r="Z70"/>
  <c r="Z73"/>
  <c r="Z71"/>
  <c r="Z69"/>
  <c r="Z67"/>
  <c r="Z65"/>
  <c r="Z63"/>
  <c r="Z61"/>
  <c r="Z68"/>
  <c r="Z66"/>
  <c r="Z64"/>
  <c r="Z62"/>
  <c r="Z59"/>
  <c r="Z57"/>
  <c r="Z55"/>
  <c r="Z53"/>
  <c r="Z60"/>
  <c r="Z58"/>
  <c r="Z56"/>
  <c r="Z54"/>
  <c r="Z52"/>
  <c r="Z50"/>
  <c r="Z47"/>
  <c r="Z45"/>
  <c r="Z43"/>
  <c r="Z41"/>
  <c r="Z39"/>
  <c r="Z37"/>
  <c r="Z35"/>
  <c r="Z33"/>
  <c r="Z31"/>
  <c r="Z29"/>
  <c r="Z51"/>
  <c r="Z49"/>
  <c r="W97"/>
  <c r="CF97" s="1"/>
  <c r="W95"/>
  <c r="CF95" s="1"/>
  <c r="W93"/>
  <c r="CF93" s="1"/>
  <c r="W91"/>
  <c r="CF91" s="1"/>
  <c r="W89"/>
  <c r="CF89" s="1"/>
  <c r="W87"/>
  <c r="CF87" s="1"/>
  <c r="W98"/>
  <c r="CF98" s="1"/>
  <c r="W96"/>
  <c r="CF96" s="1"/>
  <c r="W94"/>
  <c r="CF94" s="1"/>
  <c r="W92"/>
  <c r="CF92" s="1"/>
  <c r="W90"/>
  <c r="CF90" s="1"/>
  <c r="W88"/>
  <c r="CF88" s="1"/>
  <c r="W86"/>
  <c r="CF86" s="1"/>
  <c r="W84"/>
  <c r="CF84" s="1"/>
  <c r="W82"/>
  <c r="CF82" s="1"/>
  <c r="W80"/>
  <c r="CF80" s="1"/>
  <c r="W78"/>
  <c r="CF78" s="1"/>
  <c r="W76"/>
  <c r="CF76" s="1"/>
  <c r="W74"/>
  <c r="CF74" s="1"/>
  <c r="W85"/>
  <c r="CF85" s="1"/>
  <c r="W83"/>
  <c r="CF83" s="1"/>
  <c r="W81"/>
  <c r="CF81" s="1"/>
  <c r="W79"/>
  <c r="CF79" s="1"/>
  <c r="W77"/>
  <c r="CF77" s="1"/>
  <c r="W75"/>
  <c r="CF75" s="1"/>
  <c r="W72"/>
  <c r="CF72" s="1"/>
  <c r="W73"/>
  <c r="CF73" s="1"/>
  <c r="W71"/>
  <c r="CF71" s="1"/>
  <c r="W69"/>
  <c r="CF69" s="1"/>
  <c r="W67"/>
  <c r="CF67" s="1"/>
  <c r="W65"/>
  <c r="CF65" s="1"/>
  <c r="W63"/>
  <c r="CF63" s="1"/>
  <c r="W68"/>
  <c r="CF68" s="1"/>
  <c r="W66"/>
  <c r="CF66" s="1"/>
  <c r="W64"/>
  <c r="CF64" s="1"/>
  <c r="W62"/>
  <c r="CF62" s="1"/>
  <c r="W60"/>
  <c r="CF60" s="1"/>
  <c r="W58"/>
  <c r="CF58" s="1"/>
  <c r="W56"/>
  <c r="CF56" s="1"/>
  <c r="W54"/>
  <c r="CF54" s="1"/>
  <c r="W70"/>
  <c r="CF70" s="1"/>
  <c r="W61"/>
  <c r="CF61" s="1"/>
  <c r="W59"/>
  <c r="CF59" s="1"/>
  <c r="W57"/>
  <c r="CF57" s="1"/>
  <c r="W55"/>
  <c r="CF55" s="1"/>
  <c r="W53"/>
  <c r="CF53" s="1"/>
  <c r="W51"/>
  <c r="CF51" s="1"/>
  <c r="W49"/>
  <c r="CF49" s="1"/>
  <c r="W48"/>
  <c r="CF48" s="1"/>
  <c r="W46"/>
  <c r="CF46" s="1"/>
  <c r="W44"/>
  <c r="CF44" s="1"/>
  <c r="W42"/>
  <c r="CF42" s="1"/>
  <c r="W40"/>
  <c r="CF40" s="1"/>
  <c r="W38"/>
  <c r="CF38" s="1"/>
  <c r="W36"/>
  <c r="CF36" s="1"/>
  <c r="W34"/>
  <c r="CF34" s="1"/>
  <c r="W32"/>
  <c r="CF32" s="1"/>
  <c r="W30"/>
  <c r="CF30" s="1"/>
  <c r="W28"/>
  <c r="CF28" s="1"/>
  <c r="W27"/>
  <c r="W26"/>
  <c r="S19"/>
  <c r="S20"/>
  <c r="U98"/>
  <c r="U96"/>
  <c r="U94"/>
  <c r="U92"/>
  <c r="U90"/>
  <c r="U88"/>
  <c r="U86"/>
  <c r="U97"/>
  <c r="U95"/>
  <c r="U93"/>
  <c r="U91"/>
  <c r="U89"/>
  <c r="U87"/>
  <c r="U85"/>
  <c r="U83"/>
  <c r="U81"/>
  <c r="U79"/>
  <c r="U77"/>
  <c r="U75"/>
  <c r="U84"/>
  <c r="U82"/>
  <c r="U80"/>
  <c r="U78"/>
  <c r="U76"/>
  <c r="U74"/>
  <c r="U73"/>
  <c r="U71"/>
  <c r="U72"/>
  <c r="U70"/>
  <c r="U68"/>
  <c r="U66"/>
  <c r="U64"/>
  <c r="U62"/>
  <c r="U61"/>
  <c r="U59"/>
  <c r="U57"/>
  <c r="U55"/>
  <c r="U53"/>
  <c r="U69"/>
  <c r="U67"/>
  <c r="U65"/>
  <c r="U63"/>
  <c r="U60"/>
  <c r="U58"/>
  <c r="U56"/>
  <c r="U54"/>
  <c r="U52"/>
  <c r="U50"/>
  <c r="U51"/>
  <c r="U49"/>
  <c r="U47"/>
  <c r="U45"/>
  <c r="U43"/>
  <c r="U41"/>
  <c r="U39"/>
  <c r="U37"/>
  <c r="U35"/>
  <c r="U33"/>
  <c r="U31"/>
  <c r="U29"/>
  <c r="Y98"/>
  <c r="Y96"/>
  <c r="Y94"/>
  <c r="Y92"/>
  <c r="Y90"/>
  <c r="Y88"/>
  <c r="Y86"/>
  <c r="Y97"/>
  <c r="Y95"/>
  <c r="Y93"/>
  <c r="Y91"/>
  <c r="Y89"/>
  <c r="Y87"/>
  <c r="Y85"/>
  <c r="Y83"/>
  <c r="Y81"/>
  <c r="Y79"/>
  <c r="Y77"/>
  <c r="Y75"/>
  <c r="Y84"/>
  <c r="Y82"/>
  <c r="Y80"/>
  <c r="Y78"/>
  <c r="Y76"/>
  <c r="Y74"/>
  <c r="Y73"/>
  <c r="Y71"/>
  <c r="Y72"/>
  <c r="Y70"/>
  <c r="Y68"/>
  <c r="Y66"/>
  <c r="Y64"/>
  <c r="Y62"/>
  <c r="Y69"/>
  <c r="Y67"/>
  <c r="Y65"/>
  <c r="Y63"/>
  <c r="Y61"/>
  <c r="Y59"/>
  <c r="Y57"/>
  <c r="Y55"/>
  <c r="Y53"/>
  <c r="Y60"/>
  <c r="Y58"/>
  <c r="Y56"/>
  <c r="Y54"/>
  <c r="Y52"/>
  <c r="Y50"/>
  <c r="Y47"/>
  <c r="Y45"/>
  <c r="Y43"/>
  <c r="Y41"/>
  <c r="Y39"/>
  <c r="Y37"/>
  <c r="Y35"/>
  <c r="Y33"/>
  <c r="Y31"/>
  <c r="Y29"/>
  <c r="U19"/>
  <c r="Y19"/>
  <c r="U20"/>
  <c r="Y20"/>
  <c r="U21"/>
  <c r="Y21"/>
  <c r="U22"/>
  <c r="Y22"/>
  <c r="U23"/>
  <c r="Y23"/>
  <c r="U24"/>
  <c r="Y24"/>
  <c r="U25"/>
  <c r="Y25"/>
  <c r="U26"/>
  <c r="U27"/>
  <c r="U28"/>
  <c r="T29"/>
  <c r="CH29" s="1"/>
  <c r="AD29"/>
  <c r="U30"/>
  <c r="T31"/>
  <c r="CH31" s="1"/>
  <c r="AD31"/>
  <c r="U32"/>
  <c r="T33"/>
  <c r="CH33" s="1"/>
  <c r="AD33"/>
  <c r="U34"/>
  <c r="T35"/>
  <c r="CH35" s="1"/>
  <c r="AD35"/>
  <c r="U36"/>
  <c r="T37"/>
  <c r="CH37" s="1"/>
  <c r="AD37"/>
  <c r="Y38"/>
  <c r="X39"/>
  <c r="CI39" s="1"/>
  <c r="Y40"/>
  <c r="X41"/>
  <c r="CI41" s="1"/>
  <c r="Y42"/>
  <c r="X43"/>
  <c r="CI43" s="1"/>
  <c r="Y44"/>
  <c r="X45"/>
  <c r="CI45" s="1"/>
  <c r="Y46"/>
  <c r="X47"/>
  <c r="CI47" s="1"/>
  <c r="Y48"/>
  <c r="Y51"/>
  <c r="W52"/>
  <c r="CF52" s="1"/>
  <c r="V19"/>
  <c r="Z19"/>
  <c r="V20"/>
  <c r="Z20"/>
  <c r="V21"/>
  <c r="Z21"/>
  <c r="V22"/>
  <c r="Z22"/>
  <c r="V23"/>
  <c r="Z23"/>
  <c r="V24"/>
  <c r="Z24"/>
  <c r="V25"/>
  <c r="Z25"/>
  <c r="V26"/>
  <c r="V27"/>
  <c r="V28"/>
  <c r="W29"/>
  <c r="CF29" s="1"/>
  <c r="V30"/>
  <c r="W31"/>
  <c r="CF31" s="1"/>
  <c r="V32"/>
  <c r="W33"/>
  <c r="CF33" s="1"/>
  <c r="V34"/>
  <c r="W35"/>
  <c r="CF35" s="1"/>
  <c r="V36"/>
  <c r="W37"/>
  <c r="CF37" s="1"/>
  <c r="Z38"/>
  <c r="S39"/>
  <c r="CE39" s="1"/>
  <c r="AC39"/>
  <c r="Z40"/>
  <c r="S41"/>
  <c r="CE41" s="1"/>
  <c r="AC41"/>
  <c r="Z42"/>
  <c r="S43"/>
  <c r="CE43" s="1"/>
  <c r="AC43"/>
  <c r="Z44"/>
  <c r="S45"/>
  <c r="CE45" s="1"/>
  <c r="AC45"/>
  <c r="Z46"/>
  <c r="AC47"/>
  <c r="Z48"/>
  <c r="V49"/>
  <c r="X52"/>
  <c r="CI52" s="1"/>
  <c r="S97"/>
  <c r="CE97" s="1"/>
  <c r="S95"/>
  <c r="CE95" s="1"/>
  <c r="S93"/>
  <c r="CE93" s="1"/>
  <c r="S91"/>
  <c r="CE91" s="1"/>
  <c r="S89"/>
  <c r="CE89" s="1"/>
  <c r="S87"/>
  <c r="CE87" s="1"/>
  <c r="S98"/>
  <c r="CE98" s="1"/>
  <c r="S96"/>
  <c r="CE96" s="1"/>
  <c r="S94"/>
  <c r="CE94" s="1"/>
  <c r="S92"/>
  <c r="CE92" s="1"/>
  <c r="S90"/>
  <c r="CE90" s="1"/>
  <c r="S88"/>
  <c r="CE88" s="1"/>
  <c r="S86"/>
  <c r="CE86" s="1"/>
  <c r="S84"/>
  <c r="CE84" s="1"/>
  <c r="S82"/>
  <c r="CE82" s="1"/>
  <c r="S80"/>
  <c r="CE80" s="1"/>
  <c r="S78"/>
  <c r="CE78" s="1"/>
  <c r="S76"/>
  <c r="CE76" s="1"/>
  <c r="S74"/>
  <c r="CE74" s="1"/>
  <c r="S85"/>
  <c r="CE85" s="1"/>
  <c r="S83"/>
  <c r="CE83" s="1"/>
  <c r="S81"/>
  <c r="CE81" s="1"/>
  <c r="S79"/>
  <c r="CE79" s="1"/>
  <c r="S77"/>
  <c r="CE77" s="1"/>
  <c r="S75"/>
  <c r="CE75" s="1"/>
  <c r="S72"/>
  <c r="CE72" s="1"/>
  <c r="S73"/>
  <c r="CE73" s="1"/>
  <c r="S71"/>
  <c r="CE71" s="1"/>
  <c r="S69"/>
  <c r="CE69" s="1"/>
  <c r="S67"/>
  <c r="CE67" s="1"/>
  <c r="S65"/>
  <c r="CE65" s="1"/>
  <c r="S63"/>
  <c r="CE63" s="1"/>
  <c r="S60"/>
  <c r="CE60" s="1"/>
  <c r="S58"/>
  <c r="CE58" s="1"/>
  <c r="S56"/>
  <c r="CE56" s="1"/>
  <c r="S54"/>
  <c r="CE54" s="1"/>
  <c r="S70"/>
  <c r="CE70" s="1"/>
  <c r="S68"/>
  <c r="CE68" s="1"/>
  <c r="S66"/>
  <c r="CE66" s="1"/>
  <c r="S64"/>
  <c r="CE64" s="1"/>
  <c r="S62"/>
  <c r="CE62" s="1"/>
  <c r="S61"/>
  <c r="CE61" s="1"/>
  <c r="S59"/>
  <c r="CE59" s="1"/>
  <c r="S57"/>
  <c r="CE57" s="1"/>
  <c r="S55"/>
  <c r="CE55" s="1"/>
  <c r="S53"/>
  <c r="CE53" s="1"/>
  <c r="S51"/>
  <c r="CE51" s="1"/>
  <c r="S49"/>
  <c r="CE49" s="1"/>
  <c r="S52"/>
  <c r="CE52" s="1"/>
  <c r="S50"/>
  <c r="CE50" s="1"/>
  <c r="S48"/>
  <c r="CE48" s="1"/>
  <c r="S46"/>
  <c r="CE46" s="1"/>
  <c r="S44"/>
  <c r="CE44" s="1"/>
  <c r="S42"/>
  <c r="CE42" s="1"/>
  <c r="S40"/>
  <c r="CE40" s="1"/>
  <c r="S38"/>
  <c r="CE38" s="1"/>
  <c r="S36"/>
  <c r="CE36" s="1"/>
  <c r="S34"/>
  <c r="CE34" s="1"/>
  <c r="S32"/>
  <c r="CE32" s="1"/>
  <c r="S30"/>
  <c r="CE30" s="1"/>
  <c r="S28"/>
  <c r="CE28" s="1"/>
  <c r="S27"/>
  <c r="S26"/>
  <c r="W19"/>
  <c r="AC20"/>
  <c r="S21"/>
  <c r="W21"/>
  <c r="AC21"/>
  <c r="S22"/>
  <c r="W22"/>
  <c r="AC22"/>
  <c r="S23"/>
  <c r="W23"/>
  <c r="AC23"/>
  <c r="S24"/>
  <c r="W24"/>
  <c r="AC24"/>
  <c r="S25"/>
  <c r="W25"/>
  <c r="AC25"/>
  <c r="Y26"/>
  <c r="Y27"/>
  <c r="Y28"/>
  <c r="X29"/>
  <c r="CI29" s="1"/>
  <c r="Y30"/>
  <c r="X31"/>
  <c r="CI31" s="1"/>
  <c r="Y32"/>
  <c r="X33"/>
  <c r="CI33" s="1"/>
  <c r="Y34"/>
  <c r="X35"/>
  <c r="CI35" s="1"/>
  <c r="Y36"/>
  <c r="X37"/>
  <c r="CI37" s="1"/>
  <c r="U38"/>
  <c r="T39"/>
  <c r="CH39" s="1"/>
  <c r="AD39"/>
  <c r="U40"/>
  <c r="T41"/>
  <c r="CH41" s="1"/>
  <c r="AD41"/>
  <c r="U42"/>
  <c r="T43"/>
  <c r="CH43" s="1"/>
  <c r="AD43"/>
  <c r="U44"/>
  <c r="T45"/>
  <c r="CH45" s="1"/>
  <c r="AD45"/>
  <c r="U46"/>
  <c r="T47"/>
  <c r="CH47" s="1"/>
  <c r="AD47"/>
  <c r="U48"/>
  <c r="Y49"/>
  <c r="W50"/>
  <c r="CF50" s="1"/>
  <c r="H29" i="48" l="1"/>
  <c r="Y28"/>
  <c r="K27"/>
  <c r="AB26"/>
  <c r="C29"/>
  <c r="T28"/>
  <c r="CH28" s="1"/>
  <c r="I34"/>
  <c r="Z33"/>
  <c r="L26"/>
  <c r="AC25"/>
  <c r="D28"/>
  <c r="U27"/>
  <c r="O24"/>
  <c r="AF23"/>
  <c r="G26"/>
  <c r="X25"/>
  <c r="Z31" i="47"/>
  <c r="I32"/>
  <c r="D32"/>
  <c r="U31"/>
  <c r="H32"/>
  <c r="Y31"/>
  <c r="E32"/>
  <c r="V31"/>
  <c r="O25" i="48" l="1"/>
  <c r="AF24"/>
  <c r="L27"/>
  <c r="AC26"/>
  <c r="H30"/>
  <c r="Y29"/>
  <c r="G27"/>
  <c r="X26"/>
  <c r="D29"/>
  <c r="U28"/>
  <c r="I35"/>
  <c r="Z34"/>
  <c r="K28"/>
  <c r="AB27"/>
  <c r="C30"/>
  <c r="T29"/>
  <c r="CH29" s="1"/>
  <c r="E33" i="47"/>
  <c r="V32"/>
  <c r="H33"/>
  <c r="Y32"/>
  <c r="D33"/>
  <c r="U32"/>
  <c r="I33"/>
  <c r="Z32"/>
  <c r="C31" i="48" l="1"/>
  <c r="T30"/>
  <c r="CH30" s="1"/>
  <c r="I36"/>
  <c r="Z35"/>
  <c r="G28"/>
  <c r="X27"/>
  <c r="L28"/>
  <c r="AC27"/>
  <c r="K29"/>
  <c r="AB28"/>
  <c r="D30"/>
  <c r="U29"/>
  <c r="H31"/>
  <c r="Y30"/>
  <c r="O26"/>
  <c r="AF25"/>
  <c r="Z33" i="47"/>
  <c r="I34"/>
  <c r="H34"/>
  <c r="Y33"/>
  <c r="D34"/>
  <c r="U33"/>
  <c r="E34"/>
  <c r="V33"/>
  <c r="O27" i="48" l="1"/>
  <c r="AF26"/>
  <c r="D31"/>
  <c r="U30"/>
  <c r="L29"/>
  <c r="AC28"/>
  <c r="I37"/>
  <c r="Z37" s="1"/>
  <c r="Z36"/>
  <c r="H32"/>
  <c r="Y31"/>
  <c r="K30"/>
  <c r="AB29"/>
  <c r="G29"/>
  <c r="X28"/>
  <c r="CI28" s="1"/>
  <c r="C32"/>
  <c r="T31"/>
  <c r="CH31" s="1"/>
  <c r="E35" i="47"/>
  <c r="V34"/>
  <c r="H35"/>
  <c r="Y34"/>
  <c r="I35"/>
  <c r="Z34"/>
  <c r="D35"/>
  <c r="U34"/>
  <c r="C33" i="48" l="1"/>
  <c r="T32"/>
  <c r="CH32" s="1"/>
  <c r="K31"/>
  <c r="AB30"/>
  <c r="D32"/>
  <c r="U31"/>
  <c r="G30"/>
  <c r="X29"/>
  <c r="CI29" s="1"/>
  <c r="H33"/>
  <c r="Y32"/>
  <c r="L30"/>
  <c r="AC29"/>
  <c r="O28"/>
  <c r="AF27"/>
  <c r="D36" i="47"/>
  <c r="U35"/>
  <c r="H36"/>
  <c r="Y35"/>
  <c r="I36"/>
  <c r="Z35"/>
  <c r="E36"/>
  <c r="V35"/>
  <c r="L31" i="48" l="1"/>
  <c r="AC30"/>
  <c r="G31"/>
  <c r="X30"/>
  <c r="CI30" s="1"/>
  <c r="K32"/>
  <c r="AB31"/>
  <c r="O29"/>
  <c r="AF28"/>
  <c r="H34"/>
  <c r="Y33"/>
  <c r="D33"/>
  <c r="U32"/>
  <c r="C34"/>
  <c r="T33"/>
  <c r="CH33" s="1"/>
  <c r="E37" i="47"/>
  <c r="V37" s="1"/>
  <c r="V36"/>
  <c r="H37"/>
  <c r="Y37" s="1"/>
  <c r="Y36"/>
  <c r="I37"/>
  <c r="Z37" s="1"/>
  <c r="Z36"/>
  <c r="D37"/>
  <c r="U37" s="1"/>
  <c r="U36"/>
  <c r="C35" i="48" l="1"/>
  <c r="T34"/>
  <c r="CH34" s="1"/>
  <c r="K33"/>
  <c r="AB32"/>
  <c r="H35"/>
  <c r="Y34"/>
  <c r="D34"/>
  <c r="U33"/>
  <c r="O30"/>
  <c r="AF29"/>
  <c r="G32"/>
  <c r="X31"/>
  <c r="CI31" s="1"/>
  <c r="L32"/>
  <c r="AC31"/>
  <c r="L33" l="1"/>
  <c r="AC32"/>
  <c r="H36"/>
  <c r="Y35"/>
  <c r="O31"/>
  <c r="AF30"/>
  <c r="G33"/>
  <c r="X32"/>
  <c r="CI32" s="1"/>
  <c r="D35"/>
  <c r="U34"/>
  <c r="K34"/>
  <c r="AB33"/>
  <c r="C36"/>
  <c r="T35"/>
  <c r="CH35" s="1"/>
  <c r="K35" l="1"/>
  <c r="AB34"/>
  <c r="G34"/>
  <c r="X33"/>
  <c r="CI33" s="1"/>
  <c r="H37"/>
  <c r="Y37" s="1"/>
  <c r="Y36"/>
  <c r="C37"/>
  <c r="T37" s="1"/>
  <c r="CH37" s="1"/>
  <c r="T36"/>
  <c r="CH36" s="1"/>
  <c r="D36"/>
  <c r="U35"/>
  <c r="O32"/>
  <c r="AF31"/>
  <c r="L34"/>
  <c r="AC33"/>
  <c r="D37" l="1"/>
  <c r="U37" s="1"/>
  <c r="U36"/>
  <c r="O33"/>
  <c r="AF32"/>
  <c r="G35"/>
  <c r="X34"/>
  <c r="CI34" s="1"/>
  <c r="L35"/>
  <c r="AC34"/>
  <c r="K36"/>
  <c r="AB35"/>
  <c r="L36" l="1"/>
  <c r="AC35"/>
  <c r="O34"/>
  <c r="AF33"/>
  <c r="K37"/>
  <c r="AB37" s="1"/>
  <c r="AB36"/>
  <c r="G36"/>
  <c r="X35"/>
  <c r="CI35" s="1"/>
  <c r="G37" l="1"/>
  <c r="X37" s="1"/>
  <c r="CI37" s="1"/>
  <c r="X36"/>
  <c r="CI36" s="1"/>
  <c r="O35"/>
  <c r="AF34"/>
  <c r="L37"/>
  <c r="AC37" s="1"/>
  <c r="AC36"/>
  <c r="O36" l="1"/>
  <c r="AF35"/>
  <c r="O37" l="1"/>
  <c r="AF37" s="1"/>
  <c r="AF36"/>
  <c r="I512" i="1" l="1"/>
  <c r="I511"/>
  <c r="I510"/>
  <c r="I509"/>
  <c r="I508"/>
  <c r="I507"/>
  <c r="I506"/>
  <c r="I505"/>
  <c r="I504"/>
  <c r="I503"/>
  <c r="I502"/>
  <c r="I501"/>
  <c r="I500"/>
  <c r="I499"/>
  <c r="I498"/>
  <c r="I497"/>
  <c r="I496"/>
  <c r="I495"/>
  <c r="I494"/>
  <c r="I493"/>
  <c r="I492"/>
  <c r="I491"/>
  <c r="I490"/>
  <c r="I489"/>
  <c r="I488"/>
  <c r="I487"/>
  <c r="I486"/>
  <c r="I485"/>
  <c r="I484"/>
  <c r="I483"/>
  <c r="I482"/>
  <c r="I481"/>
  <c r="I480"/>
  <c r="I479"/>
  <c r="I478"/>
  <c r="I477"/>
  <c r="I476"/>
  <c r="I475"/>
  <c r="I474"/>
  <c r="I473"/>
  <c r="I472"/>
  <c r="I471"/>
  <c r="I470"/>
  <c r="I469"/>
  <c r="I468"/>
  <c r="I467"/>
  <c r="I466"/>
  <c r="I465"/>
  <c r="I464"/>
  <c r="I463"/>
  <c r="I462"/>
  <c r="I461"/>
  <c r="I460"/>
  <c r="I459"/>
  <c r="I458"/>
  <c r="I457"/>
  <c r="I456"/>
  <c r="I455"/>
  <c r="I454"/>
  <c r="I453"/>
  <c r="I452"/>
  <c r="I451"/>
  <c r="I450"/>
  <c r="I449"/>
  <c r="I448"/>
  <c r="I447"/>
  <c r="I446"/>
  <c r="I445"/>
  <c r="I444"/>
  <c r="I443"/>
  <c r="I442"/>
  <c r="I440"/>
  <c r="I439"/>
  <c r="I438"/>
  <c r="I437"/>
  <c r="I436"/>
  <c r="I435"/>
  <c r="I434"/>
  <c r="I433"/>
  <c r="I432"/>
  <c r="I431"/>
  <c r="I430"/>
  <c r="I429"/>
  <c r="I428"/>
  <c r="I427"/>
  <c r="I426"/>
  <c r="I425"/>
  <c r="I424"/>
  <c r="I423"/>
  <c r="I422"/>
  <c r="I421"/>
  <c r="I420"/>
  <c r="I419"/>
  <c r="I418"/>
  <c r="I417"/>
  <c r="I416"/>
  <c r="I415"/>
  <c r="I414"/>
  <c r="I413"/>
  <c r="I412"/>
  <c r="I411"/>
  <c r="I410"/>
  <c r="I409"/>
  <c r="I408"/>
  <c r="I407"/>
  <c r="I406"/>
  <c r="I405"/>
  <c r="I404"/>
  <c r="I403"/>
  <c r="I402"/>
  <c r="I401"/>
  <c r="I400"/>
  <c r="I399"/>
  <c r="I398"/>
  <c r="I397"/>
  <c r="I396"/>
  <c r="I395"/>
  <c r="I394"/>
  <c r="I393"/>
  <c r="I392"/>
  <c r="I391"/>
  <c r="I390"/>
  <c r="I389"/>
  <c r="I388"/>
  <c r="I387"/>
  <c r="I386"/>
  <c r="I385"/>
  <c r="I384"/>
  <c r="I383"/>
  <c r="I382"/>
  <c r="I381"/>
  <c r="I380"/>
  <c r="I379"/>
  <c r="I378"/>
  <c r="I377"/>
  <c r="I376"/>
  <c r="I375"/>
  <c r="I374"/>
  <c r="I373"/>
  <c r="I372"/>
  <c r="I371"/>
  <c r="I370"/>
  <c r="I368"/>
  <c r="I367"/>
  <c r="I366"/>
  <c r="I365"/>
  <c r="I364"/>
  <c r="I363"/>
  <c r="I362"/>
  <c r="I361"/>
  <c r="I360"/>
  <c r="I359"/>
  <c r="I358"/>
  <c r="I357"/>
  <c r="I356"/>
  <c r="I355"/>
  <c r="I354"/>
  <c r="I353"/>
  <c r="I352"/>
  <c r="I351"/>
  <c r="I350"/>
  <c r="I349"/>
  <c r="I348"/>
  <c r="I347"/>
  <c r="I346"/>
  <c r="I345"/>
  <c r="I344"/>
  <c r="I343"/>
  <c r="I342"/>
  <c r="I341"/>
  <c r="I340"/>
  <c r="I339"/>
  <c r="I338"/>
  <c r="I337"/>
  <c r="I336"/>
  <c r="I335"/>
  <c r="I334"/>
  <c r="I333"/>
  <c r="I332"/>
  <c r="I331"/>
  <c r="I330"/>
  <c r="I329"/>
  <c r="I328"/>
  <c r="I327"/>
  <c r="I326"/>
  <c r="I325"/>
  <c r="I324"/>
  <c r="I323"/>
  <c r="I322"/>
  <c r="I321"/>
  <c r="I320"/>
  <c r="I319"/>
  <c r="I318"/>
  <c r="I317"/>
  <c r="I316"/>
  <c r="I315"/>
  <c r="I314"/>
  <c r="I313"/>
  <c r="I312"/>
  <c r="I311"/>
  <c r="I310"/>
  <c r="I309"/>
  <c r="I308"/>
  <c r="I307"/>
  <c r="I306"/>
  <c r="I305"/>
  <c r="I304"/>
  <c r="I303"/>
  <c r="I302"/>
  <c r="I301"/>
  <c r="I300"/>
  <c r="I299"/>
  <c r="I298"/>
  <c r="I296"/>
  <c r="I295"/>
  <c r="I294"/>
  <c r="I293"/>
  <c r="I292"/>
  <c r="I291"/>
  <c r="I290"/>
  <c r="I289"/>
  <c r="I288"/>
  <c r="I287"/>
  <c r="I286"/>
  <c r="I285"/>
  <c r="I284"/>
  <c r="I283"/>
  <c r="I282"/>
  <c r="I281"/>
  <c r="I280"/>
  <c r="I279"/>
  <c r="I278"/>
  <c r="I277"/>
  <c r="I276"/>
  <c r="I275"/>
  <c r="I274"/>
  <c r="I273"/>
  <c r="I272"/>
  <c r="I271"/>
  <c r="I270"/>
  <c r="I269"/>
  <c r="I268"/>
  <c r="I267"/>
  <c r="I266"/>
  <c r="I265"/>
  <c r="I264"/>
  <c r="I263"/>
  <c r="I262"/>
  <c r="I261"/>
  <c r="I260"/>
  <c r="I259"/>
  <c r="I258"/>
  <c r="I257"/>
  <c r="I256"/>
  <c r="I255"/>
  <c r="I254"/>
  <c r="I253"/>
  <c r="I252"/>
  <c r="I251"/>
  <c r="I250"/>
  <c r="I249"/>
  <c r="I248"/>
  <c r="I247"/>
  <c r="I246"/>
  <c r="I245"/>
  <c r="I244"/>
  <c r="I243"/>
  <c r="I242"/>
  <c r="I241"/>
  <c r="I240"/>
  <c r="I239"/>
  <c r="I238"/>
  <c r="I237"/>
  <c r="I236"/>
  <c r="I235"/>
  <c r="I234"/>
  <c r="I233"/>
  <c r="I232"/>
  <c r="I231"/>
  <c r="I230"/>
  <c r="I229"/>
  <c r="I228"/>
  <c r="I227"/>
  <c r="I226"/>
  <c r="I224"/>
  <c r="I223"/>
  <c r="I222"/>
  <c r="I221"/>
  <c r="I220"/>
  <c r="I219"/>
  <c r="I218"/>
  <c r="I217"/>
  <c r="I216"/>
  <c r="I215"/>
  <c r="I214"/>
  <c r="I213"/>
  <c r="I212"/>
  <c r="I211"/>
  <c r="I210"/>
  <c r="I209"/>
  <c r="I208"/>
  <c r="I207"/>
  <c r="I206"/>
  <c r="I205"/>
  <c r="I204"/>
  <c r="I203"/>
  <c r="I202"/>
  <c r="I201"/>
  <c r="I200"/>
  <c r="I199"/>
  <c r="I198"/>
  <c r="I197"/>
  <c r="I196"/>
  <c r="I195"/>
  <c r="I194"/>
  <c r="I193"/>
  <c r="I192"/>
  <c r="I191"/>
  <c r="I190"/>
  <c r="I189"/>
  <c r="I188"/>
  <c r="I187"/>
  <c r="I186"/>
  <c r="I185"/>
  <c r="I184"/>
  <c r="I183"/>
  <c r="I182"/>
  <c r="I181"/>
  <c r="I180"/>
  <c r="I179"/>
  <c r="I178"/>
  <c r="I177"/>
  <c r="I176"/>
  <c r="I175"/>
  <c r="I174"/>
  <c r="I173"/>
  <c r="I172"/>
  <c r="I171"/>
  <c r="I170"/>
  <c r="I169"/>
  <c r="I168"/>
  <c r="I167"/>
  <c r="I166"/>
  <c r="I165"/>
  <c r="I164"/>
  <c r="I163"/>
  <c r="I162"/>
  <c r="I161"/>
  <c r="I160"/>
  <c r="I159"/>
  <c r="I158"/>
  <c r="I157"/>
  <c r="I156"/>
  <c r="I155"/>
  <c r="I154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82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11"/>
  <c r="S512" l="1"/>
  <c r="R512"/>
  <c r="Q512"/>
  <c r="P512"/>
  <c r="O512"/>
  <c r="N512"/>
  <c r="M512"/>
  <c r="L512"/>
  <c r="S511"/>
  <c r="R511"/>
  <c r="Q511"/>
  <c r="P511"/>
  <c r="O511"/>
  <c r="N511"/>
  <c r="M511"/>
  <c r="L511"/>
  <c r="S510"/>
  <c r="R510"/>
  <c r="Q510"/>
  <c r="P510"/>
  <c r="O510"/>
  <c r="N510"/>
  <c r="M510"/>
  <c r="L510"/>
  <c r="S509"/>
  <c r="R509"/>
  <c r="Q509"/>
  <c r="P509"/>
  <c r="O509"/>
  <c r="N509"/>
  <c r="M509"/>
  <c r="L509"/>
  <c r="S508"/>
  <c r="R508"/>
  <c r="Q508"/>
  <c r="P508"/>
  <c r="O508"/>
  <c r="N508"/>
  <c r="M508"/>
  <c r="L508"/>
  <c r="S507"/>
  <c r="R507"/>
  <c r="Q507"/>
  <c r="P507"/>
  <c r="O507"/>
  <c r="N507"/>
  <c r="M507"/>
  <c r="L507"/>
  <c r="S506"/>
  <c r="R506"/>
  <c r="Q506"/>
  <c r="P506"/>
  <c r="O506"/>
  <c r="N506"/>
  <c r="M506"/>
  <c r="L506"/>
  <c r="S505"/>
  <c r="R505"/>
  <c r="Q505"/>
  <c r="P505"/>
  <c r="O505"/>
  <c r="N505"/>
  <c r="M505"/>
  <c r="L505"/>
  <c r="S504"/>
  <c r="R504"/>
  <c r="Q504"/>
  <c r="P504"/>
  <c r="O504"/>
  <c r="N504"/>
  <c r="M504"/>
  <c r="L504"/>
  <c r="S503"/>
  <c r="R503"/>
  <c r="Q503"/>
  <c r="P503"/>
  <c r="O503"/>
  <c r="N503"/>
  <c r="M503"/>
  <c r="L503"/>
  <c r="S502"/>
  <c r="R502"/>
  <c r="Q502"/>
  <c r="P502"/>
  <c r="O502"/>
  <c r="N502"/>
  <c r="M502"/>
  <c r="L502"/>
  <c r="S501"/>
  <c r="R501"/>
  <c r="Q501"/>
  <c r="P501"/>
  <c r="O501"/>
  <c r="N501"/>
  <c r="M501"/>
  <c r="L501"/>
  <c r="S500"/>
  <c r="R500"/>
  <c r="Q500"/>
  <c r="P500"/>
  <c r="O500"/>
  <c r="N500"/>
  <c r="M500"/>
  <c r="L500"/>
  <c r="S499"/>
  <c r="R499"/>
  <c r="Q499"/>
  <c r="P499"/>
  <c r="O499"/>
  <c r="N499"/>
  <c r="M499"/>
  <c r="L499"/>
  <c r="S498"/>
  <c r="R498"/>
  <c r="Q498"/>
  <c r="P498"/>
  <c r="O498"/>
  <c r="N498"/>
  <c r="M498"/>
  <c r="L498"/>
  <c r="S497"/>
  <c r="R497"/>
  <c r="Q497"/>
  <c r="P497"/>
  <c r="O497"/>
  <c r="N497"/>
  <c r="M497"/>
  <c r="L497"/>
  <c r="S496"/>
  <c r="R496"/>
  <c r="Q496"/>
  <c r="P496"/>
  <c r="O496"/>
  <c r="N496"/>
  <c r="M496"/>
  <c r="L496"/>
  <c r="S495"/>
  <c r="R495"/>
  <c r="Q495"/>
  <c r="P495"/>
  <c r="O495"/>
  <c r="N495"/>
  <c r="M495"/>
  <c r="L495"/>
  <c r="S494"/>
  <c r="R494"/>
  <c r="Q494"/>
  <c r="P494"/>
  <c r="O494"/>
  <c r="N494"/>
  <c r="M494"/>
  <c r="L494"/>
  <c r="S493"/>
  <c r="R493"/>
  <c r="Q493"/>
  <c r="P493"/>
  <c r="O493"/>
  <c r="N493"/>
  <c r="M493"/>
  <c r="L493"/>
  <c r="S492"/>
  <c r="R492"/>
  <c r="Q492"/>
  <c r="P492"/>
  <c r="O492"/>
  <c r="N492"/>
  <c r="M492"/>
  <c r="L492"/>
  <c r="S491"/>
  <c r="R491"/>
  <c r="Q491"/>
  <c r="P491"/>
  <c r="O491"/>
  <c r="N491"/>
  <c r="M491"/>
  <c r="L491"/>
  <c r="S490"/>
  <c r="R490"/>
  <c r="Q490"/>
  <c r="P490"/>
  <c r="O490"/>
  <c r="N490"/>
  <c r="M490"/>
  <c r="L490"/>
  <c r="S489"/>
  <c r="R489"/>
  <c r="Q489"/>
  <c r="P489"/>
  <c r="O489"/>
  <c r="N489"/>
  <c r="M489"/>
  <c r="L489"/>
  <c r="S488"/>
  <c r="R488"/>
  <c r="Q488"/>
  <c r="P488"/>
  <c r="O488"/>
  <c r="N488"/>
  <c r="M488"/>
  <c r="L488"/>
  <c r="S487"/>
  <c r="R487"/>
  <c r="Q487"/>
  <c r="P487"/>
  <c r="O487"/>
  <c r="N487"/>
  <c r="M487"/>
  <c r="L487"/>
  <c r="S486"/>
  <c r="R486"/>
  <c r="Q486"/>
  <c r="P486"/>
  <c r="O486"/>
  <c r="N486"/>
  <c r="M486"/>
  <c r="L486"/>
  <c r="S485"/>
  <c r="R485"/>
  <c r="Q485"/>
  <c r="P485"/>
  <c r="O485"/>
  <c r="N485"/>
  <c r="M485"/>
  <c r="L485"/>
  <c r="S484"/>
  <c r="R484"/>
  <c r="Q484"/>
  <c r="P484"/>
  <c r="O484"/>
  <c r="N484"/>
  <c r="M484"/>
  <c r="L484"/>
  <c r="S483"/>
  <c r="R483"/>
  <c r="Q483"/>
  <c r="P483"/>
  <c r="O483"/>
  <c r="N483"/>
  <c r="M483"/>
  <c r="L483"/>
  <c r="S482"/>
  <c r="R482"/>
  <c r="Q482"/>
  <c r="P482"/>
  <c r="O482"/>
  <c r="N482"/>
  <c r="M482"/>
  <c r="L482"/>
  <c r="S481"/>
  <c r="R481"/>
  <c r="Q481"/>
  <c r="P481"/>
  <c r="O481"/>
  <c r="N481"/>
  <c r="M481"/>
  <c r="L481"/>
  <c r="S480"/>
  <c r="R480"/>
  <c r="Q480"/>
  <c r="P480"/>
  <c r="O480"/>
  <c r="N480"/>
  <c r="M480"/>
  <c r="L480"/>
  <c r="S479"/>
  <c r="R479"/>
  <c r="Q479"/>
  <c r="P479"/>
  <c r="O479"/>
  <c r="N479"/>
  <c r="M479"/>
  <c r="L479"/>
  <c r="S478"/>
  <c r="R478"/>
  <c r="Q478"/>
  <c r="P478"/>
  <c r="O478"/>
  <c r="N478"/>
  <c r="M478"/>
  <c r="L478"/>
  <c r="S477"/>
  <c r="R477"/>
  <c r="Q477"/>
  <c r="P477"/>
  <c r="O477"/>
  <c r="N477"/>
  <c r="M477"/>
  <c r="L477"/>
  <c r="S476"/>
  <c r="R476"/>
  <c r="Q476"/>
  <c r="P476"/>
  <c r="O476"/>
  <c r="N476"/>
  <c r="M476"/>
  <c r="L476"/>
  <c r="S475"/>
  <c r="R475"/>
  <c r="Q475"/>
  <c r="P475"/>
  <c r="O475"/>
  <c r="N475"/>
  <c r="M475"/>
  <c r="L475"/>
  <c r="S474"/>
  <c r="R474"/>
  <c r="Q474"/>
  <c r="P474"/>
  <c r="O474"/>
  <c r="N474"/>
  <c r="M474"/>
  <c r="L474"/>
  <c r="S473"/>
  <c r="R473"/>
  <c r="Q473"/>
  <c r="P473"/>
  <c r="O473"/>
  <c r="N473"/>
  <c r="M473"/>
  <c r="L473"/>
  <c r="S472"/>
  <c r="R472"/>
  <c r="Q472"/>
  <c r="P472"/>
  <c r="O472"/>
  <c r="N472"/>
  <c r="M472"/>
  <c r="L472"/>
  <c r="S471"/>
  <c r="R471"/>
  <c r="Q471"/>
  <c r="P471"/>
  <c r="O471"/>
  <c r="N471"/>
  <c r="M471"/>
  <c r="L471"/>
  <c r="S470"/>
  <c r="R470"/>
  <c r="Q470"/>
  <c r="P470"/>
  <c r="O470"/>
  <c r="N470"/>
  <c r="M470"/>
  <c r="L470"/>
  <c r="S469"/>
  <c r="R469"/>
  <c r="Q469"/>
  <c r="P469"/>
  <c r="O469"/>
  <c r="N469"/>
  <c r="M469"/>
  <c r="L469"/>
  <c r="S468"/>
  <c r="R468"/>
  <c r="Q468"/>
  <c r="P468"/>
  <c r="O468"/>
  <c r="N468"/>
  <c r="M468"/>
  <c r="L468"/>
  <c r="S467"/>
  <c r="R467"/>
  <c r="Q467"/>
  <c r="P467"/>
  <c r="O467"/>
  <c r="N467"/>
  <c r="M467"/>
  <c r="L467"/>
  <c r="S466"/>
  <c r="R466"/>
  <c r="Q466"/>
  <c r="P466"/>
  <c r="O466"/>
  <c r="N466"/>
  <c r="M466"/>
  <c r="L466"/>
  <c r="S465"/>
  <c r="R465"/>
  <c r="Q465"/>
  <c r="P465"/>
  <c r="O465"/>
  <c r="N465"/>
  <c r="M465"/>
  <c r="L465"/>
  <c r="S464"/>
  <c r="R464"/>
  <c r="Q464"/>
  <c r="P464"/>
  <c r="O464"/>
  <c r="N464"/>
  <c r="M464"/>
  <c r="L464"/>
  <c r="S463"/>
  <c r="R463"/>
  <c r="Q463"/>
  <c r="P463"/>
  <c r="O463"/>
  <c r="N463"/>
  <c r="M463"/>
  <c r="L463"/>
  <c r="S462"/>
  <c r="R462"/>
  <c r="Q462"/>
  <c r="P462"/>
  <c r="O462"/>
  <c r="N462"/>
  <c r="M462"/>
  <c r="L462"/>
  <c r="S461"/>
  <c r="R461"/>
  <c r="Q461"/>
  <c r="P461"/>
  <c r="O461"/>
  <c r="N461"/>
  <c r="M461"/>
  <c r="L461"/>
  <c r="S460"/>
  <c r="R460"/>
  <c r="Q460"/>
  <c r="P460"/>
  <c r="O460"/>
  <c r="N460"/>
  <c r="M460"/>
  <c r="L460"/>
  <c r="S459"/>
  <c r="R459"/>
  <c r="Q459"/>
  <c r="P459"/>
  <c r="O459"/>
  <c r="N459"/>
  <c r="M459"/>
  <c r="L459"/>
  <c r="S458"/>
  <c r="R458"/>
  <c r="Q458"/>
  <c r="P458"/>
  <c r="O458"/>
  <c r="N458"/>
  <c r="M458"/>
  <c r="L458"/>
  <c r="S457"/>
  <c r="R457"/>
  <c r="Q457"/>
  <c r="P457"/>
  <c r="O457"/>
  <c r="N457"/>
  <c r="M457"/>
  <c r="L457"/>
  <c r="S456"/>
  <c r="R456"/>
  <c r="Q456"/>
  <c r="P456"/>
  <c r="O456"/>
  <c r="N456"/>
  <c r="M456"/>
  <c r="L456"/>
  <c r="S455"/>
  <c r="R455"/>
  <c r="Q455"/>
  <c r="P455"/>
  <c r="O455"/>
  <c r="N455"/>
  <c r="M455"/>
  <c r="L455"/>
  <c r="S454"/>
  <c r="R454"/>
  <c r="Q454"/>
  <c r="P454"/>
  <c r="O454"/>
  <c r="N454"/>
  <c r="M454"/>
  <c r="L454"/>
  <c r="S453"/>
  <c r="R453"/>
  <c r="Q453"/>
  <c r="P453"/>
  <c r="O453"/>
  <c r="N453"/>
  <c r="M453"/>
  <c r="L453"/>
  <c r="S452"/>
  <c r="R452"/>
  <c r="Q452"/>
  <c r="P452"/>
  <c r="O452"/>
  <c r="N452"/>
  <c r="M452"/>
  <c r="L452"/>
  <c r="S451"/>
  <c r="R451"/>
  <c r="Q451"/>
  <c r="P451"/>
  <c r="O451"/>
  <c r="N451"/>
  <c r="M451"/>
  <c r="L451"/>
  <c r="S450"/>
  <c r="R450"/>
  <c r="Q450"/>
  <c r="P450"/>
  <c r="O450"/>
  <c r="N450"/>
  <c r="M450"/>
  <c r="L450"/>
  <c r="S449"/>
  <c r="R449"/>
  <c r="Q449"/>
  <c r="P449"/>
  <c r="O449"/>
  <c r="N449"/>
  <c r="M449"/>
  <c r="L449"/>
  <c r="S448"/>
  <c r="R448"/>
  <c r="Q448"/>
  <c r="P448"/>
  <c r="O448"/>
  <c r="N448"/>
  <c r="M448"/>
  <c r="L448"/>
  <c r="S447"/>
  <c r="R447"/>
  <c r="Q447"/>
  <c r="P447"/>
  <c r="O447"/>
  <c r="N447"/>
  <c r="M447"/>
  <c r="L447"/>
  <c r="S446"/>
  <c r="R446"/>
  <c r="Q446"/>
  <c r="P446"/>
  <c r="O446"/>
  <c r="N446"/>
  <c r="M446"/>
  <c r="L446"/>
  <c r="S445"/>
  <c r="R445"/>
  <c r="Q445"/>
  <c r="P445"/>
  <c r="O445"/>
  <c r="N445"/>
  <c r="M445"/>
  <c r="L445"/>
  <c r="S444"/>
  <c r="R444"/>
  <c r="Q444"/>
  <c r="P444"/>
  <c r="O444"/>
  <c r="N444"/>
  <c r="M444"/>
  <c r="L444"/>
  <c r="S443"/>
  <c r="R443"/>
  <c r="Q443"/>
  <c r="P443"/>
  <c r="O443"/>
  <c r="N443"/>
  <c r="M443"/>
  <c r="L443"/>
  <c r="S442"/>
  <c r="R442"/>
  <c r="Q442"/>
  <c r="P442"/>
  <c r="O442"/>
  <c r="N442"/>
  <c r="M442"/>
  <c r="L442"/>
  <c r="S440"/>
  <c r="R440"/>
  <c r="Q440"/>
  <c r="P440"/>
  <c r="O440"/>
  <c r="N440"/>
  <c r="M440"/>
  <c r="L440"/>
  <c r="S439"/>
  <c r="R439"/>
  <c r="Q439"/>
  <c r="P439"/>
  <c r="O439"/>
  <c r="N439"/>
  <c r="M439"/>
  <c r="L439"/>
  <c r="S438"/>
  <c r="R438"/>
  <c r="Q438"/>
  <c r="P438"/>
  <c r="O438"/>
  <c r="N438"/>
  <c r="M438"/>
  <c r="L438"/>
  <c r="S437"/>
  <c r="R437"/>
  <c r="Q437"/>
  <c r="P437"/>
  <c r="O437"/>
  <c r="N437"/>
  <c r="M437"/>
  <c r="L437"/>
  <c r="S436"/>
  <c r="R436"/>
  <c r="Q436"/>
  <c r="P436"/>
  <c r="O436"/>
  <c r="N436"/>
  <c r="M436"/>
  <c r="L436"/>
  <c r="S435"/>
  <c r="R435"/>
  <c r="Q435"/>
  <c r="P435"/>
  <c r="O435"/>
  <c r="N435"/>
  <c r="M435"/>
  <c r="L435"/>
  <c r="S434"/>
  <c r="R434"/>
  <c r="Q434"/>
  <c r="P434"/>
  <c r="O434"/>
  <c r="N434"/>
  <c r="M434"/>
  <c r="L434"/>
  <c r="S433"/>
  <c r="R433"/>
  <c r="Q433"/>
  <c r="P433"/>
  <c r="O433"/>
  <c r="N433"/>
  <c r="M433"/>
  <c r="L433"/>
  <c r="S432"/>
  <c r="R432"/>
  <c r="Q432"/>
  <c r="P432"/>
  <c r="O432"/>
  <c r="N432"/>
  <c r="M432"/>
  <c r="L432"/>
  <c r="S431"/>
  <c r="R431"/>
  <c r="Q431"/>
  <c r="P431"/>
  <c r="O431"/>
  <c r="N431"/>
  <c r="M431"/>
  <c r="L431"/>
  <c r="S430"/>
  <c r="R430"/>
  <c r="Q430"/>
  <c r="P430"/>
  <c r="O430"/>
  <c r="N430"/>
  <c r="M430"/>
  <c r="L430"/>
  <c r="S429"/>
  <c r="R429"/>
  <c r="Q429"/>
  <c r="P429"/>
  <c r="O429"/>
  <c r="N429"/>
  <c r="M429"/>
  <c r="L429"/>
  <c r="S428"/>
  <c r="R428"/>
  <c r="Q428"/>
  <c r="P428"/>
  <c r="O428"/>
  <c r="N428"/>
  <c r="M428"/>
  <c r="L428"/>
  <c r="S427"/>
  <c r="R427"/>
  <c r="Q427"/>
  <c r="P427"/>
  <c r="O427"/>
  <c r="N427"/>
  <c r="M427"/>
  <c r="L427"/>
  <c r="S426"/>
  <c r="R426"/>
  <c r="Q426"/>
  <c r="P426"/>
  <c r="O426"/>
  <c r="N426"/>
  <c r="M426"/>
  <c r="L426"/>
  <c r="S425"/>
  <c r="R425"/>
  <c r="Q425"/>
  <c r="P425"/>
  <c r="O425"/>
  <c r="N425"/>
  <c r="M425"/>
  <c r="L425"/>
  <c r="S424"/>
  <c r="R424"/>
  <c r="Q424"/>
  <c r="P424"/>
  <c r="O424"/>
  <c r="N424"/>
  <c r="M424"/>
  <c r="L424"/>
  <c r="S423"/>
  <c r="R423"/>
  <c r="Q423"/>
  <c r="P423"/>
  <c r="O423"/>
  <c r="N423"/>
  <c r="M423"/>
  <c r="L423"/>
  <c r="S422"/>
  <c r="R422"/>
  <c r="Q422"/>
  <c r="P422"/>
  <c r="O422"/>
  <c r="N422"/>
  <c r="M422"/>
  <c r="L422"/>
  <c r="S421"/>
  <c r="R421"/>
  <c r="Q421"/>
  <c r="P421"/>
  <c r="O421"/>
  <c r="N421"/>
  <c r="M421"/>
  <c r="L421"/>
  <c r="S420"/>
  <c r="R420"/>
  <c r="Q420"/>
  <c r="P420"/>
  <c r="O420"/>
  <c r="N420"/>
  <c r="M420"/>
  <c r="L420"/>
  <c r="S419"/>
  <c r="R419"/>
  <c r="Q419"/>
  <c r="P419"/>
  <c r="O419"/>
  <c r="N419"/>
  <c r="M419"/>
  <c r="L419"/>
  <c r="S418"/>
  <c r="R418"/>
  <c r="Q418"/>
  <c r="P418"/>
  <c r="O418"/>
  <c r="N418"/>
  <c r="M418"/>
  <c r="L418"/>
  <c r="S417"/>
  <c r="R417"/>
  <c r="Q417"/>
  <c r="P417"/>
  <c r="O417"/>
  <c r="N417"/>
  <c r="M417"/>
  <c r="L417"/>
  <c r="S416"/>
  <c r="R416"/>
  <c r="Q416"/>
  <c r="P416"/>
  <c r="O416"/>
  <c r="N416"/>
  <c r="M416"/>
  <c r="L416"/>
  <c r="S415"/>
  <c r="R415"/>
  <c r="Q415"/>
  <c r="P415"/>
  <c r="O415"/>
  <c r="N415"/>
  <c r="M415"/>
  <c r="L415"/>
  <c r="S414"/>
  <c r="R414"/>
  <c r="Q414"/>
  <c r="P414"/>
  <c r="O414"/>
  <c r="N414"/>
  <c r="M414"/>
  <c r="L414"/>
  <c r="S413"/>
  <c r="R413"/>
  <c r="Q413"/>
  <c r="P413"/>
  <c r="O413"/>
  <c r="N413"/>
  <c r="M413"/>
  <c r="L413"/>
  <c r="S412"/>
  <c r="R412"/>
  <c r="Q412"/>
  <c r="P412"/>
  <c r="O412"/>
  <c r="N412"/>
  <c r="M412"/>
  <c r="L412"/>
  <c r="S411"/>
  <c r="R411"/>
  <c r="Q411"/>
  <c r="P411"/>
  <c r="O411"/>
  <c r="N411"/>
  <c r="M411"/>
  <c r="L411"/>
  <c r="S410"/>
  <c r="R410"/>
  <c r="Q410"/>
  <c r="P410"/>
  <c r="O410"/>
  <c r="N410"/>
  <c r="M410"/>
  <c r="L410"/>
  <c r="S409"/>
  <c r="R409"/>
  <c r="Q409"/>
  <c r="P409"/>
  <c r="O409"/>
  <c r="N409"/>
  <c r="M409"/>
  <c r="L409"/>
  <c r="S408"/>
  <c r="R408"/>
  <c r="Q408"/>
  <c r="P408"/>
  <c r="O408"/>
  <c r="N408"/>
  <c r="M408"/>
  <c r="L408"/>
  <c r="S407"/>
  <c r="R407"/>
  <c r="Q407"/>
  <c r="P407"/>
  <c r="O407"/>
  <c r="N407"/>
  <c r="M407"/>
  <c r="L407"/>
  <c r="S406"/>
  <c r="R406"/>
  <c r="Q406"/>
  <c r="P406"/>
  <c r="O406"/>
  <c r="N406"/>
  <c r="M406"/>
  <c r="L406"/>
  <c r="S405"/>
  <c r="R405"/>
  <c r="Q405"/>
  <c r="P405"/>
  <c r="O405"/>
  <c r="N405"/>
  <c r="M405"/>
  <c r="L405"/>
  <c r="S404"/>
  <c r="R404"/>
  <c r="Q404"/>
  <c r="P404"/>
  <c r="O404"/>
  <c r="N404"/>
  <c r="M404"/>
  <c r="L404"/>
  <c r="S403"/>
  <c r="R403"/>
  <c r="Q403"/>
  <c r="P403"/>
  <c r="O403"/>
  <c r="N403"/>
  <c r="M403"/>
  <c r="L403"/>
  <c r="S402"/>
  <c r="R402"/>
  <c r="Q402"/>
  <c r="P402"/>
  <c r="O402"/>
  <c r="N402"/>
  <c r="M402"/>
  <c r="L402"/>
  <c r="S401"/>
  <c r="R401"/>
  <c r="Q401"/>
  <c r="P401"/>
  <c r="O401"/>
  <c r="N401"/>
  <c r="M401"/>
  <c r="L401"/>
  <c r="S400"/>
  <c r="R400"/>
  <c r="Q400"/>
  <c r="P400"/>
  <c r="O400"/>
  <c r="N400"/>
  <c r="M400"/>
  <c r="L400"/>
  <c r="S399"/>
  <c r="R399"/>
  <c r="Q399"/>
  <c r="P399"/>
  <c r="O399"/>
  <c r="N399"/>
  <c r="M399"/>
  <c r="L399"/>
  <c r="S398"/>
  <c r="R398"/>
  <c r="Q398"/>
  <c r="P398"/>
  <c r="O398"/>
  <c r="N398"/>
  <c r="M398"/>
  <c r="L398"/>
  <c r="S397"/>
  <c r="R397"/>
  <c r="Q397"/>
  <c r="P397"/>
  <c r="O397"/>
  <c r="N397"/>
  <c r="M397"/>
  <c r="L397"/>
  <c r="S396"/>
  <c r="R396"/>
  <c r="Q396"/>
  <c r="P396"/>
  <c r="O396"/>
  <c r="N396"/>
  <c r="M396"/>
  <c r="L396"/>
  <c r="S395"/>
  <c r="R395"/>
  <c r="Q395"/>
  <c r="P395"/>
  <c r="O395"/>
  <c r="N395"/>
  <c r="M395"/>
  <c r="L395"/>
  <c r="S394"/>
  <c r="R394"/>
  <c r="Q394"/>
  <c r="P394"/>
  <c r="O394"/>
  <c r="N394"/>
  <c r="M394"/>
  <c r="L394"/>
  <c r="S393"/>
  <c r="R393"/>
  <c r="Q393"/>
  <c r="P393"/>
  <c r="O393"/>
  <c r="N393"/>
  <c r="M393"/>
  <c r="L393"/>
  <c r="S392"/>
  <c r="R392"/>
  <c r="Q392"/>
  <c r="P392"/>
  <c r="O392"/>
  <c r="N392"/>
  <c r="M392"/>
  <c r="L392"/>
  <c r="S391"/>
  <c r="R391"/>
  <c r="Q391"/>
  <c r="P391"/>
  <c r="O391"/>
  <c r="N391"/>
  <c r="M391"/>
  <c r="L391"/>
  <c r="S390"/>
  <c r="R390"/>
  <c r="Q390"/>
  <c r="P390"/>
  <c r="O390"/>
  <c r="N390"/>
  <c r="M390"/>
  <c r="L390"/>
  <c r="S389"/>
  <c r="R389"/>
  <c r="Q389"/>
  <c r="P389"/>
  <c r="O389"/>
  <c r="N389"/>
  <c r="M389"/>
  <c r="L389"/>
  <c r="S388"/>
  <c r="R388"/>
  <c r="Q388"/>
  <c r="P388"/>
  <c r="O388"/>
  <c r="N388"/>
  <c r="M388"/>
  <c r="L388"/>
  <c r="S387"/>
  <c r="R387"/>
  <c r="Q387"/>
  <c r="P387"/>
  <c r="O387"/>
  <c r="N387"/>
  <c r="M387"/>
  <c r="L387"/>
  <c r="S386"/>
  <c r="R386"/>
  <c r="Q386"/>
  <c r="P386"/>
  <c r="O386"/>
  <c r="N386"/>
  <c r="M386"/>
  <c r="L386"/>
  <c r="S385"/>
  <c r="R385"/>
  <c r="Q385"/>
  <c r="P385"/>
  <c r="O385"/>
  <c r="N385"/>
  <c r="M385"/>
  <c r="L385"/>
  <c r="S384"/>
  <c r="R384"/>
  <c r="Q384"/>
  <c r="P384"/>
  <c r="O384"/>
  <c r="N384"/>
  <c r="M384"/>
  <c r="L384"/>
  <c r="S383"/>
  <c r="R383"/>
  <c r="Q383"/>
  <c r="P383"/>
  <c r="O383"/>
  <c r="N383"/>
  <c r="M383"/>
  <c r="L383"/>
  <c r="S382"/>
  <c r="R382"/>
  <c r="Q382"/>
  <c r="P382"/>
  <c r="O382"/>
  <c r="N382"/>
  <c r="M382"/>
  <c r="L382"/>
  <c r="S381"/>
  <c r="R381"/>
  <c r="Q381"/>
  <c r="P381"/>
  <c r="O381"/>
  <c r="N381"/>
  <c r="M381"/>
  <c r="L381"/>
  <c r="S380"/>
  <c r="R380"/>
  <c r="Q380"/>
  <c r="P380"/>
  <c r="O380"/>
  <c r="N380"/>
  <c r="M380"/>
  <c r="L380"/>
  <c r="S379"/>
  <c r="R379"/>
  <c r="Q379"/>
  <c r="P379"/>
  <c r="O379"/>
  <c r="N379"/>
  <c r="M379"/>
  <c r="L379"/>
  <c r="S378"/>
  <c r="R378"/>
  <c r="Q378"/>
  <c r="P378"/>
  <c r="O378"/>
  <c r="N378"/>
  <c r="M378"/>
  <c r="L378"/>
  <c r="S377"/>
  <c r="R377"/>
  <c r="Q377"/>
  <c r="P377"/>
  <c r="O377"/>
  <c r="N377"/>
  <c r="M377"/>
  <c r="L377"/>
  <c r="S376"/>
  <c r="R376"/>
  <c r="Q376"/>
  <c r="P376"/>
  <c r="O376"/>
  <c r="N376"/>
  <c r="M376"/>
  <c r="L376"/>
  <c r="S375"/>
  <c r="R375"/>
  <c r="Q375"/>
  <c r="P375"/>
  <c r="O375"/>
  <c r="N375"/>
  <c r="M375"/>
  <c r="L375"/>
  <c r="S374"/>
  <c r="R374"/>
  <c r="Q374"/>
  <c r="P374"/>
  <c r="O374"/>
  <c r="N374"/>
  <c r="M374"/>
  <c r="L374"/>
  <c r="S373"/>
  <c r="R373"/>
  <c r="Q373"/>
  <c r="P373"/>
  <c r="O373"/>
  <c r="N373"/>
  <c r="M373"/>
  <c r="L373"/>
  <c r="S372"/>
  <c r="R372"/>
  <c r="Q372"/>
  <c r="P372"/>
  <c r="O372"/>
  <c r="N372"/>
  <c r="M372"/>
  <c r="L372"/>
  <c r="S371"/>
  <c r="R371"/>
  <c r="Q371"/>
  <c r="P371"/>
  <c r="O371"/>
  <c r="N371"/>
  <c r="M371"/>
  <c r="L371"/>
  <c r="S370"/>
  <c r="R370"/>
  <c r="Q370"/>
  <c r="P370"/>
  <c r="O370"/>
  <c r="N370"/>
  <c r="M370"/>
  <c r="L370"/>
  <c r="S368"/>
  <c r="R368"/>
  <c r="Q368"/>
  <c r="P368"/>
  <c r="O368"/>
  <c r="N368"/>
  <c r="M368"/>
  <c r="L368"/>
  <c r="S367"/>
  <c r="R367"/>
  <c r="Q367"/>
  <c r="P367"/>
  <c r="O367"/>
  <c r="N367"/>
  <c r="M367"/>
  <c r="L367"/>
  <c r="S366"/>
  <c r="R366"/>
  <c r="Q366"/>
  <c r="P366"/>
  <c r="O366"/>
  <c r="N366"/>
  <c r="M366"/>
  <c r="L366"/>
  <c r="S365"/>
  <c r="R365"/>
  <c r="Q365"/>
  <c r="P365"/>
  <c r="O365"/>
  <c r="N365"/>
  <c r="M365"/>
  <c r="L365"/>
  <c r="S364"/>
  <c r="R364"/>
  <c r="Q364"/>
  <c r="P364"/>
  <c r="O364"/>
  <c r="N364"/>
  <c r="M364"/>
  <c r="L364"/>
  <c r="S363"/>
  <c r="R363"/>
  <c r="Q363"/>
  <c r="P363"/>
  <c r="O363"/>
  <c r="N363"/>
  <c r="M363"/>
  <c r="L363"/>
  <c r="S362"/>
  <c r="R362"/>
  <c r="Q362"/>
  <c r="P362"/>
  <c r="O362"/>
  <c r="N362"/>
  <c r="M362"/>
  <c r="L362"/>
  <c r="S361"/>
  <c r="R361"/>
  <c r="Q361"/>
  <c r="P361"/>
  <c r="O361"/>
  <c r="N361"/>
  <c r="M361"/>
  <c r="L361"/>
  <c r="S360"/>
  <c r="R360"/>
  <c r="Q360"/>
  <c r="P360"/>
  <c r="O360"/>
  <c r="N360"/>
  <c r="M360"/>
  <c r="L360"/>
  <c r="S359"/>
  <c r="R359"/>
  <c r="Q359"/>
  <c r="P359"/>
  <c r="O359"/>
  <c r="N359"/>
  <c r="M359"/>
  <c r="L359"/>
  <c r="S358"/>
  <c r="R358"/>
  <c r="Q358"/>
  <c r="P358"/>
  <c r="O358"/>
  <c r="N358"/>
  <c r="M358"/>
  <c r="L358"/>
  <c r="S357"/>
  <c r="R357"/>
  <c r="Q357"/>
  <c r="P357"/>
  <c r="O357"/>
  <c r="N357"/>
  <c r="M357"/>
  <c r="L357"/>
  <c r="S356"/>
  <c r="R356"/>
  <c r="Q356"/>
  <c r="P356"/>
  <c r="O356"/>
  <c r="N356"/>
  <c r="M356"/>
  <c r="L356"/>
  <c r="S355"/>
  <c r="R355"/>
  <c r="Q355"/>
  <c r="P355"/>
  <c r="O355"/>
  <c r="N355"/>
  <c r="M355"/>
  <c r="L355"/>
  <c r="S354"/>
  <c r="R354"/>
  <c r="Q354"/>
  <c r="P354"/>
  <c r="O354"/>
  <c r="N354"/>
  <c r="M354"/>
  <c r="L354"/>
  <c r="S353"/>
  <c r="R353"/>
  <c r="Q353"/>
  <c r="P353"/>
  <c r="O353"/>
  <c r="N353"/>
  <c r="M353"/>
  <c r="L353"/>
  <c r="S352"/>
  <c r="R352"/>
  <c r="Q352"/>
  <c r="P352"/>
  <c r="O352"/>
  <c r="N352"/>
  <c r="M352"/>
  <c r="L352"/>
  <c r="S351"/>
  <c r="R351"/>
  <c r="Q351"/>
  <c r="P351"/>
  <c r="O351"/>
  <c r="N351"/>
  <c r="M351"/>
  <c r="L351"/>
  <c r="S350"/>
  <c r="R350"/>
  <c r="Q350"/>
  <c r="P350"/>
  <c r="O350"/>
  <c r="N350"/>
  <c r="M350"/>
  <c r="L350"/>
  <c r="S349"/>
  <c r="R349"/>
  <c r="Q349"/>
  <c r="P349"/>
  <c r="O349"/>
  <c r="N349"/>
  <c r="M349"/>
  <c r="L349"/>
  <c r="S348"/>
  <c r="R348"/>
  <c r="Q348"/>
  <c r="P348"/>
  <c r="O348"/>
  <c r="N348"/>
  <c r="M348"/>
  <c r="L348"/>
  <c r="S347"/>
  <c r="R347"/>
  <c r="Q347"/>
  <c r="P347"/>
  <c r="O347"/>
  <c r="N347"/>
  <c r="M347"/>
  <c r="L347"/>
  <c r="S346"/>
  <c r="R346"/>
  <c r="Q346"/>
  <c r="P346"/>
  <c r="O346"/>
  <c r="N346"/>
  <c r="M346"/>
  <c r="L346"/>
  <c r="S345"/>
  <c r="R345"/>
  <c r="Q345"/>
  <c r="P345"/>
  <c r="O345"/>
  <c r="N345"/>
  <c r="M345"/>
  <c r="L345"/>
  <c r="S344"/>
  <c r="R344"/>
  <c r="Q344"/>
  <c r="P344"/>
  <c r="O344"/>
  <c r="N344"/>
  <c r="M344"/>
  <c r="L344"/>
  <c r="S343"/>
  <c r="R343"/>
  <c r="Q343"/>
  <c r="P343"/>
  <c r="O343"/>
  <c r="N343"/>
  <c r="M343"/>
  <c r="L343"/>
  <c r="S342"/>
  <c r="R342"/>
  <c r="Q342"/>
  <c r="P342"/>
  <c r="O342"/>
  <c r="N342"/>
  <c r="M342"/>
  <c r="L342"/>
  <c r="S341"/>
  <c r="R341"/>
  <c r="Q341"/>
  <c r="P341"/>
  <c r="O341"/>
  <c r="N341"/>
  <c r="M341"/>
  <c r="L341"/>
  <c r="S340"/>
  <c r="R340"/>
  <c r="Q340"/>
  <c r="P340"/>
  <c r="O340"/>
  <c r="N340"/>
  <c r="M340"/>
  <c r="L340"/>
  <c r="S339"/>
  <c r="R339"/>
  <c r="Q339"/>
  <c r="P339"/>
  <c r="O339"/>
  <c r="N339"/>
  <c r="M339"/>
  <c r="L339"/>
  <c r="S338"/>
  <c r="R338"/>
  <c r="Q338"/>
  <c r="P338"/>
  <c r="O338"/>
  <c r="N338"/>
  <c r="M338"/>
  <c r="L338"/>
  <c r="S337"/>
  <c r="R337"/>
  <c r="Q337"/>
  <c r="P337"/>
  <c r="O337"/>
  <c r="N337"/>
  <c r="M337"/>
  <c r="L337"/>
  <c r="S336"/>
  <c r="R336"/>
  <c r="Q336"/>
  <c r="P336"/>
  <c r="O336"/>
  <c r="N336"/>
  <c r="M336"/>
  <c r="L336"/>
  <c r="S335"/>
  <c r="R335"/>
  <c r="Q335"/>
  <c r="P335"/>
  <c r="O335"/>
  <c r="N335"/>
  <c r="M335"/>
  <c r="L335"/>
  <c r="S334"/>
  <c r="R334"/>
  <c r="Q334"/>
  <c r="P334"/>
  <c r="O334"/>
  <c r="N334"/>
  <c r="M334"/>
  <c r="L334"/>
  <c r="S333"/>
  <c r="R333"/>
  <c r="Q333"/>
  <c r="P333"/>
  <c r="O333"/>
  <c r="N333"/>
  <c r="M333"/>
  <c r="L333"/>
  <c r="S332"/>
  <c r="R332"/>
  <c r="Q332"/>
  <c r="P332"/>
  <c r="O332"/>
  <c r="N332"/>
  <c r="M332"/>
  <c r="L332"/>
  <c r="S331"/>
  <c r="R331"/>
  <c r="Q331"/>
  <c r="P331"/>
  <c r="O331"/>
  <c r="N331"/>
  <c r="M331"/>
  <c r="L331"/>
  <c r="S330"/>
  <c r="R330"/>
  <c r="Q330"/>
  <c r="P330"/>
  <c r="O330"/>
  <c r="N330"/>
  <c r="M330"/>
  <c r="L330"/>
  <c r="S329"/>
  <c r="R329"/>
  <c r="Q329"/>
  <c r="P329"/>
  <c r="O329"/>
  <c r="N329"/>
  <c r="M329"/>
  <c r="L329"/>
  <c r="S328"/>
  <c r="R328"/>
  <c r="Q328"/>
  <c r="P328"/>
  <c r="O328"/>
  <c r="N328"/>
  <c r="M328"/>
  <c r="L328"/>
  <c r="S327"/>
  <c r="R327"/>
  <c r="Q327"/>
  <c r="P327"/>
  <c r="O327"/>
  <c r="N327"/>
  <c r="M327"/>
  <c r="L327"/>
  <c r="S326"/>
  <c r="R326"/>
  <c r="Q326"/>
  <c r="P326"/>
  <c r="O326"/>
  <c r="N326"/>
  <c r="M326"/>
  <c r="L326"/>
  <c r="S325"/>
  <c r="R325"/>
  <c r="Q325"/>
  <c r="P325"/>
  <c r="O325"/>
  <c r="N325"/>
  <c r="M325"/>
  <c r="L325"/>
  <c r="S324"/>
  <c r="R324"/>
  <c r="Q324"/>
  <c r="P324"/>
  <c r="O324"/>
  <c r="N324"/>
  <c r="M324"/>
  <c r="L324"/>
  <c r="S323"/>
  <c r="R323"/>
  <c r="Q323"/>
  <c r="P323"/>
  <c r="O323"/>
  <c r="N323"/>
  <c r="M323"/>
  <c r="L323"/>
  <c r="S322"/>
  <c r="R322"/>
  <c r="Q322"/>
  <c r="P322"/>
  <c r="O322"/>
  <c r="N322"/>
  <c r="M322"/>
  <c r="L322"/>
  <c r="S321"/>
  <c r="R321"/>
  <c r="Q321"/>
  <c r="P321"/>
  <c r="O321"/>
  <c r="N321"/>
  <c r="M321"/>
  <c r="L321"/>
  <c r="S320"/>
  <c r="R320"/>
  <c r="Q320"/>
  <c r="P320"/>
  <c r="O320"/>
  <c r="N320"/>
  <c r="M320"/>
  <c r="L320"/>
  <c r="S319"/>
  <c r="R319"/>
  <c r="Q319"/>
  <c r="P319"/>
  <c r="O319"/>
  <c r="N319"/>
  <c r="M319"/>
  <c r="L319"/>
  <c r="S318"/>
  <c r="R318"/>
  <c r="Q318"/>
  <c r="P318"/>
  <c r="O318"/>
  <c r="N318"/>
  <c r="M318"/>
  <c r="L318"/>
  <c r="S317"/>
  <c r="R317"/>
  <c r="Q317"/>
  <c r="P317"/>
  <c r="O317"/>
  <c r="N317"/>
  <c r="M317"/>
  <c r="L317"/>
  <c r="S316"/>
  <c r="R316"/>
  <c r="Q316"/>
  <c r="P316"/>
  <c r="O316"/>
  <c r="N316"/>
  <c r="M316"/>
  <c r="L316"/>
  <c r="S315"/>
  <c r="R315"/>
  <c r="Q315"/>
  <c r="P315"/>
  <c r="O315"/>
  <c r="N315"/>
  <c r="M315"/>
  <c r="L315"/>
  <c r="S314"/>
  <c r="R314"/>
  <c r="Q314"/>
  <c r="P314"/>
  <c r="O314"/>
  <c r="N314"/>
  <c r="M314"/>
  <c r="L314"/>
  <c r="S313"/>
  <c r="R313"/>
  <c r="Q313"/>
  <c r="P313"/>
  <c r="O313"/>
  <c r="N313"/>
  <c r="M313"/>
  <c r="L313"/>
  <c r="S312"/>
  <c r="R312"/>
  <c r="Q312"/>
  <c r="P312"/>
  <c r="O312"/>
  <c r="N312"/>
  <c r="M312"/>
  <c r="L312"/>
  <c r="S311"/>
  <c r="R311"/>
  <c r="Q311"/>
  <c r="P311"/>
  <c r="O311"/>
  <c r="N311"/>
  <c r="M311"/>
  <c r="L311"/>
  <c r="S310"/>
  <c r="R310"/>
  <c r="Q310"/>
  <c r="P310"/>
  <c r="O310"/>
  <c r="N310"/>
  <c r="M310"/>
  <c r="L310"/>
  <c r="S309"/>
  <c r="R309"/>
  <c r="Q309"/>
  <c r="P309"/>
  <c r="O309"/>
  <c r="N309"/>
  <c r="M309"/>
  <c r="L309"/>
  <c r="S308"/>
  <c r="R308"/>
  <c r="Q308"/>
  <c r="P308"/>
  <c r="O308"/>
  <c r="N308"/>
  <c r="M308"/>
  <c r="L308"/>
  <c r="S307"/>
  <c r="R307"/>
  <c r="Q307"/>
  <c r="P307"/>
  <c r="O307"/>
  <c r="N307"/>
  <c r="M307"/>
  <c r="L307"/>
  <c r="S306"/>
  <c r="R306"/>
  <c r="Q306"/>
  <c r="P306"/>
  <c r="O306"/>
  <c r="N306"/>
  <c r="M306"/>
  <c r="L306"/>
  <c r="S305"/>
  <c r="R305"/>
  <c r="Q305"/>
  <c r="P305"/>
  <c r="O305"/>
  <c r="N305"/>
  <c r="M305"/>
  <c r="L305"/>
  <c r="S304"/>
  <c r="R304"/>
  <c r="Q304"/>
  <c r="P304"/>
  <c r="O304"/>
  <c r="N304"/>
  <c r="M304"/>
  <c r="L304"/>
  <c r="S303"/>
  <c r="R303"/>
  <c r="Q303"/>
  <c r="P303"/>
  <c r="O303"/>
  <c r="N303"/>
  <c r="M303"/>
  <c r="L303"/>
  <c r="S302"/>
  <c r="R302"/>
  <c r="Q302"/>
  <c r="P302"/>
  <c r="O302"/>
  <c r="N302"/>
  <c r="M302"/>
  <c r="L302"/>
  <c r="S301"/>
  <c r="R301"/>
  <c r="Q301"/>
  <c r="P301"/>
  <c r="O301"/>
  <c r="N301"/>
  <c r="M301"/>
  <c r="L301"/>
  <c r="S300"/>
  <c r="R300"/>
  <c r="Q300"/>
  <c r="P300"/>
  <c r="O300"/>
  <c r="N300"/>
  <c r="M300"/>
  <c r="L300"/>
  <c r="S299"/>
  <c r="R299"/>
  <c r="Q299"/>
  <c r="P299"/>
  <c r="O299"/>
  <c r="N299"/>
  <c r="M299"/>
  <c r="L299"/>
  <c r="S298"/>
  <c r="R298"/>
  <c r="Q298"/>
  <c r="P298"/>
  <c r="O298"/>
  <c r="N298"/>
  <c r="M298"/>
  <c r="L298"/>
  <c r="S296"/>
  <c r="R296"/>
  <c r="Q296"/>
  <c r="P296"/>
  <c r="O296"/>
  <c r="N296"/>
  <c r="M296"/>
  <c r="L296"/>
  <c r="S295"/>
  <c r="R295"/>
  <c r="Q295"/>
  <c r="P295"/>
  <c r="O295"/>
  <c r="N295"/>
  <c r="M295"/>
  <c r="L295"/>
  <c r="S294"/>
  <c r="R294"/>
  <c r="Q294"/>
  <c r="P294"/>
  <c r="O294"/>
  <c r="N294"/>
  <c r="M294"/>
  <c r="L294"/>
  <c r="S293"/>
  <c r="R293"/>
  <c r="Q293"/>
  <c r="P293"/>
  <c r="O293"/>
  <c r="N293"/>
  <c r="M293"/>
  <c r="L293"/>
  <c r="S292"/>
  <c r="R292"/>
  <c r="Q292"/>
  <c r="P292"/>
  <c r="O292"/>
  <c r="N292"/>
  <c r="M292"/>
  <c r="L292"/>
  <c r="S291"/>
  <c r="R291"/>
  <c r="Q291"/>
  <c r="P291"/>
  <c r="O291"/>
  <c r="N291"/>
  <c r="M291"/>
  <c r="L291"/>
  <c r="S290"/>
  <c r="R290"/>
  <c r="Q290"/>
  <c r="P290"/>
  <c r="O290"/>
  <c r="N290"/>
  <c r="M290"/>
  <c r="L290"/>
  <c r="S289"/>
  <c r="R289"/>
  <c r="Q289"/>
  <c r="P289"/>
  <c r="O289"/>
  <c r="N289"/>
  <c r="M289"/>
  <c r="L289"/>
  <c r="S288"/>
  <c r="R288"/>
  <c r="Q288"/>
  <c r="P288"/>
  <c r="O288"/>
  <c r="N288"/>
  <c r="M288"/>
  <c r="L288"/>
  <c r="S287"/>
  <c r="R287"/>
  <c r="Q287"/>
  <c r="P287"/>
  <c r="O287"/>
  <c r="N287"/>
  <c r="M287"/>
  <c r="L287"/>
  <c r="S286"/>
  <c r="R286"/>
  <c r="Q286"/>
  <c r="P286"/>
  <c r="O286"/>
  <c r="N286"/>
  <c r="M286"/>
  <c r="L286"/>
  <c r="S285"/>
  <c r="R285"/>
  <c r="Q285"/>
  <c r="P285"/>
  <c r="O285"/>
  <c r="N285"/>
  <c r="M285"/>
  <c r="L285"/>
  <c r="S284"/>
  <c r="R284"/>
  <c r="Q284"/>
  <c r="P284"/>
  <c r="O284"/>
  <c r="N284"/>
  <c r="M284"/>
  <c r="L284"/>
  <c r="S283"/>
  <c r="R283"/>
  <c r="Q283"/>
  <c r="P283"/>
  <c r="O283"/>
  <c r="N283"/>
  <c r="M283"/>
  <c r="L283"/>
  <c r="S282"/>
  <c r="R282"/>
  <c r="Q282"/>
  <c r="P282"/>
  <c r="O282"/>
  <c r="N282"/>
  <c r="M282"/>
  <c r="L282"/>
  <c r="S281"/>
  <c r="R281"/>
  <c r="Q281"/>
  <c r="P281"/>
  <c r="O281"/>
  <c r="N281"/>
  <c r="M281"/>
  <c r="L281"/>
  <c r="S280"/>
  <c r="R280"/>
  <c r="Q280"/>
  <c r="P280"/>
  <c r="O280"/>
  <c r="N280"/>
  <c r="M280"/>
  <c r="L280"/>
  <c r="S279"/>
  <c r="R279"/>
  <c r="Q279"/>
  <c r="P279"/>
  <c r="O279"/>
  <c r="N279"/>
  <c r="M279"/>
  <c r="L279"/>
  <c r="S278"/>
  <c r="R278"/>
  <c r="Q278"/>
  <c r="P278"/>
  <c r="O278"/>
  <c r="N278"/>
  <c r="M278"/>
  <c r="L278"/>
  <c r="S277"/>
  <c r="R277"/>
  <c r="Q277"/>
  <c r="P277"/>
  <c r="O277"/>
  <c r="N277"/>
  <c r="M277"/>
  <c r="L277"/>
  <c r="S276"/>
  <c r="R276"/>
  <c r="Q276"/>
  <c r="P276"/>
  <c r="O276"/>
  <c r="N276"/>
  <c r="M276"/>
  <c r="L276"/>
  <c r="S275"/>
  <c r="R275"/>
  <c r="Q275"/>
  <c r="P275"/>
  <c r="O275"/>
  <c r="N275"/>
  <c r="M275"/>
  <c r="L275"/>
  <c r="S274"/>
  <c r="R274"/>
  <c r="Q274"/>
  <c r="P274"/>
  <c r="O274"/>
  <c r="N274"/>
  <c r="M274"/>
  <c r="L274"/>
  <c r="S273"/>
  <c r="R273"/>
  <c r="Q273"/>
  <c r="P273"/>
  <c r="O273"/>
  <c r="N273"/>
  <c r="M273"/>
  <c r="L273"/>
  <c r="S272"/>
  <c r="R272"/>
  <c r="Q272"/>
  <c r="P272"/>
  <c r="O272"/>
  <c r="N272"/>
  <c r="M272"/>
  <c r="L272"/>
  <c r="S271"/>
  <c r="R271"/>
  <c r="Q271"/>
  <c r="P271"/>
  <c r="O271"/>
  <c r="N271"/>
  <c r="M271"/>
  <c r="L271"/>
  <c r="S270"/>
  <c r="R270"/>
  <c r="Q270"/>
  <c r="P270"/>
  <c r="O270"/>
  <c r="N270"/>
  <c r="M270"/>
  <c r="L270"/>
  <c r="S269"/>
  <c r="R269"/>
  <c r="Q269"/>
  <c r="P269"/>
  <c r="O269"/>
  <c r="N269"/>
  <c r="M269"/>
  <c r="L269"/>
  <c r="S268"/>
  <c r="R268"/>
  <c r="Q268"/>
  <c r="P268"/>
  <c r="O268"/>
  <c r="N268"/>
  <c r="M268"/>
  <c r="L268"/>
  <c r="S267"/>
  <c r="R267"/>
  <c r="Q267"/>
  <c r="P267"/>
  <c r="O267"/>
  <c r="N267"/>
  <c r="M267"/>
  <c r="L267"/>
  <c r="S266"/>
  <c r="R266"/>
  <c r="Q266"/>
  <c r="P266"/>
  <c r="O266"/>
  <c r="N266"/>
  <c r="M266"/>
  <c r="L266"/>
  <c r="S265"/>
  <c r="R265"/>
  <c r="Q265"/>
  <c r="P265"/>
  <c r="O265"/>
  <c r="N265"/>
  <c r="M265"/>
  <c r="L265"/>
  <c r="S264"/>
  <c r="R264"/>
  <c r="Q264"/>
  <c r="P264"/>
  <c r="O264"/>
  <c r="N264"/>
  <c r="M264"/>
  <c r="L264"/>
  <c r="S263"/>
  <c r="R263"/>
  <c r="Q263"/>
  <c r="P263"/>
  <c r="O263"/>
  <c r="N263"/>
  <c r="M263"/>
  <c r="L263"/>
  <c r="S262"/>
  <c r="R262"/>
  <c r="Q262"/>
  <c r="P262"/>
  <c r="O262"/>
  <c r="N262"/>
  <c r="M262"/>
  <c r="L262"/>
  <c r="S261"/>
  <c r="R261"/>
  <c r="Q261"/>
  <c r="P261"/>
  <c r="O261"/>
  <c r="N261"/>
  <c r="M261"/>
  <c r="L261"/>
  <c r="S260"/>
  <c r="R260"/>
  <c r="Q260"/>
  <c r="P260"/>
  <c r="O260"/>
  <c r="N260"/>
  <c r="M260"/>
  <c r="L260"/>
  <c r="S259"/>
  <c r="R259"/>
  <c r="Q259"/>
  <c r="P259"/>
  <c r="O259"/>
  <c r="N259"/>
  <c r="M259"/>
  <c r="L259"/>
  <c r="S258"/>
  <c r="R258"/>
  <c r="Q258"/>
  <c r="P258"/>
  <c r="O258"/>
  <c r="N258"/>
  <c r="M258"/>
  <c r="L258"/>
  <c r="S257"/>
  <c r="R257"/>
  <c r="Q257"/>
  <c r="P257"/>
  <c r="O257"/>
  <c r="N257"/>
  <c r="M257"/>
  <c r="L257"/>
  <c r="S256"/>
  <c r="R256"/>
  <c r="Q256"/>
  <c r="P256"/>
  <c r="O256"/>
  <c r="N256"/>
  <c r="M256"/>
  <c r="L256"/>
  <c r="S255"/>
  <c r="R255"/>
  <c r="Q255"/>
  <c r="P255"/>
  <c r="O255"/>
  <c r="N255"/>
  <c r="M255"/>
  <c r="L255"/>
  <c r="S254"/>
  <c r="R254"/>
  <c r="Q254"/>
  <c r="P254"/>
  <c r="O254"/>
  <c r="N254"/>
  <c r="M254"/>
  <c r="L254"/>
  <c r="S253"/>
  <c r="R253"/>
  <c r="Q253"/>
  <c r="P253"/>
  <c r="O253"/>
  <c r="N253"/>
  <c r="M253"/>
  <c r="L253"/>
  <c r="S252"/>
  <c r="R252"/>
  <c r="Q252"/>
  <c r="P252"/>
  <c r="O252"/>
  <c r="N252"/>
  <c r="M252"/>
  <c r="L252"/>
  <c r="S251"/>
  <c r="R251"/>
  <c r="Q251"/>
  <c r="P251"/>
  <c r="O251"/>
  <c r="N251"/>
  <c r="M251"/>
  <c r="L251"/>
  <c r="S250"/>
  <c r="R250"/>
  <c r="Q250"/>
  <c r="P250"/>
  <c r="O250"/>
  <c r="N250"/>
  <c r="M250"/>
  <c r="L250"/>
  <c r="S249"/>
  <c r="R249"/>
  <c r="Q249"/>
  <c r="P249"/>
  <c r="O249"/>
  <c r="N249"/>
  <c r="M249"/>
  <c r="L249"/>
  <c r="S248"/>
  <c r="R248"/>
  <c r="Q248"/>
  <c r="P248"/>
  <c r="O248"/>
  <c r="N248"/>
  <c r="M248"/>
  <c r="L248"/>
  <c r="S247"/>
  <c r="R247"/>
  <c r="Q247"/>
  <c r="P247"/>
  <c r="O247"/>
  <c r="N247"/>
  <c r="M247"/>
  <c r="L247"/>
  <c r="S246"/>
  <c r="R246"/>
  <c r="Q246"/>
  <c r="P246"/>
  <c r="O246"/>
  <c r="N246"/>
  <c r="M246"/>
  <c r="L246"/>
  <c r="S245"/>
  <c r="R245"/>
  <c r="Q245"/>
  <c r="P245"/>
  <c r="O245"/>
  <c r="N245"/>
  <c r="M245"/>
  <c r="L245"/>
  <c r="S244"/>
  <c r="R244"/>
  <c r="Q244"/>
  <c r="P244"/>
  <c r="O244"/>
  <c r="N244"/>
  <c r="M244"/>
  <c r="L244"/>
  <c r="S243"/>
  <c r="R243"/>
  <c r="Q243"/>
  <c r="P243"/>
  <c r="O243"/>
  <c r="N243"/>
  <c r="M243"/>
  <c r="L243"/>
  <c r="S242"/>
  <c r="R242"/>
  <c r="Q242"/>
  <c r="P242"/>
  <c r="O242"/>
  <c r="N242"/>
  <c r="M242"/>
  <c r="L242"/>
  <c r="S241"/>
  <c r="R241"/>
  <c r="Q241"/>
  <c r="P241"/>
  <c r="O241"/>
  <c r="N241"/>
  <c r="M241"/>
  <c r="L241"/>
  <c r="S240"/>
  <c r="R240"/>
  <c r="Q240"/>
  <c r="P240"/>
  <c r="O240"/>
  <c r="N240"/>
  <c r="M240"/>
  <c r="L240"/>
  <c r="S239"/>
  <c r="R239"/>
  <c r="Q239"/>
  <c r="P239"/>
  <c r="O239"/>
  <c r="N239"/>
  <c r="M239"/>
  <c r="L239"/>
  <c r="S238"/>
  <c r="R238"/>
  <c r="Q238"/>
  <c r="P238"/>
  <c r="O238"/>
  <c r="N238"/>
  <c r="M238"/>
  <c r="L238"/>
  <c r="S237"/>
  <c r="R237"/>
  <c r="Q237"/>
  <c r="P237"/>
  <c r="O237"/>
  <c r="N237"/>
  <c r="M237"/>
  <c r="L237"/>
  <c r="S236"/>
  <c r="R236"/>
  <c r="Q236"/>
  <c r="P236"/>
  <c r="O236"/>
  <c r="N236"/>
  <c r="M236"/>
  <c r="L236"/>
  <c r="S235"/>
  <c r="R235"/>
  <c r="Q235"/>
  <c r="P235"/>
  <c r="O235"/>
  <c r="N235"/>
  <c r="M235"/>
  <c r="L235"/>
  <c r="S234"/>
  <c r="R234"/>
  <c r="Q234"/>
  <c r="P234"/>
  <c r="O234"/>
  <c r="N234"/>
  <c r="M234"/>
  <c r="L234"/>
  <c r="S233"/>
  <c r="R233"/>
  <c r="Q233"/>
  <c r="P233"/>
  <c r="O233"/>
  <c r="N233"/>
  <c r="M233"/>
  <c r="L233"/>
  <c r="S232"/>
  <c r="R232"/>
  <c r="Q232"/>
  <c r="P232"/>
  <c r="O232"/>
  <c r="N232"/>
  <c r="M232"/>
  <c r="L232"/>
  <c r="S231"/>
  <c r="R231"/>
  <c r="Q231"/>
  <c r="P231"/>
  <c r="O231"/>
  <c r="N231"/>
  <c r="M231"/>
  <c r="L231"/>
  <c r="S230"/>
  <c r="R230"/>
  <c r="Q230"/>
  <c r="P230"/>
  <c r="O230"/>
  <c r="N230"/>
  <c r="M230"/>
  <c r="L230"/>
  <c r="S229"/>
  <c r="R229"/>
  <c r="Q229"/>
  <c r="P229"/>
  <c r="O229"/>
  <c r="N229"/>
  <c r="M229"/>
  <c r="L229"/>
  <c r="S228"/>
  <c r="R228"/>
  <c r="Q228"/>
  <c r="P228"/>
  <c r="O228"/>
  <c r="N228"/>
  <c r="M228"/>
  <c r="L228"/>
  <c r="S227"/>
  <c r="R227"/>
  <c r="Q227"/>
  <c r="P227"/>
  <c r="O227"/>
  <c r="N227"/>
  <c r="M227"/>
  <c r="L227"/>
  <c r="S226"/>
  <c r="R226"/>
  <c r="Q226"/>
  <c r="P226"/>
  <c r="O226"/>
  <c r="N226"/>
  <c r="M226"/>
  <c r="L226"/>
  <c r="S224"/>
  <c r="R224"/>
  <c r="Q224"/>
  <c r="P224"/>
  <c r="O224"/>
  <c r="N224"/>
  <c r="M224"/>
  <c r="L224"/>
  <c r="S223"/>
  <c r="R223"/>
  <c r="Q223"/>
  <c r="P223"/>
  <c r="O223"/>
  <c r="N223"/>
  <c r="M223"/>
  <c r="L223"/>
  <c r="S222"/>
  <c r="R222"/>
  <c r="Q222"/>
  <c r="P222"/>
  <c r="O222"/>
  <c r="N222"/>
  <c r="M222"/>
  <c r="L222"/>
  <c r="S221"/>
  <c r="R221"/>
  <c r="Q221"/>
  <c r="P221"/>
  <c r="O221"/>
  <c r="N221"/>
  <c r="M221"/>
  <c r="L221"/>
  <c r="S220"/>
  <c r="R220"/>
  <c r="Q220"/>
  <c r="P220"/>
  <c r="O220"/>
  <c r="N220"/>
  <c r="M220"/>
  <c r="L220"/>
  <c r="S219"/>
  <c r="R219"/>
  <c r="Q219"/>
  <c r="P219"/>
  <c r="O219"/>
  <c r="N219"/>
  <c r="M219"/>
  <c r="L219"/>
  <c r="S218"/>
  <c r="R218"/>
  <c r="Q218"/>
  <c r="P218"/>
  <c r="O218"/>
  <c r="N218"/>
  <c r="M218"/>
  <c r="L218"/>
  <c r="S217"/>
  <c r="R217"/>
  <c r="Q217"/>
  <c r="P217"/>
  <c r="O217"/>
  <c r="N217"/>
  <c r="M217"/>
  <c r="L217"/>
  <c r="S216"/>
  <c r="R216"/>
  <c r="Q216"/>
  <c r="P216"/>
  <c r="O216"/>
  <c r="N216"/>
  <c r="M216"/>
  <c r="L216"/>
  <c r="S215"/>
  <c r="R215"/>
  <c r="Q215"/>
  <c r="P215"/>
  <c r="O215"/>
  <c r="N215"/>
  <c r="M215"/>
  <c r="L215"/>
  <c r="S214"/>
  <c r="R214"/>
  <c r="Q214"/>
  <c r="P214"/>
  <c r="O214"/>
  <c r="N214"/>
  <c r="M214"/>
  <c r="L214"/>
  <c r="S213"/>
  <c r="R213"/>
  <c r="Q213"/>
  <c r="P213"/>
  <c r="O213"/>
  <c r="N213"/>
  <c r="M213"/>
  <c r="L213"/>
  <c r="S212"/>
  <c r="R212"/>
  <c r="Q212"/>
  <c r="P212"/>
  <c r="O212"/>
  <c r="N212"/>
  <c r="M212"/>
  <c r="L212"/>
  <c r="S211"/>
  <c r="R211"/>
  <c r="Q211"/>
  <c r="P211"/>
  <c r="O211"/>
  <c r="N211"/>
  <c r="M211"/>
  <c r="L211"/>
  <c r="S210"/>
  <c r="R210"/>
  <c r="Q210"/>
  <c r="P210"/>
  <c r="O210"/>
  <c r="N210"/>
  <c r="M210"/>
  <c r="L210"/>
  <c r="S209"/>
  <c r="R209"/>
  <c r="Q209"/>
  <c r="P209"/>
  <c r="O209"/>
  <c r="N209"/>
  <c r="M209"/>
  <c r="L209"/>
  <c r="S208"/>
  <c r="R208"/>
  <c r="Q208"/>
  <c r="P208"/>
  <c r="O208"/>
  <c r="N208"/>
  <c r="M208"/>
  <c r="L208"/>
  <c r="S207"/>
  <c r="R207"/>
  <c r="Q207"/>
  <c r="P207"/>
  <c r="O207"/>
  <c r="N207"/>
  <c r="M207"/>
  <c r="L207"/>
  <c r="S206"/>
  <c r="R206"/>
  <c r="Q206"/>
  <c r="P206"/>
  <c r="O206"/>
  <c r="N206"/>
  <c r="M206"/>
  <c r="L206"/>
  <c r="S205"/>
  <c r="R205"/>
  <c r="Q205"/>
  <c r="P205"/>
  <c r="O205"/>
  <c r="N205"/>
  <c r="M205"/>
  <c r="L205"/>
  <c r="S204"/>
  <c r="R204"/>
  <c r="Q204"/>
  <c r="P204"/>
  <c r="O204"/>
  <c r="N204"/>
  <c r="M204"/>
  <c r="L204"/>
  <c r="S203"/>
  <c r="R203"/>
  <c r="Q203"/>
  <c r="P203"/>
  <c r="O203"/>
  <c r="N203"/>
  <c r="M203"/>
  <c r="L203"/>
  <c r="S202"/>
  <c r="R202"/>
  <c r="Q202"/>
  <c r="P202"/>
  <c r="O202"/>
  <c r="N202"/>
  <c r="M202"/>
  <c r="L202"/>
  <c r="S201"/>
  <c r="R201"/>
  <c r="Q201"/>
  <c r="P201"/>
  <c r="O201"/>
  <c r="N201"/>
  <c r="M201"/>
  <c r="L201"/>
  <c r="S200"/>
  <c r="R200"/>
  <c r="Q200"/>
  <c r="P200"/>
  <c r="O200"/>
  <c r="N200"/>
  <c r="M200"/>
  <c r="L200"/>
  <c r="S199"/>
  <c r="R199"/>
  <c r="Q199"/>
  <c r="P199"/>
  <c r="O199"/>
  <c r="N199"/>
  <c r="M199"/>
  <c r="L199"/>
  <c r="S198"/>
  <c r="R198"/>
  <c r="Q198"/>
  <c r="P198"/>
  <c r="O198"/>
  <c r="N198"/>
  <c r="M198"/>
  <c r="L198"/>
  <c r="S197"/>
  <c r="R197"/>
  <c r="Q197"/>
  <c r="P197"/>
  <c r="O197"/>
  <c r="N197"/>
  <c r="M197"/>
  <c r="L197"/>
  <c r="S196"/>
  <c r="R196"/>
  <c r="Q196"/>
  <c r="P196"/>
  <c r="O196"/>
  <c r="N196"/>
  <c r="M196"/>
  <c r="L196"/>
  <c r="S195"/>
  <c r="R195"/>
  <c r="Q195"/>
  <c r="P195"/>
  <c r="O195"/>
  <c r="N195"/>
  <c r="M195"/>
  <c r="L195"/>
  <c r="S194"/>
  <c r="R194"/>
  <c r="Q194"/>
  <c r="P194"/>
  <c r="O194"/>
  <c r="N194"/>
  <c r="M194"/>
  <c r="L194"/>
  <c r="S193"/>
  <c r="R193"/>
  <c r="Q193"/>
  <c r="P193"/>
  <c r="O193"/>
  <c r="N193"/>
  <c r="M193"/>
  <c r="L193"/>
  <c r="S192"/>
  <c r="R192"/>
  <c r="Q192"/>
  <c r="P192"/>
  <c r="O192"/>
  <c r="N192"/>
  <c r="M192"/>
  <c r="L192"/>
  <c r="S191"/>
  <c r="R191"/>
  <c r="Q191"/>
  <c r="P191"/>
  <c r="O191"/>
  <c r="N191"/>
  <c r="M191"/>
  <c r="L191"/>
  <c r="S190"/>
  <c r="R190"/>
  <c r="Q190"/>
  <c r="P190"/>
  <c r="O190"/>
  <c r="N190"/>
  <c r="M190"/>
  <c r="L190"/>
  <c r="S189"/>
  <c r="R189"/>
  <c r="Q189"/>
  <c r="P189"/>
  <c r="O189"/>
  <c r="N189"/>
  <c r="M189"/>
  <c r="L189"/>
  <c r="S188"/>
  <c r="R188"/>
  <c r="Q188"/>
  <c r="P188"/>
  <c r="O188"/>
  <c r="N188"/>
  <c r="M188"/>
  <c r="L188"/>
  <c r="S187"/>
  <c r="R187"/>
  <c r="Q187"/>
  <c r="P187"/>
  <c r="O187"/>
  <c r="N187"/>
  <c r="M187"/>
  <c r="L187"/>
  <c r="S186"/>
  <c r="R186"/>
  <c r="Q186"/>
  <c r="P186"/>
  <c r="O186"/>
  <c r="N186"/>
  <c r="M186"/>
  <c r="L186"/>
  <c r="S185"/>
  <c r="R185"/>
  <c r="Q185"/>
  <c r="P185"/>
  <c r="O185"/>
  <c r="N185"/>
  <c r="M185"/>
  <c r="L185"/>
  <c r="S184"/>
  <c r="R184"/>
  <c r="Q184"/>
  <c r="P184"/>
  <c r="O184"/>
  <c r="N184"/>
  <c r="M184"/>
  <c r="L184"/>
  <c r="S183"/>
  <c r="R183"/>
  <c r="Q183"/>
  <c r="P183"/>
  <c r="O183"/>
  <c r="N183"/>
  <c r="M183"/>
  <c r="L183"/>
  <c r="S182"/>
  <c r="R182"/>
  <c r="Q182"/>
  <c r="P182"/>
  <c r="O182"/>
  <c r="N182"/>
  <c r="M182"/>
  <c r="L182"/>
  <c r="S181"/>
  <c r="R181"/>
  <c r="Q181"/>
  <c r="P181"/>
  <c r="O181"/>
  <c r="N181"/>
  <c r="M181"/>
  <c r="L181"/>
  <c r="S180"/>
  <c r="R180"/>
  <c r="Q180"/>
  <c r="P180"/>
  <c r="O180"/>
  <c r="N180"/>
  <c r="M180"/>
  <c r="L180"/>
  <c r="S179"/>
  <c r="R179"/>
  <c r="Q179"/>
  <c r="P179"/>
  <c r="O179"/>
  <c r="N179"/>
  <c r="M179"/>
  <c r="L179"/>
  <c r="S178"/>
  <c r="R178"/>
  <c r="Q178"/>
  <c r="P178"/>
  <c r="O178"/>
  <c r="N178"/>
  <c r="M178"/>
  <c r="L178"/>
  <c r="S177"/>
  <c r="R177"/>
  <c r="Q177"/>
  <c r="P177"/>
  <c r="O177"/>
  <c r="N177"/>
  <c r="M177"/>
  <c r="L177"/>
  <c r="S176"/>
  <c r="R176"/>
  <c r="Q176"/>
  <c r="P176"/>
  <c r="O176"/>
  <c r="N176"/>
  <c r="M176"/>
  <c r="L176"/>
  <c r="S175"/>
  <c r="R175"/>
  <c r="Q175"/>
  <c r="P175"/>
  <c r="O175"/>
  <c r="N175"/>
  <c r="M175"/>
  <c r="L175"/>
  <c r="S174"/>
  <c r="R174"/>
  <c r="Q174"/>
  <c r="P174"/>
  <c r="O174"/>
  <c r="N174"/>
  <c r="M174"/>
  <c r="L174"/>
  <c r="S173"/>
  <c r="R173"/>
  <c r="Q173"/>
  <c r="P173"/>
  <c r="O173"/>
  <c r="N173"/>
  <c r="M173"/>
  <c r="L173"/>
  <c r="S172"/>
  <c r="R172"/>
  <c r="Q172"/>
  <c r="P172"/>
  <c r="O172"/>
  <c r="N172"/>
  <c r="M172"/>
  <c r="L172"/>
  <c r="S171"/>
  <c r="R171"/>
  <c r="Q171"/>
  <c r="P171"/>
  <c r="O171"/>
  <c r="N171"/>
  <c r="M171"/>
  <c r="L171"/>
  <c r="S170"/>
  <c r="R170"/>
  <c r="Q170"/>
  <c r="P170"/>
  <c r="O170"/>
  <c r="N170"/>
  <c r="M170"/>
  <c r="L170"/>
  <c r="S169"/>
  <c r="R169"/>
  <c r="Q169"/>
  <c r="P169"/>
  <c r="O169"/>
  <c r="N169"/>
  <c r="M169"/>
  <c r="L169"/>
  <c r="S168"/>
  <c r="R168"/>
  <c r="Q168"/>
  <c r="P168"/>
  <c r="O168"/>
  <c r="N168"/>
  <c r="M168"/>
  <c r="L168"/>
  <c r="S167"/>
  <c r="R167"/>
  <c r="Q167"/>
  <c r="P167"/>
  <c r="O167"/>
  <c r="N167"/>
  <c r="M167"/>
  <c r="L167"/>
  <c r="S166"/>
  <c r="R166"/>
  <c r="Q166"/>
  <c r="P166"/>
  <c r="O166"/>
  <c r="N166"/>
  <c r="M166"/>
  <c r="L166"/>
  <c r="S165"/>
  <c r="R165"/>
  <c r="Q165"/>
  <c r="P165"/>
  <c r="O165"/>
  <c r="N165"/>
  <c r="M165"/>
  <c r="L165"/>
  <c r="S164"/>
  <c r="R164"/>
  <c r="Q164"/>
  <c r="P164"/>
  <c r="O164"/>
  <c r="N164"/>
  <c r="M164"/>
  <c r="L164"/>
  <c r="S163"/>
  <c r="R163"/>
  <c r="Q163"/>
  <c r="P163"/>
  <c r="O163"/>
  <c r="N163"/>
  <c r="M163"/>
  <c r="L163"/>
  <c r="S162"/>
  <c r="R162"/>
  <c r="Q162"/>
  <c r="P162"/>
  <c r="O162"/>
  <c r="N162"/>
  <c r="M162"/>
  <c r="L162"/>
  <c r="S161"/>
  <c r="R161"/>
  <c r="Q161"/>
  <c r="P161"/>
  <c r="O161"/>
  <c r="N161"/>
  <c r="M161"/>
  <c r="L161"/>
  <c r="S160"/>
  <c r="R160"/>
  <c r="Q160"/>
  <c r="P160"/>
  <c r="O160"/>
  <c r="N160"/>
  <c r="M160"/>
  <c r="L160"/>
  <c r="S159"/>
  <c r="R159"/>
  <c r="Q159"/>
  <c r="P159"/>
  <c r="O159"/>
  <c r="N159"/>
  <c r="M159"/>
  <c r="L159"/>
  <c r="S158"/>
  <c r="R158"/>
  <c r="Q158"/>
  <c r="P158"/>
  <c r="O158"/>
  <c r="N158"/>
  <c r="M158"/>
  <c r="L158"/>
  <c r="S157"/>
  <c r="R157"/>
  <c r="Q157"/>
  <c r="P157"/>
  <c r="O157"/>
  <c r="N157"/>
  <c r="M157"/>
  <c r="L157"/>
  <c r="S156"/>
  <c r="R156"/>
  <c r="Q156"/>
  <c r="P156"/>
  <c r="O156"/>
  <c r="N156"/>
  <c r="M156"/>
  <c r="L156"/>
  <c r="S155"/>
  <c r="R155"/>
  <c r="Q155"/>
  <c r="P155"/>
  <c r="O155"/>
  <c r="N155"/>
  <c r="M155"/>
  <c r="L155"/>
  <c r="S154"/>
  <c r="R154"/>
  <c r="Q154"/>
  <c r="P154"/>
  <c r="O154"/>
  <c r="N154"/>
  <c r="M154"/>
  <c r="L154"/>
  <c r="L83"/>
  <c r="M83"/>
  <c r="N83"/>
  <c r="O83"/>
  <c r="P83"/>
  <c r="Q83"/>
  <c r="R83"/>
  <c r="S83"/>
  <c r="L84"/>
  <c r="M84"/>
  <c r="N84"/>
  <c r="O84"/>
  <c r="P84"/>
  <c r="Q84"/>
  <c r="R84"/>
  <c r="S84"/>
  <c r="L85"/>
  <c r="M85"/>
  <c r="N85"/>
  <c r="O85"/>
  <c r="P85"/>
  <c r="Q85"/>
  <c r="R85"/>
  <c r="S85"/>
  <c r="L86"/>
  <c r="M86"/>
  <c r="N86"/>
  <c r="O86"/>
  <c r="P86"/>
  <c r="Q86"/>
  <c r="R86"/>
  <c r="S86"/>
  <c r="L87"/>
  <c r="M87"/>
  <c r="N87"/>
  <c r="O87"/>
  <c r="P87"/>
  <c r="Q87"/>
  <c r="R87"/>
  <c r="S87"/>
  <c r="L88"/>
  <c r="M88"/>
  <c r="N88"/>
  <c r="O88"/>
  <c r="P88"/>
  <c r="Q88"/>
  <c r="R88"/>
  <c r="S88"/>
  <c r="L89"/>
  <c r="M89"/>
  <c r="N89"/>
  <c r="O89"/>
  <c r="P89"/>
  <c r="Q89"/>
  <c r="R89"/>
  <c r="S89"/>
  <c r="L90"/>
  <c r="M90"/>
  <c r="N90"/>
  <c r="O90"/>
  <c r="P90"/>
  <c r="Q90"/>
  <c r="R90"/>
  <c r="S90"/>
  <c r="L91"/>
  <c r="M91"/>
  <c r="N91"/>
  <c r="O91"/>
  <c r="P91"/>
  <c r="Q91"/>
  <c r="R91"/>
  <c r="S91"/>
  <c r="L92"/>
  <c r="M92"/>
  <c r="N92"/>
  <c r="O92"/>
  <c r="P92"/>
  <c r="Q92"/>
  <c r="R92"/>
  <c r="S92"/>
  <c r="L93"/>
  <c r="M93"/>
  <c r="N93"/>
  <c r="O93"/>
  <c r="P93"/>
  <c r="Q93"/>
  <c r="R93"/>
  <c r="S93"/>
  <c r="L94"/>
  <c r="M94"/>
  <c r="N94"/>
  <c r="O94"/>
  <c r="P94"/>
  <c r="Q94"/>
  <c r="R94"/>
  <c r="S94"/>
  <c r="L95"/>
  <c r="M95"/>
  <c r="N95"/>
  <c r="O95"/>
  <c r="P95"/>
  <c r="Q95"/>
  <c r="R95"/>
  <c r="S95"/>
  <c r="L96"/>
  <c r="M96"/>
  <c r="N96"/>
  <c r="O96"/>
  <c r="P96"/>
  <c r="Q96"/>
  <c r="R96"/>
  <c r="S96"/>
  <c r="L97"/>
  <c r="M97"/>
  <c r="N97"/>
  <c r="O97"/>
  <c r="P97"/>
  <c r="Q97"/>
  <c r="R97"/>
  <c r="S97"/>
  <c r="L98"/>
  <c r="M98"/>
  <c r="N98"/>
  <c r="O98"/>
  <c r="P98"/>
  <c r="Q98"/>
  <c r="R98"/>
  <c r="S98"/>
  <c r="L99"/>
  <c r="M99"/>
  <c r="N99"/>
  <c r="O99"/>
  <c r="P99"/>
  <c r="Q99"/>
  <c r="R99"/>
  <c r="S99"/>
  <c r="L100"/>
  <c r="M100"/>
  <c r="N100"/>
  <c r="O100"/>
  <c r="P100"/>
  <c r="Q100"/>
  <c r="R100"/>
  <c r="S100"/>
  <c r="L101"/>
  <c r="M101"/>
  <c r="N101"/>
  <c r="O101"/>
  <c r="P101"/>
  <c r="Q101"/>
  <c r="R101"/>
  <c r="S101"/>
  <c r="L102"/>
  <c r="M102"/>
  <c r="N102"/>
  <c r="O102"/>
  <c r="P102"/>
  <c r="Q102"/>
  <c r="R102"/>
  <c r="S102"/>
  <c r="L103"/>
  <c r="M103"/>
  <c r="N103"/>
  <c r="O103"/>
  <c r="P103"/>
  <c r="Q103"/>
  <c r="R103"/>
  <c r="S103"/>
  <c r="L104"/>
  <c r="M104"/>
  <c r="N104"/>
  <c r="O104"/>
  <c r="P104"/>
  <c r="Q104"/>
  <c r="R104"/>
  <c r="S104"/>
  <c r="L105"/>
  <c r="M105"/>
  <c r="N105"/>
  <c r="O105"/>
  <c r="P105"/>
  <c r="Q105"/>
  <c r="R105"/>
  <c r="S105"/>
  <c r="L106"/>
  <c r="M106"/>
  <c r="N106"/>
  <c r="O106"/>
  <c r="P106"/>
  <c r="Q106"/>
  <c r="R106"/>
  <c r="S106"/>
  <c r="L107"/>
  <c r="M107"/>
  <c r="N107"/>
  <c r="O107"/>
  <c r="P107"/>
  <c r="Q107"/>
  <c r="R107"/>
  <c r="S107"/>
  <c r="L108"/>
  <c r="M108"/>
  <c r="N108"/>
  <c r="O108"/>
  <c r="P108"/>
  <c r="Q108"/>
  <c r="R108"/>
  <c r="S108"/>
  <c r="L109"/>
  <c r="M109"/>
  <c r="N109"/>
  <c r="O109"/>
  <c r="P109"/>
  <c r="Q109"/>
  <c r="R109"/>
  <c r="S109"/>
  <c r="L110"/>
  <c r="M110"/>
  <c r="N110"/>
  <c r="O110"/>
  <c r="P110"/>
  <c r="Q110"/>
  <c r="R110"/>
  <c r="S110"/>
  <c r="L111"/>
  <c r="M111"/>
  <c r="N111"/>
  <c r="O111"/>
  <c r="P111"/>
  <c r="Q111"/>
  <c r="R111"/>
  <c r="S111"/>
  <c r="L112"/>
  <c r="M112"/>
  <c r="N112"/>
  <c r="O112"/>
  <c r="P112"/>
  <c r="Q112"/>
  <c r="R112"/>
  <c r="S112"/>
  <c r="L113"/>
  <c r="M113"/>
  <c r="N113"/>
  <c r="O113"/>
  <c r="P113"/>
  <c r="Q113"/>
  <c r="R113"/>
  <c r="S113"/>
  <c r="L114"/>
  <c r="M114"/>
  <c r="N114"/>
  <c r="O114"/>
  <c r="P114"/>
  <c r="Q114"/>
  <c r="R114"/>
  <c r="S114"/>
  <c r="L115"/>
  <c r="M115"/>
  <c r="N115"/>
  <c r="O115"/>
  <c r="P115"/>
  <c r="Q115"/>
  <c r="R115"/>
  <c r="S115"/>
  <c r="L116"/>
  <c r="M116"/>
  <c r="N116"/>
  <c r="O116"/>
  <c r="P116"/>
  <c r="Q116"/>
  <c r="R116"/>
  <c r="S116"/>
  <c r="L117"/>
  <c r="M117"/>
  <c r="N117"/>
  <c r="O117"/>
  <c r="P117"/>
  <c r="Q117"/>
  <c r="R117"/>
  <c r="S117"/>
  <c r="L118"/>
  <c r="M118"/>
  <c r="N118"/>
  <c r="O118"/>
  <c r="P118"/>
  <c r="Q118"/>
  <c r="R118"/>
  <c r="S118"/>
  <c r="L119"/>
  <c r="M119"/>
  <c r="N119"/>
  <c r="O119"/>
  <c r="P119"/>
  <c r="Q119"/>
  <c r="R119"/>
  <c r="S119"/>
  <c r="L120"/>
  <c r="M120"/>
  <c r="N120"/>
  <c r="O120"/>
  <c r="P120"/>
  <c r="Q120"/>
  <c r="R120"/>
  <c r="S120"/>
  <c r="L121"/>
  <c r="M121"/>
  <c r="N121"/>
  <c r="O121"/>
  <c r="P121"/>
  <c r="Q121"/>
  <c r="R121"/>
  <c r="S121"/>
  <c r="L122"/>
  <c r="M122"/>
  <c r="N122"/>
  <c r="O122"/>
  <c r="P122"/>
  <c r="Q122"/>
  <c r="R122"/>
  <c r="S122"/>
  <c r="L123"/>
  <c r="M123"/>
  <c r="N123"/>
  <c r="O123"/>
  <c r="P123"/>
  <c r="Q123"/>
  <c r="R123"/>
  <c r="S123"/>
  <c r="L124"/>
  <c r="M124"/>
  <c r="N124"/>
  <c r="O124"/>
  <c r="P124"/>
  <c r="Q124"/>
  <c r="R124"/>
  <c r="S124"/>
  <c r="L125"/>
  <c r="M125"/>
  <c r="N125"/>
  <c r="O125"/>
  <c r="P125"/>
  <c r="Q125"/>
  <c r="R125"/>
  <c r="S125"/>
  <c r="L126"/>
  <c r="M126"/>
  <c r="N126"/>
  <c r="O126"/>
  <c r="P126"/>
  <c r="Q126"/>
  <c r="R126"/>
  <c r="S126"/>
  <c r="L127"/>
  <c r="M127"/>
  <c r="N127"/>
  <c r="O127"/>
  <c r="P127"/>
  <c r="Q127"/>
  <c r="R127"/>
  <c r="S127"/>
  <c r="L128"/>
  <c r="M128"/>
  <c r="N128"/>
  <c r="O128"/>
  <c r="P128"/>
  <c r="Q128"/>
  <c r="R128"/>
  <c r="S128"/>
  <c r="L129"/>
  <c r="M129"/>
  <c r="N129"/>
  <c r="O129"/>
  <c r="P129"/>
  <c r="Q129"/>
  <c r="R129"/>
  <c r="S129"/>
  <c r="L130"/>
  <c r="M130"/>
  <c r="N130"/>
  <c r="O130"/>
  <c r="P130"/>
  <c r="Q130"/>
  <c r="R130"/>
  <c r="S130"/>
  <c r="L131"/>
  <c r="M131"/>
  <c r="N131"/>
  <c r="O131"/>
  <c r="P131"/>
  <c r="Q131"/>
  <c r="R131"/>
  <c r="S131"/>
  <c r="L132"/>
  <c r="M132"/>
  <c r="N132"/>
  <c r="O132"/>
  <c r="P132"/>
  <c r="Q132"/>
  <c r="R132"/>
  <c r="S132"/>
  <c r="L133"/>
  <c r="M133"/>
  <c r="N133"/>
  <c r="O133"/>
  <c r="P133"/>
  <c r="Q133"/>
  <c r="R133"/>
  <c r="S133"/>
  <c r="L134"/>
  <c r="M134"/>
  <c r="N134"/>
  <c r="O134"/>
  <c r="P134"/>
  <c r="Q134"/>
  <c r="R134"/>
  <c r="S134"/>
  <c r="L135"/>
  <c r="M135"/>
  <c r="N135"/>
  <c r="O135"/>
  <c r="P135"/>
  <c r="Q135"/>
  <c r="R135"/>
  <c r="S135"/>
  <c r="L136"/>
  <c r="M136"/>
  <c r="N136"/>
  <c r="O136"/>
  <c r="P136"/>
  <c r="Q136"/>
  <c r="R136"/>
  <c r="S136"/>
  <c r="L137"/>
  <c r="M137"/>
  <c r="N137"/>
  <c r="O137"/>
  <c r="P137"/>
  <c r="Q137"/>
  <c r="R137"/>
  <c r="S137"/>
  <c r="L138"/>
  <c r="M138"/>
  <c r="N138"/>
  <c r="O138"/>
  <c r="P138"/>
  <c r="Q138"/>
  <c r="R138"/>
  <c r="S138"/>
  <c r="L139"/>
  <c r="M139"/>
  <c r="N139"/>
  <c r="O139"/>
  <c r="P139"/>
  <c r="Q139"/>
  <c r="R139"/>
  <c r="S139"/>
  <c r="L140"/>
  <c r="M140"/>
  <c r="N140"/>
  <c r="O140"/>
  <c r="P140"/>
  <c r="Q140"/>
  <c r="R140"/>
  <c r="S140"/>
  <c r="L141"/>
  <c r="M141"/>
  <c r="N141"/>
  <c r="O141"/>
  <c r="P141"/>
  <c r="Q141"/>
  <c r="R141"/>
  <c r="S141"/>
  <c r="L142"/>
  <c r="M142"/>
  <c r="N142"/>
  <c r="O142"/>
  <c r="P142"/>
  <c r="Q142"/>
  <c r="R142"/>
  <c r="S142"/>
  <c r="L143"/>
  <c r="M143"/>
  <c r="N143"/>
  <c r="O143"/>
  <c r="P143"/>
  <c r="Q143"/>
  <c r="R143"/>
  <c r="S143"/>
  <c r="L144"/>
  <c r="M144"/>
  <c r="N144"/>
  <c r="O144"/>
  <c r="P144"/>
  <c r="Q144"/>
  <c r="R144"/>
  <c r="S144"/>
  <c r="L145"/>
  <c r="M145"/>
  <c r="N145"/>
  <c r="O145"/>
  <c r="P145"/>
  <c r="Q145"/>
  <c r="R145"/>
  <c r="S145"/>
  <c r="L146"/>
  <c r="M146"/>
  <c r="N146"/>
  <c r="O146"/>
  <c r="P146"/>
  <c r="Q146"/>
  <c r="R146"/>
  <c r="S146"/>
  <c r="L147"/>
  <c r="M147"/>
  <c r="N147"/>
  <c r="O147"/>
  <c r="P147"/>
  <c r="Q147"/>
  <c r="R147"/>
  <c r="S147"/>
  <c r="L148"/>
  <c r="M148"/>
  <c r="N148"/>
  <c r="O148"/>
  <c r="P148"/>
  <c r="Q148"/>
  <c r="R148"/>
  <c r="S148"/>
  <c r="L149"/>
  <c r="M149"/>
  <c r="N149"/>
  <c r="O149"/>
  <c r="P149"/>
  <c r="Q149"/>
  <c r="R149"/>
  <c r="S149"/>
  <c r="L150"/>
  <c r="M150"/>
  <c r="N150"/>
  <c r="O150"/>
  <c r="P150"/>
  <c r="Q150"/>
  <c r="R150"/>
  <c r="S150"/>
  <c r="L151"/>
  <c r="M151"/>
  <c r="N151"/>
  <c r="O151"/>
  <c r="P151"/>
  <c r="Q151"/>
  <c r="R151"/>
  <c r="S151"/>
  <c r="L152"/>
  <c r="M152"/>
  <c r="N152"/>
  <c r="O152"/>
  <c r="P152"/>
  <c r="Q152"/>
  <c r="R152"/>
  <c r="S152"/>
  <c r="S82"/>
  <c r="R82"/>
  <c r="Q82"/>
  <c r="P82"/>
  <c r="O82"/>
  <c r="N82"/>
  <c r="M82"/>
  <c r="L82"/>
  <c r="L12"/>
  <c r="M12"/>
  <c r="N12"/>
  <c r="O12"/>
  <c r="P12"/>
  <c r="Q12"/>
  <c r="R12"/>
  <c r="S12"/>
  <c r="L13"/>
  <c r="M13"/>
  <c r="N13"/>
  <c r="O13"/>
  <c r="P13"/>
  <c r="Q13"/>
  <c r="R13"/>
  <c r="S13"/>
  <c r="L14"/>
  <c r="M14"/>
  <c r="N14"/>
  <c r="O14"/>
  <c r="P14"/>
  <c r="Q14"/>
  <c r="R14"/>
  <c r="S14"/>
  <c r="L15"/>
  <c r="M15"/>
  <c r="N15"/>
  <c r="O15"/>
  <c r="P15"/>
  <c r="Q15"/>
  <c r="R15"/>
  <c r="S15"/>
  <c r="L16"/>
  <c r="M16"/>
  <c r="N16"/>
  <c r="O16"/>
  <c r="P16"/>
  <c r="Q16"/>
  <c r="R16"/>
  <c r="S16"/>
  <c r="L17"/>
  <c r="M17"/>
  <c r="N17"/>
  <c r="O17"/>
  <c r="P17"/>
  <c r="Q17"/>
  <c r="R17"/>
  <c r="S17"/>
  <c r="L18"/>
  <c r="M18"/>
  <c r="N18"/>
  <c r="O18"/>
  <c r="P18"/>
  <c r="Q18"/>
  <c r="R18"/>
  <c r="S18"/>
  <c r="L19"/>
  <c r="M19"/>
  <c r="N19"/>
  <c r="O19"/>
  <c r="P19"/>
  <c r="Q19"/>
  <c r="R19"/>
  <c r="S19"/>
  <c r="L20"/>
  <c r="M20"/>
  <c r="N20"/>
  <c r="O20"/>
  <c r="P20"/>
  <c r="Q20"/>
  <c r="R20"/>
  <c r="S20"/>
  <c r="L21"/>
  <c r="M21"/>
  <c r="N21"/>
  <c r="O21"/>
  <c r="P21"/>
  <c r="Q21"/>
  <c r="R21"/>
  <c r="S21"/>
  <c r="L22"/>
  <c r="M22"/>
  <c r="N22"/>
  <c r="O22"/>
  <c r="P22"/>
  <c r="Q22"/>
  <c r="R22"/>
  <c r="S22"/>
  <c r="L23"/>
  <c r="M23"/>
  <c r="N23"/>
  <c r="O23"/>
  <c r="P23"/>
  <c r="Q23"/>
  <c r="R23"/>
  <c r="S23"/>
  <c r="L24"/>
  <c r="M24"/>
  <c r="N24"/>
  <c r="O24"/>
  <c r="P24"/>
  <c r="Q24"/>
  <c r="R24"/>
  <c r="S24"/>
  <c r="L25"/>
  <c r="M25"/>
  <c r="N25"/>
  <c r="O25"/>
  <c r="P25"/>
  <c r="Q25"/>
  <c r="R25"/>
  <c r="S25"/>
  <c r="L26"/>
  <c r="M26"/>
  <c r="N26"/>
  <c r="O26"/>
  <c r="P26"/>
  <c r="Q26"/>
  <c r="R26"/>
  <c r="S26"/>
  <c r="L27"/>
  <c r="M27"/>
  <c r="N27"/>
  <c r="O27"/>
  <c r="P27"/>
  <c r="Q27"/>
  <c r="R27"/>
  <c r="S27"/>
  <c r="L28"/>
  <c r="M28"/>
  <c r="N28"/>
  <c r="O28"/>
  <c r="P28"/>
  <c r="Q28"/>
  <c r="R28"/>
  <c r="S28"/>
  <c r="L29"/>
  <c r="M29"/>
  <c r="N29"/>
  <c r="O29"/>
  <c r="P29"/>
  <c r="Q29"/>
  <c r="R29"/>
  <c r="S29"/>
  <c r="L30"/>
  <c r="M30"/>
  <c r="N30"/>
  <c r="O30"/>
  <c r="P30"/>
  <c r="Q30"/>
  <c r="R30"/>
  <c r="S30"/>
  <c r="L31"/>
  <c r="M31"/>
  <c r="N31"/>
  <c r="O31"/>
  <c r="P31"/>
  <c r="Q31"/>
  <c r="R31"/>
  <c r="S31"/>
  <c r="L32"/>
  <c r="M32"/>
  <c r="N32"/>
  <c r="O32"/>
  <c r="P32"/>
  <c r="Q32"/>
  <c r="R32"/>
  <c r="S32"/>
  <c r="L33"/>
  <c r="M33"/>
  <c r="N33"/>
  <c r="O33"/>
  <c r="P33"/>
  <c r="Q33"/>
  <c r="R33"/>
  <c r="S33"/>
  <c r="L34"/>
  <c r="M34"/>
  <c r="N34"/>
  <c r="O34"/>
  <c r="P34"/>
  <c r="Q34"/>
  <c r="R34"/>
  <c r="S34"/>
  <c r="L35"/>
  <c r="M35"/>
  <c r="N35"/>
  <c r="O35"/>
  <c r="P35"/>
  <c r="Q35"/>
  <c r="R35"/>
  <c r="S35"/>
  <c r="L36"/>
  <c r="M36"/>
  <c r="N36"/>
  <c r="O36"/>
  <c r="P36"/>
  <c r="Q36"/>
  <c r="R36"/>
  <c r="S36"/>
  <c r="L37"/>
  <c r="M37"/>
  <c r="N37"/>
  <c r="O37"/>
  <c r="P37"/>
  <c r="Q37"/>
  <c r="R37"/>
  <c r="S37"/>
  <c r="L38"/>
  <c r="M38"/>
  <c r="N38"/>
  <c r="O38"/>
  <c r="P38"/>
  <c r="Q38"/>
  <c r="R38"/>
  <c r="S38"/>
  <c r="L39"/>
  <c r="M39"/>
  <c r="N39"/>
  <c r="O39"/>
  <c r="P39"/>
  <c r="Q39"/>
  <c r="R39"/>
  <c r="S39"/>
  <c r="L40"/>
  <c r="M40"/>
  <c r="N40"/>
  <c r="O40"/>
  <c r="P40"/>
  <c r="Q40"/>
  <c r="R40"/>
  <c r="S40"/>
  <c r="L41"/>
  <c r="M41"/>
  <c r="N41"/>
  <c r="O41"/>
  <c r="P41"/>
  <c r="Q41"/>
  <c r="R41"/>
  <c r="S41"/>
  <c r="L42"/>
  <c r="M42"/>
  <c r="N42"/>
  <c r="O42"/>
  <c r="P42"/>
  <c r="Q42"/>
  <c r="R42"/>
  <c r="S42"/>
  <c r="L43"/>
  <c r="M43"/>
  <c r="N43"/>
  <c r="O43"/>
  <c r="P43"/>
  <c r="Q43"/>
  <c r="R43"/>
  <c r="S43"/>
  <c r="L44"/>
  <c r="M44"/>
  <c r="N44"/>
  <c r="O44"/>
  <c r="P44"/>
  <c r="Q44"/>
  <c r="R44"/>
  <c r="S44"/>
  <c r="L45"/>
  <c r="M45"/>
  <c r="N45"/>
  <c r="O45"/>
  <c r="P45"/>
  <c r="Q45"/>
  <c r="R45"/>
  <c r="S45"/>
  <c r="L46"/>
  <c r="M46"/>
  <c r="N46"/>
  <c r="O46"/>
  <c r="P46"/>
  <c r="Q46"/>
  <c r="R46"/>
  <c r="S46"/>
  <c r="L47"/>
  <c r="M47"/>
  <c r="N47"/>
  <c r="O47"/>
  <c r="P47"/>
  <c r="Q47"/>
  <c r="R47"/>
  <c r="S47"/>
  <c r="L48"/>
  <c r="M48"/>
  <c r="N48"/>
  <c r="O48"/>
  <c r="P48"/>
  <c r="Q48"/>
  <c r="R48"/>
  <c r="S48"/>
  <c r="L49"/>
  <c r="M49"/>
  <c r="N49"/>
  <c r="O49"/>
  <c r="P49"/>
  <c r="Q49"/>
  <c r="R49"/>
  <c r="S49"/>
  <c r="L50"/>
  <c r="M50"/>
  <c r="N50"/>
  <c r="O50"/>
  <c r="P50"/>
  <c r="Q50"/>
  <c r="R50"/>
  <c r="S50"/>
  <c r="L51"/>
  <c r="M51"/>
  <c r="N51"/>
  <c r="O51"/>
  <c r="P51"/>
  <c r="Q51"/>
  <c r="R51"/>
  <c r="S51"/>
  <c r="L52"/>
  <c r="M52"/>
  <c r="N52"/>
  <c r="O52"/>
  <c r="P52"/>
  <c r="Q52"/>
  <c r="R52"/>
  <c r="S52"/>
  <c r="L53"/>
  <c r="M53"/>
  <c r="N53"/>
  <c r="O53"/>
  <c r="P53"/>
  <c r="Q53"/>
  <c r="R53"/>
  <c r="S53"/>
  <c r="L54"/>
  <c r="M54"/>
  <c r="N54"/>
  <c r="O54"/>
  <c r="P54"/>
  <c r="Q54"/>
  <c r="R54"/>
  <c r="S54"/>
  <c r="L55"/>
  <c r="M55"/>
  <c r="N55"/>
  <c r="O55"/>
  <c r="P55"/>
  <c r="Q55"/>
  <c r="R55"/>
  <c r="S55"/>
  <c r="L56"/>
  <c r="M56"/>
  <c r="N56"/>
  <c r="O56"/>
  <c r="P56"/>
  <c r="Q56"/>
  <c r="R56"/>
  <c r="S56"/>
  <c r="L57"/>
  <c r="M57"/>
  <c r="N57"/>
  <c r="O57"/>
  <c r="P57"/>
  <c r="Q57"/>
  <c r="R57"/>
  <c r="S57"/>
  <c r="L58"/>
  <c r="M58"/>
  <c r="N58"/>
  <c r="O58"/>
  <c r="P58"/>
  <c r="Q58"/>
  <c r="R58"/>
  <c r="S58"/>
  <c r="L59"/>
  <c r="M59"/>
  <c r="N59"/>
  <c r="O59"/>
  <c r="P59"/>
  <c r="Q59"/>
  <c r="R59"/>
  <c r="S59"/>
  <c r="L60"/>
  <c r="M60"/>
  <c r="N60"/>
  <c r="O60"/>
  <c r="P60"/>
  <c r="Q60"/>
  <c r="R60"/>
  <c r="S60"/>
  <c r="L61"/>
  <c r="M61"/>
  <c r="N61"/>
  <c r="O61"/>
  <c r="P61"/>
  <c r="Q61"/>
  <c r="R61"/>
  <c r="S61"/>
  <c r="L62"/>
  <c r="M62"/>
  <c r="N62"/>
  <c r="O62"/>
  <c r="P62"/>
  <c r="Q62"/>
  <c r="R62"/>
  <c r="S62"/>
  <c r="L63"/>
  <c r="M63"/>
  <c r="N63"/>
  <c r="O63"/>
  <c r="P63"/>
  <c r="Q63"/>
  <c r="R63"/>
  <c r="S63"/>
  <c r="L64"/>
  <c r="M64"/>
  <c r="N64"/>
  <c r="O64"/>
  <c r="P64"/>
  <c r="Q64"/>
  <c r="R64"/>
  <c r="S64"/>
  <c r="L65"/>
  <c r="M65"/>
  <c r="N65"/>
  <c r="O65"/>
  <c r="P65"/>
  <c r="Q65"/>
  <c r="R65"/>
  <c r="S65"/>
  <c r="L66"/>
  <c r="M66"/>
  <c r="N66"/>
  <c r="O66"/>
  <c r="P66"/>
  <c r="Q66"/>
  <c r="R66"/>
  <c r="S66"/>
  <c r="L67"/>
  <c r="M67"/>
  <c r="N67"/>
  <c r="O67"/>
  <c r="P67"/>
  <c r="Q67"/>
  <c r="R67"/>
  <c r="S67"/>
  <c r="L68"/>
  <c r="M68"/>
  <c r="N68"/>
  <c r="O68"/>
  <c r="P68"/>
  <c r="Q68"/>
  <c r="R68"/>
  <c r="S68"/>
  <c r="L69"/>
  <c r="M69"/>
  <c r="N69"/>
  <c r="O69"/>
  <c r="P69"/>
  <c r="Q69"/>
  <c r="R69"/>
  <c r="S69"/>
  <c r="L70"/>
  <c r="M70"/>
  <c r="N70"/>
  <c r="O70"/>
  <c r="P70"/>
  <c r="Q70"/>
  <c r="R70"/>
  <c r="S70"/>
  <c r="L71"/>
  <c r="M71"/>
  <c r="N71"/>
  <c r="O71"/>
  <c r="P71"/>
  <c r="Q71"/>
  <c r="R71"/>
  <c r="S71"/>
  <c r="L72"/>
  <c r="M72"/>
  <c r="N72"/>
  <c r="O72"/>
  <c r="P72"/>
  <c r="Q72"/>
  <c r="R72"/>
  <c r="S72"/>
  <c r="L73"/>
  <c r="M73"/>
  <c r="N73"/>
  <c r="O73"/>
  <c r="P73"/>
  <c r="Q73"/>
  <c r="R73"/>
  <c r="S73"/>
  <c r="L74"/>
  <c r="M74"/>
  <c r="N74"/>
  <c r="O74"/>
  <c r="P74"/>
  <c r="Q74"/>
  <c r="R74"/>
  <c r="S74"/>
  <c r="L75"/>
  <c r="M75"/>
  <c r="N75"/>
  <c r="O75"/>
  <c r="P75"/>
  <c r="Q75"/>
  <c r="R75"/>
  <c r="S75"/>
  <c r="L76"/>
  <c r="M76"/>
  <c r="N76"/>
  <c r="O76"/>
  <c r="P76"/>
  <c r="Q76"/>
  <c r="R76"/>
  <c r="S76"/>
  <c r="L77"/>
  <c r="M77"/>
  <c r="N77"/>
  <c r="O77"/>
  <c r="P77"/>
  <c r="Q77"/>
  <c r="R77"/>
  <c r="S77"/>
  <c r="L78"/>
  <c r="M78"/>
  <c r="N78"/>
  <c r="O78"/>
  <c r="P78"/>
  <c r="Q78"/>
  <c r="R78"/>
  <c r="S78"/>
  <c r="L79"/>
  <c r="M79"/>
  <c r="N79"/>
  <c r="O79"/>
  <c r="P79"/>
  <c r="Q79"/>
  <c r="R79"/>
  <c r="S79"/>
  <c r="L80"/>
  <c r="M80"/>
  <c r="N80"/>
  <c r="O80"/>
  <c r="P80"/>
  <c r="Q80"/>
  <c r="R80"/>
  <c r="S80"/>
  <c r="S11"/>
  <c r="R11"/>
  <c r="Q11"/>
  <c r="P11"/>
  <c r="O11"/>
  <c r="N11"/>
  <c r="M11"/>
  <c r="L11"/>
  <c r="K512"/>
  <c r="K511"/>
  <c r="K510"/>
  <c r="K509"/>
  <c r="K508"/>
  <c r="K507"/>
  <c r="K506"/>
  <c r="K505"/>
  <c r="K504"/>
  <c r="K503"/>
  <c r="K502"/>
  <c r="K501"/>
  <c r="K500"/>
  <c r="K499"/>
  <c r="K498"/>
  <c r="K497"/>
  <c r="K496"/>
  <c r="K495"/>
  <c r="K494"/>
  <c r="K493"/>
  <c r="K492"/>
  <c r="K491"/>
  <c r="K490"/>
  <c r="K489"/>
  <c r="K488"/>
  <c r="K487"/>
  <c r="K486"/>
  <c r="K485"/>
  <c r="K484"/>
  <c r="K483"/>
  <c r="K482"/>
  <c r="K481"/>
  <c r="K480"/>
  <c r="K479"/>
  <c r="K478"/>
  <c r="K477"/>
  <c r="K476"/>
  <c r="K475"/>
  <c r="K474"/>
  <c r="K473"/>
  <c r="K472"/>
  <c r="K471"/>
  <c r="K470"/>
  <c r="K469"/>
  <c r="K468"/>
  <c r="K467"/>
  <c r="K466"/>
  <c r="K465"/>
  <c r="K464"/>
  <c r="K463"/>
  <c r="K462"/>
  <c r="K461"/>
  <c r="K460"/>
  <c r="K459"/>
  <c r="K458"/>
  <c r="K457"/>
  <c r="K456"/>
  <c r="K455"/>
  <c r="K454"/>
  <c r="K453"/>
  <c r="K452"/>
  <c r="K451"/>
  <c r="K450"/>
  <c r="K449"/>
  <c r="K448"/>
  <c r="K447"/>
  <c r="K446"/>
  <c r="K445"/>
  <c r="K444"/>
  <c r="K443"/>
  <c r="K442"/>
  <c r="K440"/>
  <c r="K439"/>
  <c r="K438"/>
  <c r="K437"/>
  <c r="K436"/>
  <c r="K435"/>
  <c r="K434"/>
  <c r="K433"/>
  <c r="K432"/>
  <c r="K431"/>
  <c r="K430"/>
  <c r="K429"/>
  <c r="K428"/>
  <c r="K427"/>
  <c r="K426"/>
  <c r="K425"/>
  <c r="K424"/>
  <c r="K423"/>
  <c r="K422"/>
  <c r="K421"/>
  <c r="K420"/>
  <c r="K419"/>
  <c r="K418"/>
  <c r="K417"/>
  <c r="K416"/>
  <c r="K415"/>
  <c r="K414"/>
  <c r="K413"/>
  <c r="K412"/>
  <c r="K411"/>
  <c r="K410"/>
  <c r="K409"/>
  <c r="K408"/>
  <c r="K407"/>
  <c r="K406"/>
  <c r="K405"/>
  <c r="K404"/>
  <c r="K403"/>
  <c r="K402"/>
  <c r="K401"/>
  <c r="K400"/>
  <c r="K399"/>
  <c r="K398"/>
  <c r="K397"/>
  <c r="K396"/>
  <c r="K395"/>
  <c r="K394"/>
  <c r="K393"/>
  <c r="K392"/>
  <c r="K391"/>
  <c r="K390"/>
  <c r="K389"/>
  <c r="K388"/>
  <c r="K387"/>
  <c r="K386"/>
  <c r="K385"/>
  <c r="K384"/>
  <c r="K383"/>
  <c r="K382"/>
  <c r="K381"/>
  <c r="K380"/>
  <c r="K379"/>
  <c r="K378"/>
  <c r="K377"/>
  <c r="K376"/>
  <c r="K375"/>
  <c r="K374"/>
  <c r="K373"/>
  <c r="K372"/>
  <c r="K371"/>
  <c r="K370"/>
  <c r="K368"/>
  <c r="K367"/>
  <c r="K366"/>
  <c r="K365"/>
  <c r="K364"/>
  <c r="K363"/>
  <c r="K362"/>
  <c r="K361"/>
  <c r="K360"/>
  <c r="K359"/>
  <c r="K358"/>
  <c r="K357"/>
  <c r="K356"/>
  <c r="K355"/>
  <c r="K354"/>
  <c r="K353"/>
  <c r="K352"/>
  <c r="K351"/>
  <c r="K350"/>
  <c r="K349"/>
  <c r="K348"/>
  <c r="K347"/>
  <c r="K346"/>
  <c r="K345"/>
  <c r="K344"/>
  <c r="K343"/>
  <c r="K342"/>
  <c r="K341"/>
  <c r="K340"/>
  <c r="K339"/>
  <c r="K338"/>
  <c r="K337"/>
  <c r="K336"/>
  <c r="K335"/>
  <c r="K334"/>
  <c r="K333"/>
  <c r="K332"/>
  <c r="K331"/>
  <c r="K330"/>
  <c r="K329"/>
  <c r="K328"/>
  <c r="K327"/>
  <c r="K326"/>
  <c r="K325"/>
  <c r="K324"/>
  <c r="K323"/>
  <c r="K322"/>
  <c r="K321"/>
  <c r="K320"/>
  <c r="K319"/>
  <c r="K318"/>
  <c r="K317"/>
  <c r="K316"/>
  <c r="K315"/>
  <c r="K314"/>
  <c r="K313"/>
  <c r="K312"/>
  <c r="K311"/>
  <c r="K310"/>
  <c r="K309"/>
  <c r="K308"/>
  <c r="K307"/>
  <c r="K306"/>
  <c r="K305"/>
  <c r="K304"/>
  <c r="K303"/>
  <c r="K302"/>
  <c r="K301"/>
  <c r="K300"/>
  <c r="K299"/>
  <c r="K298"/>
  <c r="K296"/>
  <c r="K295"/>
  <c r="K294"/>
  <c r="K293"/>
  <c r="K292"/>
  <c r="K291"/>
  <c r="K290"/>
  <c r="K289"/>
  <c r="K288"/>
  <c r="K287"/>
  <c r="K286"/>
  <c r="K285"/>
  <c r="K284"/>
  <c r="K283"/>
  <c r="K282"/>
  <c r="K281"/>
  <c r="K280"/>
  <c r="K279"/>
  <c r="K278"/>
  <c r="K277"/>
  <c r="K276"/>
  <c r="K275"/>
  <c r="K274"/>
  <c r="K273"/>
  <c r="K272"/>
  <c r="K271"/>
  <c r="K270"/>
  <c r="K269"/>
  <c r="K268"/>
  <c r="K267"/>
  <c r="K266"/>
  <c r="K265"/>
  <c r="K264"/>
  <c r="K263"/>
  <c r="K262"/>
  <c r="K261"/>
  <c r="K260"/>
  <c r="K259"/>
  <c r="K258"/>
  <c r="K257"/>
  <c r="K256"/>
  <c r="K255"/>
  <c r="K254"/>
  <c r="K253"/>
  <c r="K252"/>
  <c r="K251"/>
  <c r="K250"/>
  <c r="K249"/>
  <c r="K248"/>
  <c r="K247"/>
  <c r="K246"/>
  <c r="K245"/>
  <c r="K244"/>
  <c r="K243"/>
  <c r="K242"/>
  <c r="K241"/>
  <c r="K240"/>
  <c r="K239"/>
  <c r="K238"/>
  <c r="K237"/>
  <c r="K236"/>
  <c r="K235"/>
  <c r="K234"/>
  <c r="K233"/>
  <c r="K232"/>
  <c r="K231"/>
  <c r="K230"/>
  <c r="K229"/>
  <c r="K228"/>
  <c r="K227"/>
  <c r="K226"/>
  <c r="K224"/>
  <c r="K223"/>
  <c r="K222"/>
  <c r="K221"/>
  <c r="K220"/>
  <c r="K219"/>
  <c r="K218"/>
  <c r="K217"/>
  <c r="K216"/>
  <c r="K215"/>
  <c r="K214"/>
  <c r="K213"/>
  <c r="K212"/>
  <c r="K211"/>
  <c r="K210"/>
  <c r="K209"/>
  <c r="K208"/>
  <c r="K207"/>
  <c r="K206"/>
  <c r="K205"/>
  <c r="K204"/>
  <c r="K203"/>
  <c r="K202"/>
  <c r="K201"/>
  <c r="K200"/>
  <c r="K199"/>
  <c r="K198"/>
  <c r="K197"/>
  <c r="K196"/>
  <c r="K195"/>
  <c r="K194"/>
  <c r="K193"/>
  <c r="K192"/>
  <c r="K191"/>
  <c r="K190"/>
  <c r="K189"/>
  <c r="K188"/>
  <c r="K187"/>
  <c r="K186"/>
  <c r="K185"/>
  <c r="K184"/>
  <c r="K183"/>
  <c r="K182"/>
  <c r="K181"/>
  <c r="K180"/>
  <c r="K179"/>
  <c r="K178"/>
  <c r="K177"/>
  <c r="K176"/>
  <c r="K175"/>
  <c r="K174"/>
  <c r="K173"/>
  <c r="K172"/>
  <c r="K171"/>
  <c r="K170"/>
  <c r="K169"/>
  <c r="K168"/>
  <c r="K167"/>
  <c r="K166"/>
  <c r="K165"/>
  <c r="K164"/>
  <c r="K163"/>
  <c r="K162"/>
  <c r="K161"/>
  <c r="K160"/>
  <c r="K159"/>
  <c r="K158"/>
  <c r="K157"/>
  <c r="K156"/>
  <c r="K155"/>
  <c r="K154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82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11"/>
  <c r="J512"/>
  <c r="J511"/>
  <c r="J510"/>
  <c r="J509"/>
  <c r="J508"/>
  <c r="J507"/>
  <c r="J506"/>
  <c r="J505"/>
  <c r="J504"/>
  <c r="J503"/>
  <c r="J502"/>
  <c r="J501"/>
  <c r="J500"/>
  <c r="J499"/>
  <c r="J498"/>
  <c r="J497"/>
  <c r="J496"/>
  <c r="J495"/>
  <c r="J494"/>
  <c r="J493"/>
  <c r="J492"/>
  <c r="J491"/>
  <c r="J490"/>
  <c r="J489"/>
  <c r="J488"/>
  <c r="J487"/>
  <c r="J486"/>
  <c r="J485"/>
  <c r="J484"/>
  <c r="J483"/>
  <c r="J482"/>
  <c r="J481"/>
  <c r="J480"/>
  <c r="J479"/>
  <c r="J478"/>
  <c r="J477"/>
  <c r="J476"/>
  <c r="J475"/>
  <c r="J474"/>
  <c r="J473"/>
  <c r="J472"/>
  <c r="J471"/>
  <c r="J470"/>
  <c r="J469"/>
  <c r="J468"/>
  <c r="J467"/>
  <c r="J466"/>
  <c r="J465"/>
  <c r="J464"/>
  <c r="J463"/>
  <c r="J462"/>
  <c r="J461"/>
  <c r="J460"/>
  <c r="J459"/>
  <c r="J458"/>
  <c r="J457"/>
  <c r="J456"/>
  <c r="J455"/>
  <c r="J454"/>
  <c r="J453"/>
  <c r="J452"/>
  <c r="J451"/>
  <c r="J450"/>
  <c r="J449"/>
  <c r="J448"/>
  <c r="J447"/>
  <c r="J446"/>
  <c r="J445"/>
  <c r="J444"/>
  <c r="J443"/>
  <c r="J442"/>
  <c r="J440"/>
  <c r="J439"/>
  <c r="J438"/>
  <c r="J437"/>
  <c r="J436"/>
  <c r="J435"/>
  <c r="J434"/>
  <c r="J433"/>
  <c r="J432"/>
  <c r="J431"/>
  <c r="J430"/>
  <c r="J429"/>
  <c r="J428"/>
  <c r="J427"/>
  <c r="J426"/>
  <c r="J425"/>
  <c r="J424"/>
  <c r="J423"/>
  <c r="J422"/>
  <c r="J421"/>
  <c r="J420"/>
  <c r="J419"/>
  <c r="J418"/>
  <c r="J417"/>
  <c r="J416"/>
  <c r="J415"/>
  <c r="J414"/>
  <c r="J413"/>
  <c r="J412"/>
  <c r="J411"/>
  <c r="J410"/>
  <c r="J409"/>
  <c r="J408"/>
  <c r="J407"/>
  <c r="J406"/>
  <c r="J405"/>
  <c r="J404"/>
  <c r="J403"/>
  <c r="J402"/>
  <c r="J401"/>
  <c r="J400"/>
  <c r="J399"/>
  <c r="J398"/>
  <c r="J397"/>
  <c r="J396"/>
  <c r="J395"/>
  <c r="J394"/>
  <c r="J393"/>
  <c r="J392"/>
  <c r="J391"/>
  <c r="J390"/>
  <c r="J389"/>
  <c r="J388"/>
  <c r="J387"/>
  <c r="J386"/>
  <c r="J385"/>
  <c r="J384"/>
  <c r="J383"/>
  <c r="J382"/>
  <c r="J381"/>
  <c r="J380"/>
  <c r="J379"/>
  <c r="J378"/>
  <c r="J377"/>
  <c r="J376"/>
  <c r="J375"/>
  <c r="J374"/>
  <c r="J373"/>
  <c r="J372"/>
  <c r="J371"/>
  <c r="J370"/>
  <c r="J368"/>
  <c r="J367"/>
  <c r="J366"/>
  <c r="J365"/>
  <c r="J364"/>
  <c r="J363"/>
  <c r="J362"/>
  <c r="J361"/>
  <c r="J360"/>
  <c r="J359"/>
  <c r="J358"/>
  <c r="J357"/>
  <c r="J356"/>
  <c r="J355"/>
  <c r="J354"/>
  <c r="J353"/>
  <c r="J352"/>
  <c r="J351"/>
  <c r="J350"/>
  <c r="J349"/>
  <c r="J348"/>
  <c r="J347"/>
  <c r="J346"/>
  <c r="J345"/>
  <c r="J344"/>
  <c r="J343"/>
  <c r="J342"/>
  <c r="J341"/>
  <c r="J340"/>
  <c r="J339"/>
  <c r="J338"/>
  <c r="J337"/>
  <c r="J336"/>
  <c r="J335"/>
  <c r="J334"/>
  <c r="J333"/>
  <c r="J332"/>
  <c r="J331"/>
  <c r="J330"/>
  <c r="J329"/>
  <c r="J328"/>
  <c r="J327"/>
  <c r="J326"/>
  <c r="J325"/>
  <c r="J324"/>
  <c r="J323"/>
  <c r="J322"/>
  <c r="J321"/>
  <c r="J320"/>
  <c r="J319"/>
  <c r="J318"/>
  <c r="J317"/>
  <c r="J316"/>
  <c r="J315"/>
  <c r="J314"/>
  <c r="J313"/>
  <c r="J312"/>
  <c r="J311"/>
  <c r="J310"/>
  <c r="J309"/>
  <c r="J308"/>
  <c r="J307"/>
  <c r="J306"/>
  <c r="J305"/>
  <c r="J304"/>
  <c r="J303"/>
  <c r="J302"/>
  <c r="J301"/>
  <c r="J300"/>
  <c r="J299"/>
  <c r="J298"/>
  <c r="J296"/>
  <c r="J295"/>
  <c r="J294"/>
  <c r="J293"/>
  <c r="J292"/>
  <c r="J291"/>
  <c r="J290"/>
  <c r="J289"/>
  <c r="J288"/>
  <c r="J287"/>
  <c r="J286"/>
  <c r="J285"/>
  <c r="J284"/>
  <c r="J283"/>
  <c r="J282"/>
  <c r="J281"/>
  <c r="J280"/>
  <c r="J279"/>
  <c r="J278"/>
  <c r="J277"/>
  <c r="J276"/>
  <c r="J275"/>
  <c r="J274"/>
  <c r="J273"/>
  <c r="J272"/>
  <c r="J271"/>
  <c r="J270"/>
  <c r="J269"/>
  <c r="J268"/>
  <c r="J267"/>
  <c r="J266"/>
  <c r="J265"/>
  <c r="J264"/>
  <c r="J263"/>
  <c r="J262"/>
  <c r="J261"/>
  <c r="J260"/>
  <c r="J259"/>
  <c r="J258"/>
  <c r="J257"/>
  <c r="J256"/>
  <c r="J255"/>
  <c r="J254"/>
  <c r="J253"/>
  <c r="J252"/>
  <c r="J251"/>
  <c r="J250"/>
  <c r="J249"/>
  <c r="J248"/>
  <c r="J247"/>
  <c r="J246"/>
  <c r="J245"/>
  <c r="J244"/>
  <c r="J243"/>
  <c r="J242"/>
  <c r="J241"/>
  <c r="J240"/>
  <c r="J239"/>
  <c r="J238"/>
  <c r="J237"/>
  <c r="J236"/>
  <c r="J235"/>
  <c r="J234"/>
  <c r="J233"/>
  <c r="J232"/>
  <c r="J231"/>
  <c r="J230"/>
  <c r="J229"/>
  <c r="J228"/>
  <c r="J227"/>
  <c r="J226"/>
  <c r="J224"/>
  <c r="J223"/>
  <c r="J222"/>
  <c r="J221"/>
  <c r="J220"/>
  <c r="J219"/>
  <c r="J218"/>
  <c r="J217"/>
  <c r="J216"/>
  <c r="J215"/>
  <c r="J214"/>
  <c r="J213"/>
  <c r="J212"/>
  <c r="J211"/>
  <c r="J210"/>
  <c r="J209"/>
  <c r="J208"/>
  <c r="J207"/>
  <c r="J206"/>
  <c r="J205"/>
  <c r="J204"/>
  <c r="J203"/>
  <c r="J202"/>
  <c r="J201"/>
  <c r="J200"/>
  <c r="J199"/>
  <c r="J198"/>
  <c r="J197"/>
  <c r="J196"/>
  <c r="J195"/>
  <c r="J194"/>
  <c r="J193"/>
  <c r="J192"/>
  <c r="J191"/>
  <c r="J190"/>
  <c r="J189"/>
  <c r="J188"/>
  <c r="J187"/>
  <c r="J186"/>
  <c r="J185"/>
  <c r="J184"/>
  <c r="J183"/>
  <c r="J182"/>
  <c r="J181"/>
  <c r="J180"/>
  <c r="J179"/>
  <c r="J178"/>
  <c r="J177"/>
  <c r="J176"/>
  <c r="J175"/>
  <c r="J174"/>
  <c r="J173"/>
  <c r="J172"/>
  <c r="J171"/>
  <c r="J170"/>
  <c r="J169"/>
  <c r="J168"/>
  <c r="J167"/>
  <c r="J166"/>
  <c r="J165"/>
  <c r="J164"/>
  <c r="J163"/>
  <c r="J162"/>
  <c r="J161"/>
  <c r="J160"/>
  <c r="J159"/>
  <c r="J158"/>
  <c r="J157"/>
  <c r="J156"/>
  <c r="J155"/>
  <c r="J154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82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11"/>
  <c r="H512"/>
  <c r="H511"/>
  <c r="H510"/>
  <c r="H509"/>
  <c r="H508"/>
  <c r="H507"/>
  <c r="H506"/>
  <c r="H505"/>
  <c r="H504"/>
  <c r="H503"/>
  <c r="H502"/>
  <c r="H501"/>
  <c r="H500"/>
  <c r="H499"/>
  <c r="H498"/>
  <c r="H497"/>
  <c r="H496"/>
  <c r="H495"/>
  <c r="H494"/>
  <c r="H493"/>
  <c r="H492"/>
  <c r="H491"/>
  <c r="H490"/>
  <c r="H489"/>
  <c r="H488"/>
  <c r="H487"/>
  <c r="H486"/>
  <c r="H485"/>
  <c r="H484"/>
  <c r="H483"/>
  <c r="H482"/>
  <c r="H481"/>
  <c r="H480"/>
  <c r="H479"/>
  <c r="H478"/>
  <c r="H477"/>
  <c r="H476"/>
  <c r="H475"/>
  <c r="H474"/>
  <c r="H473"/>
  <c r="H472"/>
  <c r="H471"/>
  <c r="H470"/>
  <c r="H469"/>
  <c r="H468"/>
  <c r="H467"/>
  <c r="H466"/>
  <c r="H465"/>
  <c r="H464"/>
  <c r="H463"/>
  <c r="H462"/>
  <c r="H461"/>
  <c r="H460"/>
  <c r="H459"/>
  <c r="H458"/>
  <c r="H457"/>
  <c r="H456"/>
  <c r="H455"/>
  <c r="H454"/>
  <c r="H453"/>
  <c r="H452"/>
  <c r="H451"/>
  <c r="H450"/>
  <c r="H449"/>
  <c r="H448"/>
  <c r="H447"/>
  <c r="H446"/>
  <c r="H445"/>
  <c r="H444"/>
  <c r="H443"/>
  <c r="H442"/>
  <c r="H440"/>
  <c r="H439"/>
  <c r="H438"/>
  <c r="H437"/>
  <c r="H436"/>
  <c r="H435"/>
  <c r="H434"/>
  <c r="H433"/>
  <c r="H432"/>
  <c r="H431"/>
  <c r="H430"/>
  <c r="H429"/>
  <c r="H428"/>
  <c r="H427"/>
  <c r="H426"/>
  <c r="H425"/>
  <c r="H424"/>
  <c r="H423"/>
  <c r="H422"/>
  <c r="H421"/>
  <c r="H420"/>
  <c r="H419"/>
  <c r="H418"/>
  <c r="H417"/>
  <c r="H416"/>
  <c r="H415"/>
  <c r="H414"/>
  <c r="H413"/>
  <c r="H412"/>
  <c r="H411"/>
  <c r="H410"/>
  <c r="H409"/>
  <c r="H408"/>
  <c r="H407"/>
  <c r="H406"/>
  <c r="H405"/>
  <c r="H404"/>
  <c r="H403"/>
  <c r="H402"/>
  <c r="H401"/>
  <c r="H400"/>
  <c r="H399"/>
  <c r="H398"/>
  <c r="H397"/>
  <c r="H396"/>
  <c r="H395"/>
  <c r="H394"/>
  <c r="H393"/>
  <c r="H392"/>
  <c r="H391"/>
  <c r="H390"/>
  <c r="H389"/>
  <c r="H388"/>
  <c r="H387"/>
  <c r="H386"/>
  <c r="H385"/>
  <c r="H384"/>
  <c r="H383"/>
  <c r="H382"/>
  <c r="H381"/>
  <c r="H380"/>
  <c r="H379"/>
  <c r="H378"/>
  <c r="H377"/>
  <c r="H376"/>
  <c r="H375"/>
  <c r="H374"/>
  <c r="H373"/>
  <c r="H372"/>
  <c r="H371"/>
  <c r="H370"/>
  <c r="H368"/>
  <c r="H367"/>
  <c r="H366"/>
  <c r="H365"/>
  <c r="H364"/>
  <c r="H363"/>
  <c r="H362"/>
  <c r="H361"/>
  <c r="H360"/>
  <c r="H359"/>
  <c r="H358"/>
  <c r="H357"/>
  <c r="H356"/>
  <c r="H355"/>
  <c r="H354"/>
  <c r="H353"/>
  <c r="H352"/>
  <c r="H351"/>
  <c r="H350"/>
  <c r="H349"/>
  <c r="H348"/>
  <c r="H347"/>
  <c r="H346"/>
  <c r="H345"/>
  <c r="H344"/>
  <c r="H343"/>
  <c r="H342"/>
  <c r="H341"/>
  <c r="H340"/>
  <c r="H339"/>
  <c r="H338"/>
  <c r="H337"/>
  <c r="H336"/>
  <c r="H335"/>
  <c r="H334"/>
  <c r="H333"/>
  <c r="H332"/>
  <c r="H331"/>
  <c r="H330"/>
  <c r="H329"/>
  <c r="H328"/>
  <c r="H327"/>
  <c r="H326"/>
  <c r="H325"/>
  <c r="H324"/>
  <c r="H323"/>
  <c r="H322"/>
  <c r="H321"/>
  <c r="H320"/>
  <c r="H319"/>
  <c r="H318"/>
  <c r="H317"/>
  <c r="H316"/>
  <c r="H315"/>
  <c r="H314"/>
  <c r="H313"/>
  <c r="H312"/>
  <c r="H311"/>
  <c r="H310"/>
  <c r="H309"/>
  <c r="H308"/>
  <c r="H307"/>
  <c r="H306"/>
  <c r="H305"/>
  <c r="H304"/>
  <c r="H303"/>
  <c r="H302"/>
  <c r="H301"/>
  <c r="H300"/>
  <c r="H299"/>
  <c r="H298"/>
  <c r="H296"/>
  <c r="H295"/>
  <c r="H294"/>
  <c r="H293"/>
  <c r="H292"/>
  <c r="H291"/>
  <c r="H290"/>
  <c r="H289"/>
  <c r="H288"/>
  <c r="H287"/>
  <c r="H286"/>
  <c r="H285"/>
  <c r="H284"/>
  <c r="H283"/>
  <c r="H282"/>
  <c r="H281"/>
  <c r="H280"/>
  <c r="H279"/>
  <c r="H278"/>
  <c r="H277"/>
  <c r="H276"/>
  <c r="H275"/>
  <c r="H274"/>
  <c r="H273"/>
  <c r="H272"/>
  <c r="H271"/>
  <c r="H270"/>
  <c r="H269"/>
  <c r="H268"/>
  <c r="H267"/>
  <c r="H266"/>
  <c r="H265"/>
  <c r="H264"/>
  <c r="H263"/>
  <c r="H262"/>
  <c r="H261"/>
  <c r="H260"/>
  <c r="H259"/>
  <c r="H258"/>
  <c r="H257"/>
  <c r="H256"/>
  <c r="H255"/>
  <c r="H254"/>
  <c r="H253"/>
  <c r="H252"/>
  <c r="H251"/>
  <c r="H250"/>
  <c r="H249"/>
  <c r="H248"/>
  <c r="H247"/>
  <c r="H246"/>
  <c r="H245"/>
  <c r="H244"/>
  <c r="H243"/>
  <c r="H242"/>
  <c r="H241"/>
  <c r="H240"/>
  <c r="H239"/>
  <c r="H238"/>
  <c r="H237"/>
  <c r="H236"/>
  <c r="H235"/>
  <c r="H234"/>
  <c r="H233"/>
  <c r="H232"/>
  <c r="H231"/>
  <c r="H230"/>
  <c r="H229"/>
  <c r="H228"/>
  <c r="H227"/>
  <c r="H226"/>
  <c r="H224"/>
  <c r="H223"/>
  <c r="H222"/>
  <c r="H221"/>
  <c r="H220"/>
  <c r="H219"/>
  <c r="H218"/>
  <c r="H217"/>
  <c r="H216"/>
  <c r="H215"/>
  <c r="H214"/>
  <c r="H213"/>
  <c r="H212"/>
  <c r="H211"/>
  <c r="H210"/>
  <c r="H209"/>
  <c r="H208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H185"/>
  <c r="H184"/>
  <c r="H183"/>
  <c r="H182"/>
  <c r="H181"/>
  <c r="H180"/>
  <c r="H179"/>
  <c r="H178"/>
  <c r="H177"/>
  <c r="H176"/>
  <c r="H175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82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11"/>
  <c r="G512"/>
  <c r="G511"/>
  <c r="G510"/>
  <c r="G509"/>
  <c r="G508"/>
  <c r="G507"/>
  <c r="G506"/>
  <c r="G505"/>
  <c r="G504"/>
  <c r="G503"/>
  <c r="G502"/>
  <c r="G501"/>
  <c r="G500"/>
  <c r="G499"/>
  <c r="G498"/>
  <c r="G497"/>
  <c r="G496"/>
  <c r="G495"/>
  <c r="G494"/>
  <c r="G493"/>
  <c r="G492"/>
  <c r="G491"/>
  <c r="G490"/>
  <c r="G489"/>
  <c r="G488"/>
  <c r="G487"/>
  <c r="G486"/>
  <c r="G485"/>
  <c r="G484"/>
  <c r="G483"/>
  <c r="G482"/>
  <c r="G481"/>
  <c r="G480"/>
  <c r="G479"/>
  <c r="G478"/>
  <c r="G477"/>
  <c r="G476"/>
  <c r="G475"/>
  <c r="G474"/>
  <c r="G473"/>
  <c r="G472"/>
  <c r="G471"/>
  <c r="G470"/>
  <c r="G469"/>
  <c r="G468"/>
  <c r="G467"/>
  <c r="G466"/>
  <c r="G465"/>
  <c r="G464"/>
  <c r="G463"/>
  <c r="G462"/>
  <c r="G461"/>
  <c r="G460"/>
  <c r="G459"/>
  <c r="G458"/>
  <c r="G457"/>
  <c r="G456"/>
  <c r="G455"/>
  <c r="G454"/>
  <c r="G453"/>
  <c r="G452"/>
  <c r="G451"/>
  <c r="G450"/>
  <c r="G449"/>
  <c r="G448"/>
  <c r="G447"/>
  <c r="G446"/>
  <c r="G445"/>
  <c r="G444"/>
  <c r="G443"/>
  <c r="G442"/>
  <c r="G440"/>
  <c r="G439"/>
  <c r="G438"/>
  <c r="G437"/>
  <c r="G436"/>
  <c r="G435"/>
  <c r="G434"/>
  <c r="G433"/>
  <c r="G432"/>
  <c r="G431"/>
  <c r="G430"/>
  <c r="G429"/>
  <c r="G428"/>
  <c r="G427"/>
  <c r="G426"/>
  <c r="G425"/>
  <c r="G424"/>
  <c r="G423"/>
  <c r="G422"/>
  <c r="G421"/>
  <c r="G420"/>
  <c r="G419"/>
  <c r="G418"/>
  <c r="G417"/>
  <c r="G416"/>
  <c r="G415"/>
  <c r="G414"/>
  <c r="G413"/>
  <c r="G412"/>
  <c r="G411"/>
  <c r="G410"/>
  <c r="G409"/>
  <c r="G408"/>
  <c r="G407"/>
  <c r="G406"/>
  <c r="G405"/>
  <c r="G404"/>
  <c r="G403"/>
  <c r="G402"/>
  <c r="G401"/>
  <c r="G400"/>
  <c r="G399"/>
  <c r="G398"/>
  <c r="G397"/>
  <c r="G396"/>
  <c r="G395"/>
  <c r="G394"/>
  <c r="G393"/>
  <c r="G392"/>
  <c r="G391"/>
  <c r="G390"/>
  <c r="G389"/>
  <c r="G388"/>
  <c r="G387"/>
  <c r="G386"/>
  <c r="G385"/>
  <c r="G384"/>
  <c r="G383"/>
  <c r="G382"/>
  <c r="G381"/>
  <c r="G380"/>
  <c r="G379"/>
  <c r="G378"/>
  <c r="G377"/>
  <c r="G376"/>
  <c r="G375"/>
  <c r="G374"/>
  <c r="G373"/>
  <c r="G372"/>
  <c r="G371"/>
  <c r="G370"/>
  <c r="G368"/>
  <c r="G367"/>
  <c r="G366"/>
  <c r="G365"/>
  <c r="G364"/>
  <c r="G363"/>
  <c r="G362"/>
  <c r="G361"/>
  <c r="G360"/>
  <c r="G359"/>
  <c r="G358"/>
  <c r="G357"/>
  <c r="G356"/>
  <c r="G355"/>
  <c r="G354"/>
  <c r="G353"/>
  <c r="G352"/>
  <c r="G351"/>
  <c r="G350"/>
  <c r="G349"/>
  <c r="G348"/>
  <c r="G347"/>
  <c r="G346"/>
  <c r="G345"/>
  <c r="G344"/>
  <c r="G343"/>
  <c r="G342"/>
  <c r="G341"/>
  <c r="G340"/>
  <c r="G339"/>
  <c r="G338"/>
  <c r="G337"/>
  <c r="G336"/>
  <c r="G335"/>
  <c r="G334"/>
  <c r="G333"/>
  <c r="G332"/>
  <c r="G331"/>
  <c r="G330"/>
  <c r="G329"/>
  <c r="G328"/>
  <c r="G327"/>
  <c r="G326"/>
  <c r="G325"/>
  <c r="G324"/>
  <c r="G323"/>
  <c r="G322"/>
  <c r="G321"/>
  <c r="G320"/>
  <c r="G319"/>
  <c r="G318"/>
  <c r="G317"/>
  <c r="G316"/>
  <c r="G315"/>
  <c r="G314"/>
  <c r="G313"/>
  <c r="G312"/>
  <c r="G311"/>
  <c r="G310"/>
  <c r="G309"/>
  <c r="G308"/>
  <c r="G307"/>
  <c r="G306"/>
  <c r="G305"/>
  <c r="G304"/>
  <c r="G303"/>
  <c r="G302"/>
  <c r="G301"/>
  <c r="G300"/>
  <c r="G299"/>
  <c r="G298"/>
  <c r="G296"/>
  <c r="G295"/>
  <c r="G294"/>
  <c r="G293"/>
  <c r="G292"/>
  <c r="G291"/>
  <c r="G290"/>
  <c r="G289"/>
  <c r="G288"/>
  <c r="G287"/>
  <c r="G286"/>
  <c r="G285"/>
  <c r="G284"/>
  <c r="G283"/>
  <c r="G282"/>
  <c r="G281"/>
  <c r="G280"/>
  <c r="G279"/>
  <c r="G278"/>
  <c r="G277"/>
  <c r="G276"/>
  <c r="G275"/>
  <c r="G274"/>
  <c r="G273"/>
  <c r="G272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8"/>
  <c r="G157"/>
  <c r="G156"/>
  <c r="G155"/>
  <c r="G154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82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11"/>
  <c r="AS10" l="1"/>
  <c r="D10" i="2"/>
  <c r="D9"/>
  <c r="D8"/>
  <c r="D7"/>
  <c r="D6"/>
  <c r="D5"/>
  <c r="D4"/>
  <c r="B81" i="1" l="1"/>
  <c r="B153"/>
  <c r="B225"/>
  <c r="B297"/>
  <c r="B369"/>
  <c r="B441"/>
  <c r="AV512"/>
  <c r="AU512"/>
  <c r="AT512"/>
  <c r="AS512"/>
  <c r="AP512"/>
  <c r="AO512"/>
  <c r="AN512"/>
  <c r="AR512" s="1"/>
  <c r="AW512" s="1"/>
  <c r="AV511"/>
  <c r="AU511"/>
  <c r="AT511"/>
  <c r="AS511"/>
  <c r="AP511"/>
  <c r="AO511"/>
  <c r="AN511"/>
  <c r="AR511" s="1"/>
  <c r="AV510"/>
  <c r="AU510"/>
  <c r="AT510"/>
  <c r="AS510"/>
  <c r="AP510"/>
  <c r="AO510"/>
  <c r="AN510"/>
  <c r="AR510" s="1"/>
  <c r="AV509"/>
  <c r="AU509"/>
  <c r="AT509"/>
  <c r="AS509"/>
  <c r="AP509"/>
  <c r="AO509"/>
  <c r="AN509"/>
  <c r="AR509" s="1"/>
  <c r="AV508"/>
  <c r="AU508"/>
  <c r="AT508"/>
  <c r="AS508"/>
  <c r="AP508"/>
  <c r="AO508"/>
  <c r="AN508"/>
  <c r="AR508" s="1"/>
  <c r="AV507"/>
  <c r="AU507"/>
  <c r="AT507"/>
  <c r="AS507"/>
  <c r="AP507"/>
  <c r="AO507"/>
  <c r="AN507"/>
  <c r="AR507" s="1"/>
  <c r="AV506"/>
  <c r="AU506"/>
  <c r="AT506"/>
  <c r="AS506"/>
  <c r="AP506"/>
  <c r="AO506"/>
  <c r="AN506"/>
  <c r="AR506" s="1"/>
  <c r="AV505"/>
  <c r="AU505"/>
  <c r="AT505"/>
  <c r="AS505"/>
  <c r="AP505"/>
  <c r="AO505"/>
  <c r="AN505"/>
  <c r="AR505" s="1"/>
  <c r="AV504"/>
  <c r="AU504"/>
  <c r="AT504"/>
  <c r="AS504"/>
  <c r="AP504"/>
  <c r="AO504"/>
  <c r="AN504"/>
  <c r="AR504" s="1"/>
  <c r="AV503"/>
  <c r="AU503"/>
  <c r="AT503"/>
  <c r="AS503"/>
  <c r="AP503"/>
  <c r="AO503"/>
  <c r="AN503"/>
  <c r="AR503" s="1"/>
  <c r="AV502"/>
  <c r="AU502"/>
  <c r="AT502"/>
  <c r="AS502"/>
  <c r="AP502"/>
  <c r="AO502"/>
  <c r="AN502"/>
  <c r="AR502" s="1"/>
  <c r="AV501"/>
  <c r="AU501"/>
  <c r="AT501"/>
  <c r="AS501"/>
  <c r="AP501"/>
  <c r="AO501"/>
  <c r="AN501"/>
  <c r="AR501" s="1"/>
  <c r="AV500"/>
  <c r="AU500"/>
  <c r="AT500"/>
  <c r="AS500"/>
  <c r="AP500"/>
  <c r="AO500"/>
  <c r="AN500"/>
  <c r="AR500" s="1"/>
  <c r="AV499"/>
  <c r="AU499"/>
  <c r="AT499"/>
  <c r="AS499"/>
  <c r="AP499"/>
  <c r="AO499"/>
  <c r="AN499"/>
  <c r="AR499" s="1"/>
  <c r="AV498"/>
  <c r="AU498"/>
  <c r="AT498"/>
  <c r="AS498"/>
  <c r="AP498"/>
  <c r="AO498"/>
  <c r="AN498"/>
  <c r="AR498" s="1"/>
  <c r="AV497"/>
  <c r="AU497"/>
  <c r="AT497"/>
  <c r="AS497"/>
  <c r="AP497"/>
  <c r="AO497"/>
  <c r="AN497"/>
  <c r="AR497" s="1"/>
  <c r="AV496"/>
  <c r="AU496"/>
  <c r="AT496"/>
  <c r="AS496"/>
  <c r="AP496"/>
  <c r="AO496"/>
  <c r="AN496"/>
  <c r="AR496" s="1"/>
  <c r="AV495"/>
  <c r="AU495"/>
  <c r="AT495"/>
  <c r="AS495"/>
  <c r="AP495"/>
  <c r="AO495"/>
  <c r="AN495"/>
  <c r="AR495" s="1"/>
  <c r="AV494"/>
  <c r="AU494"/>
  <c r="AT494"/>
  <c r="AS494"/>
  <c r="AP494"/>
  <c r="AO494"/>
  <c r="AN494"/>
  <c r="AR494" s="1"/>
  <c r="AV493"/>
  <c r="AU493"/>
  <c r="AT493"/>
  <c r="AS493"/>
  <c r="AP493"/>
  <c r="AO493"/>
  <c r="AN493"/>
  <c r="AR493" s="1"/>
  <c r="AV492"/>
  <c r="AU492"/>
  <c r="AT492"/>
  <c r="AS492"/>
  <c r="AP492"/>
  <c r="AO492"/>
  <c r="AN492"/>
  <c r="AR492" s="1"/>
  <c r="AV491"/>
  <c r="AU491"/>
  <c r="AT491"/>
  <c r="AS491"/>
  <c r="AP491"/>
  <c r="AO491"/>
  <c r="AN491"/>
  <c r="AR491" s="1"/>
  <c r="AV490"/>
  <c r="AU490"/>
  <c r="AT490"/>
  <c r="AS490"/>
  <c r="AP490"/>
  <c r="AO490"/>
  <c r="AN490"/>
  <c r="AR490" s="1"/>
  <c r="AV489"/>
  <c r="AU489"/>
  <c r="AT489"/>
  <c r="AS489"/>
  <c r="AP489"/>
  <c r="AO489"/>
  <c r="AN489"/>
  <c r="AR489" s="1"/>
  <c r="AV488"/>
  <c r="AU488"/>
  <c r="AT488"/>
  <c r="AS488"/>
  <c r="AP488"/>
  <c r="AO488"/>
  <c r="AN488"/>
  <c r="AR488" s="1"/>
  <c r="AV487"/>
  <c r="AU487"/>
  <c r="AT487"/>
  <c r="AS487"/>
  <c r="AP487"/>
  <c r="AO487"/>
  <c r="AN487"/>
  <c r="AR487" s="1"/>
  <c r="AV486"/>
  <c r="AU486"/>
  <c r="AT486"/>
  <c r="AS486"/>
  <c r="AP486"/>
  <c r="AO486"/>
  <c r="AN486"/>
  <c r="AR486" s="1"/>
  <c r="AV485"/>
  <c r="AU485"/>
  <c r="AT485"/>
  <c r="AS485"/>
  <c r="AP485"/>
  <c r="AO485"/>
  <c r="AN485"/>
  <c r="AR485" s="1"/>
  <c r="AV484"/>
  <c r="AU484"/>
  <c r="AT484"/>
  <c r="AS484"/>
  <c r="AP484"/>
  <c r="AO484"/>
  <c r="AN484"/>
  <c r="AR484" s="1"/>
  <c r="AV483"/>
  <c r="AU483"/>
  <c r="AT483"/>
  <c r="AS483"/>
  <c r="AP483"/>
  <c r="AO483"/>
  <c r="AN483"/>
  <c r="AR483" s="1"/>
  <c r="AV482"/>
  <c r="AU482"/>
  <c r="AT482"/>
  <c r="AS482"/>
  <c r="AP482"/>
  <c r="AO482"/>
  <c r="AN482"/>
  <c r="AR482" s="1"/>
  <c r="AV481"/>
  <c r="AU481"/>
  <c r="AT481"/>
  <c r="AS481"/>
  <c r="AP481"/>
  <c r="AO481"/>
  <c r="AN481"/>
  <c r="AR481" s="1"/>
  <c r="AV480"/>
  <c r="AU480"/>
  <c r="AT480"/>
  <c r="AS480"/>
  <c r="AP480"/>
  <c r="AO480"/>
  <c r="AN480"/>
  <c r="AR480" s="1"/>
  <c r="AV479"/>
  <c r="AU479"/>
  <c r="AT479"/>
  <c r="AS479"/>
  <c r="AP479"/>
  <c r="AO479"/>
  <c r="AN479"/>
  <c r="AR479" s="1"/>
  <c r="AV478"/>
  <c r="AU478"/>
  <c r="AT478"/>
  <c r="AS478"/>
  <c r="AP478"/>
  <c r="AO478"/>
  <c r="AN478"/>
  <c r="AR478" s="1"/>
  <c r="AV477"/>
  <c r="AU477"/>
  <c r="AT477"/>
  <c r="AS477"/>
  <c r="AP477"/>
  <c r="AO477"/>
  <c r="AN477"/>
  <c r="AR477" s="1"/>
  <c r="AV476"/>
  <c r="AU476"/>
  <c r="AT476"/>
  <c r="AS476"/>
  <c r="AP476"/>
  <c r="AO476"/>
  <c r="AN476"/>
  <c r="AR476" s="1"/>
  <c r="AV475"/>
  <c r="AU475"/>
  <c r="AT475"/>
  <c r="AS475"/>
  <c r="AP475"/>
  <c r="AO475"/>
  <c r="AN475"/>
  <c r="AR475" s="1"/>
  <c r="AV474"/>
  <c r="AU474"/>
  <c r="AT474"/>
  <c r="AS474"/>
  <c r="AP474"/>
  <c r="AO474"/>
  <c r="AN474"/>
  <c r="AR474" s="1"/>
  <c r="AV473"/>
  <c r="AU473"/>
  <c r="AT473"/>
  <c r="AS473"/>
  <c r="AP473"/>
  <c r="AO473"/>
  <c r="AN473"/>
  <c r="AR473" s="1"/>
  <c r="AV472"/>
  <c r="AU472"/>
  <c r="AT472"/>
  <c r="AS472"/>
  <c r="AP472"/>
  <c r="AO472"/>
  <c r="AN472"/>
  <c r="AR472" s="1"/>
  <c r="AV471"/>
  <c r="AU471"/>
  <c r="AT471"/>
  <c r="AS471"/>
  <c r="AP471"/>
  <c r="AO471"/>
  <c r="AN471"/>
  <c r="AR471" s="1"/>
  <c r="AV470"/>
  <c r="AU470"/>
  <c r="AT470"/>
  <c r="AS470"/>
  <c r="AP470"/>
  <c r="AO470"/>
  <c r="AN470"/>
  <c r="AR470" s="1"/>
  <c r="AV469"/>
  <c r="AU469"/>
  <c r="AT469"/>
  <c r="AS469"/>
  <c r="AP469"/>
  <c r="AO469"/>
  <c r="AN469"/>
  <c r="AR469" s="1"/>
  <c r="AV468"/>
  <c r="AU468"/>
  <c r="AT468"/>
  <c r="AS468"/>
  <c r="AP468"/>
  <c r="AO468"/>
  <c r="AN468"/>
  <c r="AR468" s="1"/>
  <c r="AV467"/>
  <c r="AU467"/>
  <c r="AT467"/>
  <c r="AS467"/>
  <c r="AP467"/>
  <c r="AO467"/>
  <c r="AN467"/>
  <c r="AR467" s="1"/>
  <c r="AV466"/>
  <c r="AU466"/>
  <c r="AT466"/>
  <c r="AS466"/>
  <c r="AP466"/>
  <c r="AO466"/>
  <c r="AN466"/>
  <c r="AR466" s="1"/>
  <c r="AV465"/>
  <c r="AU465"/>
  <c r="AT465"/>
  <c r="AS465"/>
  <c r="AP465"/>
  <c r="AO465"/>
  <c r="AN465"/>
  <c r="AR465" s="1"/>
  <c r="AV464"/>
  <c r="AU464"/>
  <c r="AT464"/>
  <c r="AS464"/>
  <c r="AP464"/>
  <c r="AO464"/>
  <c r="AN464"/>
  <c r="AR464" s="1"/>
  <c r="AV463"/>
  <c r="AU463"/>
  <c r="AT463"/>
  <c r="AS463"/>
  <c r="AP463"/>
  <c r="AO463"/>
  <c r="AN463"/>
  <c r="AR463" s="1"/>
  <c r="AV462"/>
  <c r="AU462"/>
  <c r="AT462"/>
  <c r="AS462"/>
  <c r="AP462"/>
  <c r="AO462"/>
  <c r="AN462"/>
  <c r="AR462" s="1"/>
  <c r="AV461"/>
  <c r="AU461"/>
  <c r="AT461"/>
  <c r="AS461"/>
  <c r="AP461"/>
  <c r="AO461"/>
  <c r="AN461"/>
  <c r="AR461" s="1"/>
  <c r="AV460"/>
  <c r="AU460"/>
  <c r="AT460"/>
  <c r="AS460"/>
  <c r="AP460"/>
  <c r="AO460"/>
  <c r="AN460"/>
  <c r="AR460" s="1"/>
  <c r="AV459"/>
  <c r="AU459"/>
  <c r="AT459"/>
  <c r="AS459"/>
  <c r="AP459"/>
  <c r="AO459"/>
  <c r="AN459"/>
  <c r="AR459" s="1"/>
  <c r="AV458"/>
  <c r="AU458"/>
  <c r="AT458"/>
  <c r="AS458"/>
  <c r="AP458"/>
  <c r="AO458"/>
  <c r="AN458"/>
  <c r="AR458" s="1"/>
  <c r="AV457"/>
  <c r="AU457"/>
  <c r="AT457"/>
  <c r="AS457"/>
  <c r="AP457"/>
  <c r="AO457"/>
  <c r="AN457"/>
  <c r="AR457" s="1"/>
  <c r="AV456"/>
  <c r="AU456"/>
  <c r="AT456"/>
  <c r="AS456"/>
  <c r="AP456"/>
  <c r="AO456"/>
  <c r="AN456"/>
  <c r="AR456" s="1"/>
  <c r="AV455"/>
  <c r="AU455"/>
  <c r="AT455"/>
  <c r="AS455"/>
  <c r="AP455"/>
  <c r="AO455"/>
  <c r="AN455"/>
  <c r="AR455" s="1"/>
  <c r="AV454"/>
  <c r="AU454"/>
  <c r="AT454"/>
  <c r="AS454"/>
  <c r="AP454"/>
  <c r="AO454"/>
  <c r="AN454"/>
  <c r="AR454" s="1"/>
  <c r="AV453"/>
  <c r="AU453"/>
  <c r="AT453"/>
  <c r="AS453"/>
  <c r="AP453"/>
  <c r="AO453"/>
  <c r="AN453"/>
  <c r="AR453" s="1"/>
  <c r="AV452"/>
  <c r="AU452"/>
  <c r="AT452"/>
  <c r="AS452"/>
  <c r="AP452"/>
  <c r="AO452"/>
  <c r="AN452"/>
  <c r="AR452" s="1"/>
  <c r="AV451"/>
  <c r="AU451"/>
  <c r="AT451"/>
  <c r="AS451"/>
  <c r="AP451"/>
  <c r="AO451"/>
  <c r="AN451"/>
  <c r="AR451" s="1"/>
  <c r="AV450"/>
  <c r="AU450"/>
  <c r="AT450"/>
  <c r="AS450"/>
  <c r="AP450"/>
  <c r="AO450"/>
  <c r="AN450"/>
  <c r="AR450" s="1"/>
  <c r="AV449"/>
  <c r="AU449"/>
  <c r="AT449"/>
  <c r="AS449"/>
  <c r="AP449"/>
  <c r="AO449"/>
  <c r="AN449"/>
  <c r="AR449" s="1"/>
  <c r="AV448"/>
  <c r="AU448"/>
  <c r="AT448"/>
  <c r="AS448"/>
  <c r="AP448"/>
  <c r="AO448"/>
  <c r="AN448"/>
  <c r="AR448" s="1"/>
  <c r="AV447"/>
  <c r="AU447"/>
  <c r="AT447"/>
  <c r="AS447"/>
  <c r="AP447"/>
  <c r="AO447"/>
  <c r="AN447"/>
  <c r="AR447" s="1"/>
  <c r="BE447"/>
  <c r="AV446"/>
  <c r="AU446"/>
  <c r="AT446"/>
  <c r="AS446"/>
  <c r="AP446"/>
  <c r="AO446"/>
  <c r="AN446"/>
  <c r="AR446" s="1"/>
  <c r="BE446"/>
  <c r="AV445"/>
  <c r="AU445"/>
  <c r="AT445"/>
  <c r="AS445"/>
  <c r="AP445"/>
  <c r="AO445"/>
  <c r="AN445"/>
  <c r="AR445" s="1"/>
  <c r="BE445"/>
  <c r="AB445" s="1"/>
  <c r="AV444"/>
  <c r="AU444"/>
  <c r="AT444"/>
  <c r="AS444"/>
  <c r="AP444"/>
  <c r="AO444"/>
  <c r="AN444"/>
  <c r="AR444" s="1"/>
  <c r="BE444"/>
  <c r="AV443"/>
  <c r="AU443"/>
  <c r="AT443"/>
  <c r="AS443"/>
  <c r="AP443"/>
  <c r="AO443"/>
  <c r="AN443"/>
  <c r="AR443" s="1"/>
  <c r="BE443"/>
  <c r="AV442"/>
  <c r="AU442"/>
  <c r="AT442"/>
  <c r="AS442"/>
  <c r="AP442"/>
  <c r="AO442"/>
  <c r="AN442"/>
  <c r="AR442" s="1"/>
  <c r="BE442"/>
  <c r="AV440"/>
  <c r="AU440"/>
  <c r="AT440"/>
  <c r="AS440"/>
  <c r="AP440"/>
  <c r="AO440"/>
  <c r="AN440"/>
  <c r="AR440" s="1"/>
  <c r="AV439"/>
  <c r="AU439"/>
  <c r="AT439"/>
  <c r="AS439"/>
  <c r="AP439"/>
  <c r="AO439"/>
  <c r="AN439"/>
  <c r="AR439" s="1"/>
  <c r="AV438"/>
  <c r="AU438"/>
  <c r="AT438"/>
  <c r="AS438"/>
  <c r="AP438"/>
  <c r="AO438"/>
  <c r="AN438"/>
  <c r="AR438" s="1"/>
  <c r="AV437"/>
  <c r="AU437"/>
  <c r="AT437"/>
  <c r="AS437"/>
  <c r="AP437"/>
  <c r="AO437"/>
  <c r="AN437"/>
  <c r="AR437" s="1"/>
  <c r="AV436"/>
  <c r="AU436"/>
  <c r="AT436"/>
  <c r="AS436"/>
  <c r="AP436"/>
  <c r="AO436"/>
  <c r="AN436"/>
  <c r="AR436" s="1"/>
  <c r="AV435"/>
  <c r="AU435"/>
  <c r="AT435"/>
  <c r="AS435"/>
  <c r="AP435"/>
  <c r="AO435"/>
  <c r="AN435"/>
  <c r="AR435" s="1"/>
  <c r="AV434"/>
  <c r="AU434"/>
  <c r="AT434"/>
  <c r="AS434"/>
  <c r="AP434"/>
  <c r="AO434"/>
  <c r="AN434"/>
  <c r="AR434" s="1"/>
  <c r="AV433"/>
  <c r="AU433"/>
  <c r="AT433"/>
  <c r="AS433"/>
  <c r="AP433"/>
  <c r="AO433"/>
  <c r="AN433"/>
  <c r="AR433" s="1"/>
  <c r="AV432"/>
  <c r="AU432"/>
  <c r="AT432"/>
  <c r="AS432"/>
  <c r="AP432"/>
  <c r="AO432"/>
  <c r="AN432"/>
  <c r="AR432" s="1"/>
  <c r="AV431"/>
  <c r="AU431"/>
  <c r="AT431"/>
  <c r="AS431"/>
  <c r="AP431"/>
  <c r="AO431"/>
  <c r="AN431"/>
  <c r="AR431" s="1"/>
  <c r="AV430"/>
  <c r="AU430"/>
  <c r="AT430"/>
  <c r="AS430"/>
  <c r="AP430"/>
  <c r="AO430"/>
  <c r="AN430"/>
  <c r="AR430" s="1"/>
  <c r="AV429"/>
  <c r="AU429"/>
  <c r="AT429"/>
  <c r="AS429"/>
  <c r="AP429"/>
  <c r="AO429"/>
  <c r="AN429"/>
  <c r="AR429" s="1"/>
  <c r="AV428"/>
  <c r="AU428"/>
  <c r="AT428"/>
  <c r="AS428"/>
  <c r="AP428"/>
  <c r="AO428"/>
  <c r="AN428"/>
  <c r="AR428" s="1"/>
  <c r="AV427"/>
  <c r="AU427"/>
  <c r="AT427"/>
  <c r="AS427"/>
  <c r="AP427"/>
  <c r="AO427"/>
  <c r="AN427"/>
  <c r="AR427" s="1"/>
  <c r="AV426"/>
  <c r="AU426"/>
  <c r="AT426"/>
  <c r="AS426"/>
  <c r="AP426"/>
  <c r="AO426"/>
  <c r="AN426"/>
  <c r="AR426" s="1"/>
  <c r="AV425"/>
  <c r="AU425"/>
  <c r="AT425"/>
  <c r="AS425"/>
  <c r="AP425"/>
  <c r="AO425"/>
  <c r="AN425"/>
  <c r="AR425" s="1"/>
  <c r="AV424"/>
  <c r="AU424"/>
  <c r="AT424"/>
  <c r="AS424"/>
  <c r="AP424"/>
  <c r="AO424"/>
  <c r="AN424"/>
  <c r="AR424" s="1"/>
  <c r="AV423"/>
  <c r="AU423"/>
  <c r="AT423"/>
  <c r="AS423"/>
  <c r="AP423"/>
  <c r="AO423"/>
  <c r="AN423"/>
  <c r="AR423" s="1"/>
  <c r="AV422"/>
  <c r="AU422"/>
  <c r="AT422"/>
  <c r="AS422"/>
  <c r="AP422"/>
  <c r="AO422"/>
  <c r="AN422"/>
  <c r="AR422" s="1"/>
  <c r="AV421"/>
  <c r="AU421"/>
  <c r="AT421"/>
  <c r="AS421"/>
  <c r="AP421"/>
  <c r="AO421"/>
  <c r="AN421"/>
  <c r="AR421" s="1"/>
  <c r="AV420"/>
  <c r="AU420"/>
  <c r="AT420"/>
  <c r="AS420"/>
  <c r="AP420"/>
  <c r="AO420"/>
  <c r="AN420"/>
  <c r="AR420" s="1"/>
  <c r="AV419"/>
  <c r="AU419"/>
  <c r="AT419"/>
  <c r="AS419"/>
  <c r="AP419"/>
  <c r="AO419"/>
  <c r="AN419"/>
  <c r="AR419" s="1"/>
  <c r="AV418"/>
  <c r="AU418"/>
  <c r="AT418"/>
  <c r="AS418"/>
  <c r="AP418"/>
  <c r="AO418"/>
  <c r="AN418"/>
  <c r="AR418" s="1"/>
  <c r="AV417"/>
  <c r="AU417"/>
  <c r="AT417"/>
  <c r="AS417"/>
  <c r="AP417"/>
  <c r="AO417"/>
  <c r="AN417"/>
  <c r="AR417" s="1"/>
  <c r="AV416"/>
  <c r="AU416"/>
  <c r="AT416"/>
  <c r="AS416"/>
  <c r="AP416"/>
  <c r="AO416"/>
  <c r="AN416"/>
  <c r="AR416" s="1"/>
  <c r="AV415"/>
  <c r="AU415"/>
  <c r="AT415"/>
  <c r="AS415"/>
  <c r="AP415"/>
  <c r="AO415"/>
  <c r="AN415"/>
  <c r="AR415" s="1"/>
  <c r="AV414"/>
  <c r="AU414"/>
  <c r="AT414"/>
  <c r="AS414"/>
  <c r="AP414"/>
  <c r="AO414"/>
  <c r="AN414"/>
  <c r="AR414" s="1"/>
  <c r="AV413"/>
  <c r="AU413"/>
  <c r="AT413"/>
  <c r="AS413"/>
  <c r="AP413"/>
  <c r="AO413"/>
  <c r="AN413"/>
  <c r="AR413" s="1"/>
  <c r="AV412"/>
  <c r="AU412"/>
  <c r="AT412"/>
  <c r="AS412"/>
  <c r="AP412"/>
  <c r="AO412"/>
  <c r="AN412"/>
  <c r="AR412" s="1"/>
  <c r="AV411"/>
  <c r="AU411"/>
  <c r="AT411"/>
  <c r="AS411"/>
  <c r="AP411"/>
  <c r="AO411"/>
  <c r="AN411"/>
  <c r="AR411" s="1"/>
  <c r="AV410"/>
  <c r="AU410"/>
  <c r="AT410"/>
  <c r="AS410"/>
  <c r="AP410"/>
  <c r="AO410"/>
  <c r="AN410"/>
  <c r="AR410" s="1"/>
  <c r="AV409"/>
  <c r="AU409"/>
  <c r="AT409"/>
  <c r="AS409"/>
  <c r="AP409"/>
  <c r="AO409"/>
  <c r="AN409"/>
  <c r="AR409" s="1"/>
  <c r="AV408"/>
  <c r="AU408"/>
  <c r="AT408"/>
  <c r="AS408"/>
  <c r="AP408"/>
  <c r="AO408"/>
  <c r="AN408"/>
  <c r="AR408" s="1"/>
  <c r="AV407"/>
  <c r="AU407"/>
  <c r="AT407"/>
  <c r="AS407"/>
  <c r="AP407"/>
  <c r="AO407"/>
  <c r="AN407"/>
  <c r="AR407" s="1"/>
  <c r="AV406"/>
  <c r="AU406"/>
  <c r="AT406"/>
  <c r="AS406"/>
  <c r="AP406"/>
  <c r="AO406"/>
  <c r="AN406"/>
  <c r="AR406" s="1"/>
  <c r="AV405"/>
  <c r="AU405"/>
  <c r="AT405"/>
  <c r="AS405"/>
  <c r="AP405"/>
  <c r="AO405"/>
  <c r="AN405"/>
  <c r="AR405" s="1"/>
  <c r="AV404"/>
  <c r="AU404"/>
  <c r="AT404"/>
  <c r="AS404"/>
  <c r="AP404"/>
  <c r="AO404"/>
  <c r="AN404"/>
  <c r="AR404" s="1"/>
  <c r="AV403"/>
  <c r="AU403"/>
  <c r="AT403"/>
  <c r="AS403"/>
  <c r="AP403"/>
  <c r="AO403"/>
  <c r="AN403"/>
  <c r="AR403" s="1"/>
  <c r="AV402"/>
  <c r="AU402"/>
  <c r="AT402"/>
  <c r="AS402"/>
  <c r="AP402"/>
  <c r="AO402"/>
  <c r="AN402"/>
  <c r="AR402" s="1"/>
  <c r="AV401"/>
  <c r="AU401"/>
  <c r="AT401"/>
  <c r="AS401"/>
  <c r="AP401"/>
  <c r="AO401"/>
  <c r="AN401"/>
  <c r="AR401" s="1"/>
  <c r="AV400"/>
  <c r="AU400"/>
  <c r="AT400"/>
  <c r="AS400"/>
  <c r="AP400"/>
  <c r="AO400"/>
  <c r="AN400"/>
  <c r="AR400" s="1"/>
  <c r="AV399"/>
  <c r="AU399"/>
  <c r="AT399"/>
  <c r="AS399"/>
  <c r="AP399"/>
  <c r="AO399"/>
  <c r="AN399"/>
  <c r="AR399" s="1"/>
  <c r="AV398"/>
  <c r="AU398"/>
  <c r="AT398"/>
  <c r="AS398"/>
  <c r="AP398"/>
  <c r="AO398"/>
  <c r="AN398"/>
  <c r="AR398" s="1"/>
  <c r="AV397"/>
  <c r="AU397"/>
  <c r="AT397"/>
  <c r="AS397"/>
  <c r="AP397"/>
  <c r="AO397"/>
  <c r="AN397"/>
  <c r="AR397" s="1"/>
  <c r="AV396"/>
  <c r="AU396"/>
  <c r="AT396"/>
  <c r="AS396"/>
  <c r="AP396"/>
  <c r="AO396"/>
  <c r="AN396"/>
  <c r="AR396" s="1"/>
  <c r="AV395"/>
  <c r="AU395"/>
  <c r="AT395"/>
  <c r="AS395"/>
  <c r="AP395"/>
  <c r="AO395"/>
  <c r="AN395"/>
  <c r="AR395" s="1"/>
  <c r="AV394"/>
  <c r="AU394"/>
  <c r="AT394"/>
  <c r="AS394"/>
  <c r="AP394"/>
  <c r="AO394"/>
  <c r="AN394"/>
  <c r="AR394" s="1"/>
  <c r="AV393"/>
  <c r="AU393"/>
  <c r="AT393"/>
  <c r="AS393"/>
  <c r="AP393"/>
  <c r="AO393"/>
  <c r="AN393"/>
  <c r="AR393" s="1"/>
  <c r="AV392"/>
  <c r="AU392"/>
  <c r="AT392"/>
  <c r="AS392"/>
  <c r="AP392"/>
  <c r="AO392"/>
  <c r="AN392"/>
  <c r="AR392" s="1"/>
  <c r="AV391"/>
  <c r="AU391"/>
  <c r="AT391"/>
  <c r="AS391"/>
  <c r="AP391"/>
  <c r="AO391"/>
  <c r="AN391"/>
  <c r="AR391" s="1"/>
  <c r="AV390"/>
  <c r="AU390"/>
  <c r="AT390"/>
  <c r="AS390"/>
  <c r="AP390"/>
  <c r="AO390"/>
  <c r="AN390"/>
  <c r="AR390" s="1"/>
  <c r="AV389"/>
  <c r="AU389"/>
  <c r="AT389"/>
  <c r="AS389"/>
  <c r="AP389"/>
  <c r="AO389"/>
  <c r="AN389"/>
  <c r="AR389" s="1"/>
  <c r="AV388"/>
  <c r="AU388"/>
  <c r="AT388"/>
  <c r="AS388"/>
  <c r="AP388"/>
  <c r="AO388"/>
  <c r="AN388"/>
  <c r="AR388" s="1"/>
  <c r="AV387"/>
  <c r="AU387"/>
  <c r="AT387"/>
  <c r="AS387"/>
  <c r="AP387"/>
  <c r="AO387"/>
  <c r="AN387"/>
  <c r="AR387" s="1"/>
  <c r="AV386"/>
  <c r="AU386"/>
  <c r="AT386"/>
  <c r="AS386"/>
  <c r="AP386"/>
  <c r="AO386"/>
  <c r="AN386"/>
  <c r="AR386" s="1"/>
  <c r="AV385"/>
  <c r="AU385"/>
  <c r="AT385"/>
  <c r="AS385"/>
  <c r="AP385"/>
  <c r="AO385"/>
  <c r="AN385"/>
  <c r="AR385" s="1"/>
  <c r="AV384"/>
  <c r="AU384"/>
  <c r="AT384"/>
  <c r="AS384"/>
  <c r="AP384"/>
  <c r="AO384"/>
  <c r="AN384"/>
  <c r="AR384" s="1"/>
  <c r="AV383"/>
  <c r="AU383"/>
  <c r="AT383"/>
  <c r="AS383"/>
  <c r="AP383"/>
  <c r="AO383"/>
  <c r="AN383"/>
  <c r="AR383" s="1"/>
  <c r="AV382"/>
  <c r="AU382"/>
  <c r="AT382"/>
  <c r="AS382"/>
  <c r="AP382"/>
  <c r="AO382"/>
  <c r="AN382"/>
  <c r="AR382" s="1"/>
  <c r="AV381"/>
  <c r="AU381"/>
  <c r="AT381"/>
  <c r="AS381"/>
  <c r="AP381"/>
  <c r="AO381"/>
  <c r="AN381"/>
  <c r="AR381" s="1"/>
  <c r="AV380"/>
  <c r="AU380"/>
  <c r="AT380"/>
  <c r="AS380"/>
  <c r="AP380"/>
  <c r="AO380"/>
  <c r="AN380"/>
  <c r="AR380" s="1"/>
  <c r="AV379"/>
  <c r="AU379"/>
  <c r="AT379"/>
  <c r="AS379"/>
  <c r="AP379"/>
  <c r="AO379"/>
  <c r="AN379"/>
  <c r="AR379" s="1"/>
  <c r="AV378"/>
  <c r="AU378"/>
  <c r="AT378"/>
  <c r="AS378"/>
  <c r="AP378"/>
  <c r="AO378"/>
  <c r="AN378"/>
  <c r="AR378" s="1"/>
  <c r="AV377"/>
  <c r="AU377"/>
  <c r="AT377"/>
  <c r="AS377"/>
  <c r="AP377"/>
  <c r="AO377"/>
  <c r="AN377"/>
  <c r="AR377" s="1"/>
  <c r="AV376"/>
  <c r="AU376"/>
  <c r="AT376"/>
  <c r="AS376"/>
  <c r="AP376"/>
  <c r="AO376"/>
  <c r="AN376"/>
  <c r="AR376" s="1"/>
  <c r="AV375"/>
  <c r="AU375"/>
  <c r="AT375"/>
  <c r="AS375"/>
  <c r="AP375"/>
  <c r="AO375"/>
  <c r="AN375"/>
  <c r="AR375" s="1"/>
  <c r="BE375"/>
  <c r="AV374"/>
  <c r="AU374"/>
  <c r="AT374"/>
  <c r="AS374"/>
  <c r="AP374"/>
  <c r="AO374"/>
  <c r="AN374"/>
  <c r="AR374" s="1"/>
  <c r="BE374"/>
  <c r="AB374" s="1"/>
  <c r="AV373"/>
  <c r="AU373"/>
  <c r="AT373"/>
  <c r="AS373"/>
  <c r="AP373"/>
  <c r="AO373"/>
  <c r="AN373"/>
  <c r="AR373" s="1"/>
  <c r="BE373"/>
  <c r="AB373" s="1"/>
  <c r="AV372"/>
  <c r="AU372"/>
  <c r="AT372"/>
  <c r="AS372"/>
  <c r="AP372"/>
  <c r="AO372"/>
  <c r="AN372"/>
  <c r="AR372" s="1"/>
  <c r="BE372"/>
  <c r="AB372" s="1"/>
  <c r="AV371"/>
  <c r="AU371"/>
  <c r="AT371"/>
  <c r="AS371"/>
  <c r="AP371"/>
  <c r="AO371"/>
  <c r="AN371"/>
  <c r="AR371" s="1"/>
  <c r="BE371"/>
  <c r="AV370"/>
  <c r="AU370"/>
  <c r="AT370"/>
  <c r="AS370"/>
  <c r="AP370"/>
  <c r="AO370"/>
  <c r="AN370"/>
  <c r="AR370" s="1"/>
  <c r="BE370"/>
  <c r="AV368"/>
  <c r="AU368"/>
  <c r="AT368"/>
  <c r="AS368"/>
  <c r="AP368"/>
  <c r="AO368"/>
  <c r="AN368"/>
  <c r="AR368" s="1"/>
  <c r="AV367"/>
  <c r="AU367"/>
  <c r="AT367"/>
  <c r="AS367"/>
  <c r="AP367"/>
  <c r="AO367"/>
  <c r="AN367"/>
  <c r="AR367" s="1"/>
  <c r="AV366"/>
  <c r="AU366"/>
  <c r="AT366"/>
  <c r="AS366"/>
  <c r="AP366"/>
  <c r="AO366"/>
  <c r="AN366"/>
  <c r="AR366" s="1"/>
  <c r="AV365"/>
  <c r="AU365"/>
  <c r="AT365"/>
  <c r="AS365"/>
  <c r="AP365"/>
  <c r="AO365"/>
  <c r="AN365"/>
  <c r="AR365" s="1"/>
  <c r="AV364"/>
  <c r="AU364"/>
  <c r="AT364"/>
  <c r="AS364"/>
  <c r="AP364"/>
  <c r="AO364"/>
  <c r="AN364"/>
  <c r="AR364" s="1"/>
  <c r="AV363"/>
  <c r="AU363"/>
  <c r="AT363"/>
  <c r="AS363"/>
  <c r="AP363"/>
  <c r="AO363"/>
  <c r="AN363"/>
  <c r="AR363" s="1"/>
  <c r="AV362"/>
  <c r="AU362"/>
  <c r="AT362"/>
  <c r="AS362"/>
  <c r="AP362"/>
  <c r="AO362"/>
  <c r="AN362"/>
  <c r="AR362" s="1"/>
  <c r="AV361"/>
  <c r="AU361"/>
  <c r="AT361"/>
  <c r="AS361"/>
  <c r="AP361"/>
  <c r="AO361"/>
  <c r="AN361"/>
  <c r="AR361" s="1"/>
  <c r="AV360"/>
  <c r="AU360"/>
  <c r="AT360"/>
  <c r="AS360"/>
  <c r="AP360"/>
  <c r="AO360"/>
  <c r="AN360"/>
  <c r="AR360" s="1"/>
  <c r="AV359"/>
  <c r="AU359"/>
  <c r="AT359"/>
  <c r="AS359"/>
  <c r="AP359"/>
  <c r="AO359"/>
  <c r="AN359"/>
  <c r="AR359" s="1"/>
  <c r="AV358"/>
  <c r="AU358"/>
  <c r="AT358"/>
  <c r="AS358"/>
  <c r="AP358"/>
  <c r="AO358"/>
  <c r="AN358"/>
  <c r="AR358" s="1"/>
  <c r="AV357"/>
  <c r="AU357"/>
  <c r="AT357"/>
  <c r="AS357"/>
  <c r="AP357"/>
  <c r="AO357"/>
  <c r="AN357"/>
  <c r="AR357" s="1"/>
  <c r="AV356"/>
  <c r="AU356"/>
  <c r="AT356"/>
  <c r="AS356"/>
  <c r="AP356"/>
  <c r="AO356"/>
  <c r="AN356"/>
  <c r="AR356" s="1"/>
  <c r="AV355"/>
  <c r="AU355"/>
  <c r="AT355"/>
  <c r="AS355"/>
  <c r="AP355"/>
  <c r="AO355"/>
  <c r="AN355"/>
  <c r="AR355" s="1"/>
  <c r="AV354"/>
  <c r="AU354"/>
  <c r="AT354"/>
  <c r="AS354"/>
  <c r="AP354"/>
  <c r="AO354"/>
  <c r="AN354"/>
  <c r="AR354" s="1"/>
  <c r="AV353"/>
  <c r="AU353"/>
  <c r="AT353"/>
  <c r="AS353"/>
  <c r="AP353"/>
  <c r="AO353"/>
  <c r="AN353"/>
  <c r="AR353" s="1"/>
  <c r="AV352"/>
  <c r="AU352"/>
  <c r="AT352"/>
  <c r="AS352"/>
  <c r="AP352"/>
  <c r="AO352"/>
  <c r="AN352"/>
  <c r="AR352" s="1"/>
  <c r="AV351"/>
  <c r="AU351"/>
  <c r="AT351"/>
  <c r="AS351"/>
  <c r="AP351"/>
  <c r="AO351"/>
  <c r="AN351"/>
  <c r="AR351" s="1"/>
  <c r="AV350"/>
  <c r="AU350"/>
  <c r="AT350"/>
  <c r="AS350"/>
  <c r="AP350"/>
  <c r="AO350"/>
  <c r="AN350"/>
  <c r="AR350" s="1"/>
  <c r="AV349"/>
  <c r="AU349"/>
  <c r="AT349"/>
  <c r="AS349"/>
  <c r="AP349"/>
  <c r="AO349"/>
  <c r="AN349"/>
  <c r="AR349" s="1"/>
  <c r="AV348"/>
  <c r="AU348"/>
  <c r="AT348"/>
  <c r="AS348"/>
  <c r="AP348"/>
  <c r="AO348"/>
  <c r="AN348"/>
  <c r="AR348" s="1"/>
  <c r="AV347"/>
  <c r="AU347"/>
  <c r="AT347"/>
  <c r="AS347"/>
  <c r="AP347"/>
  <c r="AO347"/>
  <c r="AN347"/>
  <c r="AR347" s="1"/>
  <c r="AV346"/>
  <c r="AU346"/>
  <c r="AT346"/>
  <c r="AS346"/>
  <c r="AP346"/>
  <c r="AO346"/>
  <c r="AN346"/>
  <c r="AR346" s="1"/>
  <c r="AV345"/>
  <c r="AU345"/>
  <c r="AT345"/>
  <c r="AS345"/>
  <c r="AP345"/>
  <c r="AO345"/>
  <c r="AN345"/>
  <c r="AR345" s="1"/>
  <c r="AV344"/>
  <c r="AU344"/>
  <c r="AT344"/>
  <c r="AS344"/>
  <c r="AP344"/>
  <c r="AO344"/>
  <c r="AN344"/>
  <c r="AR344" s="1"/>
  <c r="AV343"/>
  <c r="AU343"/>
  <c r="AT343"/>
  <c r="AS343"/>
  <c r="AP343"/>
  <c r="AO343"/>
  <c r="AN343"/>
  <c r="AR343" s="1"/>
  <c r="AV342"/>
  <c r="AU342"/>
  <c r="AT342"/>
  <c r="AS342"/>
  <c r="AP342"/>
  <c r="AO342"/>
  <c r="AN342"/>
  <c r="AR342" s="1"/>
  <c r="AV341"/>
  <c r="AU341"/>
  <c r="AT341"/>
  <c r="AS341"/>
  <c r="AP341"/>
  <c r="AO341"/>
  <c r="AN341"/>
  <c r="AR341" s="1"/>
  <c r="AV340"/>
  <c r="AU340"/>
  <c r="AT340"/>
  <c r="AS340"/>
  <c r="AP340"/>
  <c r="AO340"/>
  <c r="AN340"/>
  <c r="AR340" s="1"/>
  <c r="AV339"/>
  <c r="AU339"/>
  <c r="AT339"/>
  <c r="AS339"/>
  <c r="AP339"/>
  <c r="AO339"/>
  <c r="AN339"/>
  <c r="AR339" s="1"/>
  <c r="AV338"/>
  <c r="AU338"/>
  <c r="AT338"/>
  <c r="AS338"/>
  <c r="AP338"/>
  <c r="AO338"/>
  <c r="AN338"/>
  <c r="AR338" s="1"/>
  <c r="AV337"/>
  <c r="AU337"/>
  <c r="AT337"/>
  <c r="AS337"/>
  <c r="AP337"/>
  <c r="AO337"/>
  <c r="AN337"/>
  <c r="AR337" s="1"/>
  <c r="AV336"/>
  <c r="AU336"/>
  <c r="AT336"/>
  <c r="AS336"/>
  <c r="AP336"/>
  <c r="AO336"/>
  <c r="AN336"/>
  <c r="AR336" s="1"/>
  <c r="AV335"/>
  <c r="AU335"/>
  <c r="AT335"/>
  <c r="AS335"/>
  <c r="AP335"/>
  <c r="AO335"/>
  <c r="AN335"/>
  <c r="AR335" s="1"/>
  <c r="AV334"/>
  <c r="AU334"/>
  <c r="AT334"/>
  <c r="AS334"/>
  <c r="AP334"/>
  <c r="AO334"/>
  <c r="AN334"/>
  <c r="AR334" s="1"/>
  <c r="AV333"/>
  <c r="AU333"/>
  <c r="AT333"/>
  <c r="AS333"/>
  <c r="AP333"/>
  <c r="AO333"/>
  <c r="AN333"/>
  <c r="AR333" s="1"/>
  <c r="AV332"/>
  <c r="AU332"/>
  <c r="AT332"/>
  <c r="AS332"/>
  <c r="AP332"/>
  <c r="AO332"/>
  <c r="AN332"/>
  <c r="AR332" s="1"/>
  <c r="AV331"/>
  <c r="AU331"/>
  <c r="AT331"/>
  <c r="AS331"/>
  <c r="AP331"/>
  <c r="AO331"/>
  <c r="AN331"/>
  <c r="AR331" s="1"/>
  <c r="AV330"/>
  <c r="AU330"/>
  <c r="AT330"/>
  <c r="AS330"/>
  <c r="AP330"/>
  <c r="AO330"/>
  <c r="AN330"/>
  <c r="AR330" s="1"/>
  <c r="AV329"/>
  <c r="AU329"/>
  <c r="AT329"/>
  <c r="AS329"/>
  <c r="AP329"/>
  <c r="AO329"/>
  <c r="AN329"/>
  <c r="AR329" s="1"/>
  <c r="AV328"/>
  <c r="AU328"/>
  <c r="AT328"/>
  <c r="AS328"/>
  <c r="AP328"/>
  <c r="AO328"/>
  <c r="AN328"/>
  <c r="AR328" s="1"/>
  <c r="AV327"/>
  <c r="AU327"/>
  <c r="AT327"/>
  <c r="AS327"/>
  <c r="AP327"/>
  <c r="AO327"/>
  <c r="AN327"/>
  <c r="AR327" s="1"/>
  <c r="AV326"/>
  <c r="AU326"/>
  <c r="AT326"/>
  <c r="AS326"/>
  <c r="AP326"/>
  <c r="AO326"/>
  <c r="AN326"/>
  <c r="AR326" s="1"/>
  <c r="AV325"/>
  <c r="AU325"/>
  <c r="AT325"/>
  <c r="AS325"/>
  <c r="AP325"/>
  <c r="AO325"/>
  <c r="AN325"/>
  <c r="AR325" s="1"/>
  <c r="AV324"/>
  <c r="AU324"/>
  <c r="AT324"/>
  <c r="AS324"/>
  <c r="AP324"/>
  <c r="AO324"/>
  <c r="AN324"/>
  <c r="AR324" s="1"/>
  <c r="AV323"/>
  <c r="AU323"/>
  <c r="AT323"/>
  <c r="AS323"/>
  <c r="AP323"/>
  <c r="AO323"/>
  <c r="AN323"/>
  <c r="AR323" s="1"/>
  <c r="AV322"/>
  <c r="AU322"/>
  <c r="AT322"/>
  <c r="AS322"/>
  <c r="AP322"/>
  <c r="AO322"/>
  <c r="AN322"/>
  <c r="AR322" s="1"/>
  <c r="AV321"/>
  <c r="AU321"/>
  <c r="AT321"/>
  <c r="AS321"/>
  <c r="AP321"/>
  <c r="AO321"/>
  <c r="AN321"/>
  <c r="AR321" s="1"/>
  <c r="AV320"/>
  <c r="AU320"/>
  <c r="AT320"/>
  <c r="AS320"/>
  <c r="AP320"/>
  <c r="AO320"/>
  <c r="AN320"/>
  <c r="AR320" s="1"/>
  <c r="AV319"/>
  <c r="AU319"/>
  <c r="AT319"/>
  <c r="AS319"/>
  <c r="AP319"/>
  <c r="AO319"/>
  <c r="AN319"/>
  <c r="AR319" s="1"/>
  <c r="AV318"/>
  <c r="AU318"/>
  <c r="AT318"/>
  <c r="AS318"/>
  <c r="AP318"/>
  <c r="AO318"/>
  <c r="AN318"/>
  <c r="AR318" s="1"/>
  <c r="AV317"/>
  <c r="AU317"/>
  <c r="AT317"/>
  <c r="AS317"/>
  <c r="AP317"/>
  <c r="AO317"/>
  <c r="AN317"/>
  <c r="AR317" s="1"/>
  <c r="AV316"/>
  <c r="AU316"/>
  <c r="AT316"/>
  <c r="AS316"/>
  <c r="AP316"/>
  <c r="AO316"/>
  <c r="AN316"/>
  <c r="AR316" s="1"/>
  <c r="AV315"/>
  <c r="AU315"/>
  <c r="AT315"/>
  <c r="AS315"/>
  <c r="AP315"/>
  <c r="AO315"/>
  <c r="AN315"/>
  <c r="AR315" s="1"/>
  <c r="AV314"/>
  <c r="AU314"/>
  <c r="AT314"/>
  <c r="AS314"/>
  <c r="AP314"/>
  <c r="AO314"/>
  <c r="AN314"/>
  <c r="AR314" s="1"/>
  <c r="AV313"/>
  <c r="AU313"/>
  <c r="AT313"/>
  <c r="AS313"/>
  <c r="AP313"/>
  <c r="AO313"/>
  <c r="AN313"/>
  <c r="AR313" s="1"/>
  <c r="AV312"/>
  <c r="AU312"/>
  <c r="AT312"/>
  <c r="AS312"/>
  <c r="AP312"/>
  <c r="AO312"/>
  <c r="AN312"/>
  <c r="AR312" s="1"/>
  <c r="AV311"/>
  <c r="AU311"/>
  <c r="AT311"/>
  <c r="AS311"/>
  <c r="AP311"/>
  <c r="AO311"/>
  <c r="AN311"/>
  <c r="AR311" s="1"/>
  <c r="AV310"/>
  <c r="AU310"/>
  <c r="AT310"/>
  <c r="AS310"/>
  <c r="AP310"/>
  <c r="AO310"/>
  <c r="AN310"/>
  <c r="AR310" s="1"/>
  <c r="AV309"/>
  <c r="AU309"/>
  <c r="AT309"/>
  <c r="AS309"/>
  <c r="AP309"/>
  <c r="AO309"/>
  <c r="AN309"/>
  <c r="AR309" s="1"/>
  <c r="AV308"/>
  <c r="AU308"/>
  <c r="AT308"/>
  <c r="AS308"/>
  <c r="AP308"/>
  <c r="AO308"/>
  <c r="AN308"/>
  <c r="AR308" s="1"/>
  <c r="AV307"/>
  <c r="AU307"/>
  <c r="AT307"/>
  <c r="AS307"/>
  <c r="AP307"/>
  <c r="AO307"/>
  <c r="AN307"/>
  <c r="AR307" s="1"/>
  <c r="AV306"/>
  <c r="AU306"/>
  <c r="AT306"/>
  <c r="AS306"/>
  <c r="AP306"/>
  <c r="AO306"/>
  <c r="AN306"/>
  <c r="AR306" s="1"/>
  <c r="AV305"/>
  <c r="AU305"/>
  <c r="AT305"/>
  <c r="AS305"/>
  <c r="AP305"/>
  <c r="AO305"/>
  <c r="AN305"/>
  <c r="AR305" s="1"/>
  <c r="AV304"/>
  <c r="AU304"/>
  <c r="AT304"/>
  <c r="AS304"/>
  <c r="AP304"/>
  <c r="AO304"/>
  <c r="AN304"/>
  <c r="AR304" s="1"/>
  <c r="AV303"/>
  <c r="AU303"/>
  <c r="AT303"/>
  <c r="AS303"/>
  <c r="AP303"/>
  <c r="AO303"/>
  <c r="AN303"/>
  <c r="AR303" s="1"/>
  <c r="BE303"/>
  <c r="AB303" s="1"/>
  <c r="AV302"/>
  <c r="AU302"/>
  <c r="AT302"/>
  <c r="AS302"/>
  <c r="AP302"/>
  <c r="AO302"/>
  <c r="AN302"/>
  <c r="AR302" s="1"/>
  <c r="BE302"/>
  <c r="AB302" s="1"/>
  <c r="AV301"/>
  <c r="AU301"/>
  <c r="AT301"/>
  <c r="AS301"/>
  <c r="AP301"/>
  <c r="AO301"/>
  <c r="AN301"/>
  <c r="AR301" s="1"/>
  <c r="BE301"/>
  <c r="AV300"/>
  <c r="AU300"/>
  <c r="AT300"/>
  <c r="AS300"/>
  <c r="AP300"/>
  <c r="AO300"/>
  <c r="AN300"/>
  <c r="AR300" s="1"/>
  <c r="BE300"/>
  <c r="AB300" s="1"/>
  <c r="AV299"/>
  <c r="AU299"/>
  <c r="AT299"/>
  <c r="AS299"/>
  <c r="AP299"/>
  <c r="AO299"/>
  <c r="AN299"/>
  <c r="AR299" s="1"/>
  <c r="BE299"/>
  <c r="AV298"/>
  <c r="AU298"/>
  <c r="AT298"/>
  <c r="AS298"/>
  <c r="AP298"/>
  <c r="AO298"/>
  <c r="AN298"/>
  <c r="AR298" s="1"/>
  <c r="BE298"/>
  <c r="AV296"/>
  <c r="AU296"/>
  <c r="AT296"/>
  <c r="AS296"/>
  <c r="AP296"/>
  <c r="AO296"/>
  <c r="AN296"/>
  <c r="AR296" s="1"/>
  <c r="AV295"/>
  <c r="AU295"/>
  <c r="AT295"/>
  <c r="AS295"/>
  <c r="AP295"/>
  <c r="AO295"/>
  <c r="AN295"/>
  <c r="AR295" s="1"/>
  <c r="AV294"/>
  <c r="AU294"/>
  <c r="AT294"/>
  <c r="AS294"/>
  <c r="AP294"/>
  <c r="AO294"/>
  <c r="AN294"/>
  <c r="AR294" s="1"/>
  <c r="AV293"/>
  <c r="AU293"/>
  <c r="AT293"/>
  <c r="AS293"/>
  <c r="AP293"/>
  <c r="AO293"/>
  <c r="AN293"/>
  <c r="AR293" s="1"/>
  <c r="AV292"/>
  <c r="AU292"/>
  <c r="AT292"/>
  <c r="AS292"/>
  <c r="AP292"/>
  <c r="AO292"/>
  <c r="AN292"/>
  <c r="AR292" s="1"/>
  <c r="AV291"/>
  <c r="AU291"/>
  <c r="AT291"/>
  <c r="AS291"/>
  <c r="AP291"/>
  <c r="AO291"/>
  <c r="AN291"/>
  <c r="AR291" s="1"/>
  <c r="AV290"/>
  <c r="AU290"/>
  <c r="AT290"/>
  <c r="AS290"/>
  <c r="AP290"/>
  <c r="AO290"/>
  <c r="AN290"/>
  <c r="AR290" s="1"/>
  <c r="AV289"/>
  <c r="AU289"/>
  <c r="AT289"/>
  <c r="AS289"/>
  <c r="AP289"/>
  <c r="AO289"/>
  <c r="AN289"/>
  <c r="AR289" s="1"/>
  <c r="AV288"/>
  <c r="AU288"/>
  <c r="AT288"/>
  <c r="AS288"/>
  <c r="AP288"/>
  <c r="AO288"/>
  <c r="AN288"/>
  <c r="AR288" s="1"/>
  <c r="AV287"/>
  <c r="AU287"/>
  <c r="AT287"/>
  <c r="AS287"/>
  <c r="AP287"/>
  <c r="AO287"/>
  <c r="AN287"/>
  <c r="AR287" s="1"/>
  <c r="AV286"/>
  <c r="AU286"/>
  <c r="AT286"/>
  <c r="AS286"/>
  <c r="AP286"/>
  <c r="AO286"/>
  <c r="AN286"/>
  <c r="AR286" s="1"/>
  <c r="AV285"/>
  <c r="AU285"/>
  <c r="AT285"/>
  <c r="AS285"/>
  <c r="AP285"/>
  <c r="AO285"/>
  <c r="AN285"/>
  <c r="AR285" s="1"/>
  <c r="AV284"/>
  <c r="AU284"/>
  <c r="AT284"/>
  <c r="AS284"/>
  <c r="AP284"/>
  <c r="AO284"/>
  <c r="AN284"/>
  <c r="AR284" s="1"/>
  <c r="AV283"/>
  <c r="AU283"/>
  <c r="AT283"/>
  <c r="AS283"/>
  <c r="AP283"/>
  <c r="AO283"/>
  <c r="AN283"/>
  <c r="AR283" s="1"/>
  <c r="AV282"/>
  <c r="AU282"/>
  <c r="AT282"/>
  <c r="AS282"/>
  <c r="AP282"/>
  <c r="AO282"/>
  <c r="AN282"/>
  <c r="AR282" s="1"/>
  <c r="AV281"/>
  <c r="AU281"/>
  <c r="AT281"/>
  <c r="AS281"/>
  <c r="AP281"/>
  <c r="AO281"/>
  <c r="AN281"/>
  <c r="AR281" s="1"/>
  <c r="AV280"/>
  <c r="AU280"/>
  <c r="AT280"/>
  <c r="AS280"/>
  <c r="AP280"/>
  <c r="AO280"/>
  <c r="AN280"/>
  <c r="AR280" s="1"/>
  <c r="AV279"/>
  <c r="AU279"/>
  <c r="AT279"/>
  <c r="AS279"/>
  <c r="AP279"/>
  <c r="AO279"/>
  <c r="AN279"/>
  <c r="AR279" s="1"/>
  <c r="AV278"/>
  <c r="AU278"/>
  <c r="AT278"/>
  <c r="AS278"/>
  <c r="AP278"/>
  <c r="AO278"/>
  <c r="AN278"/>
  <c r="AR278" s="1"/>
  <c r="AV277"/>
  <c r="AU277"/>
  <c r="AT277"/>
  <c r="AS277"/>
  <c r="AP277"/>
  <c r="AO277"/>
  <c r="AN277"/>
  <c r="AR277" s="1"/>
  <c r="AV276"/>
  <c r="AU276"/>
  <c r="AT276"/>
  <c r="AS276"/>
  <c r="AP276"/>
  <c r="AO276"/>
  <c r="AN276"/>
  <c r="AR276" s="1"/>
  <c r="AV275"/>
  <c r="AU275"/>
  <c r="AT275"/>
  <c r="AS275"/>
  <c r="AP275"/>
  <c r="AO275"/>
  <c r="AN275"/>
  <c r="AR275" s="1"/>
  <c r="AV274"/>
  <c r="AU274"/>
  <c r="AT274"/>
  <c r="AS274"/>
  <c r="AP274"/>
  <c r="AO274"/>
  <c r="AN274"/>
  <c r="AR274" s="1"/>
  <c r="AV273"/>
  <c r="AU273"/>
  <c r="AT273"/>
  <c r="AS273"/>
  <c r="AP273"/>
  <c r="AO273"/>
  <c r="AN273"/>
  <c r="AR273" s="1"/>
  <c r="AV272"/>
  <c r="AU272"/>
  <c r="AT272"/>
  <c r="AS272"/>
  <c r="AP272"/>
  <c r="AO272"/>
  <c r="AN272"/>
  <c r="AR272" s="1"/>
  <c r="AV271"/>
  <c r="AU271"/>
  <c r="AT271"/>
  <c r="AS271"/>
  <c r="AP271"/>
  <c r="AO271"/>
  <c r="AN271"/>
  <c r="AR271" s="1"/>
  <c r="AV270"/>
  <c r="AU270"/>
  <c r="AT270"/>
  <c r="AS270"/>
  <c r="AP270"/>
  <c r="AO270"/>
  <c r="AN270"/>
  <c r="AR270" s="1"/>
  <c r="AV269"/>
  <c r="AU269"/>
  <c r="AT269"/>
  <c r="AS269"/>
  <c r="AP269"/>
  <c r="AO269"/>
  <c r="AN269"/>
  <c r="AR269" s="1"/>
  <c r="AV268"/>
  <c r="AU268"/>
  <c r="AT268"/>
  <c r="AS268"/>
  <c r="AP268"/>
  <c r="AO268"/>
  <c r="AN268"/>
  <c r="AR268" s="1"/>
  <c r="AV267"/>
  <c r="AU267"/>
  <c r="AT267"/>
  <c r="AS267"/>
  <c r="AP267"/>
  <c r="AO267"/>
  <c r="AN267"/>
  <c r="AR267" s="1"/>
  <c r="AV266"/>
  <c r="AU266"/>
  <c r="AT266"/>
  <c r="AS266"/>
  <c r="AP266"/>
  <c r="AO266"/>
  <c r="AN266"/>
  <c r="AR266" s="1"/>
  <c r="AV265"/>
  <c r="AU265"/>
  <c r="AT265"/>
  <c r="AS265"/>
  <c r="AP265"/>
  <c r="AO265"/>
  <c r="AN265"/>
  <c r="AR265" s="1"/>
  <c r="AV264"/>
  <c r="AU264"/>
  <c r="AT264"/>
  <c r="AS264"/>
  <c r="AP264"/>
  <c r="AO264"/>
  <c r="AN264"/>
  <c r="AR264" s="1"/>
  <c r="AV263"/>
  <c r="AU263"/>
  <c r="AT263"/>
  <c r="AS263"/>
  <c r="AP263"/>
  <c r="AO263"/>
  <c r="AN263"/>
  <c r="AR263" s="1"/>
  <c r="AV262"/>
  <c r="AU262"/>
  <c r="AT262"/>
  <c r="AS262"/>
  <c r="AP262"/>
  <c r="AO262"/>
  <c r="AN262"/>
  <c r="AR262" s="1"/>
  <c r="AV261"/>
  <c r="AU261"/>
  <c r="AT261"/>
  <c r="AS261"/>
  <c r="AP261"/>
  <c r="AO261"/>
  <c r="AN261"/>
  <c r="AR261" s="1"/>
  <c r="AV260"/>
  <c r="AU260"/>
  <c r="AT260"/>
  <c r="AS260"/>
  <c r="AP260"/>
  <c r="AO260"/>
  <c r="AN260"/>
  <c r="AR260" s="1"/>
  <c r="AV259"/>
  <c r="AU259"/>
  <c r="AT259"/>
  <c r="AS259"/>
  <c r="AP259"/>
  <c r="AO259"/>
  <c r="AN259"/>
  <c r="AR259" s="1"/>
  <c r="AV258"/>
  <c r="AU258"/>
  <c r="AT258"/>
  <c r="AS258"/>
  <c r="AP258"/>
  <c r="AO258"/>
  <c r="AN258"/>
  <c r="AR258" s="1"/>
  <c r="AV257"/>
  <c r="AU257"/>
  <c r="AT257"/>
  <c r="AS257"/>
  <c r="AP257"/>
  <c r="AO257"/>
  <c r="AN257"/>
  <c r="AR257" s="1"/>
  <c r="AV256"/>
  <c r="AU256"/>
  <c r="AT256"/>
  <c r="AS256"/>
  <c r="AP256"/>
  <c r="AO256"/>
  <c r="AN256"/>
  <c r="AR256" s="1"/>
  <c r="AV255"/>
  <c r="AU255"/>
  <c r="AT255"/>
  <c r="AS255"/>
  <c r="AP255"/>
  <c r="AO255"/>
  <c r="AN255"/>
  <c r="AR255" s="1"/>
  <c r="AV254"/>
  <c r="AU254"/>
  <c r="AT254"/>
  <c r="AS254"/>
  <c r="AP254"/>
  <c r="AO254"/>
  <c r="AN254"/>
  <c r="AR254" s="1"/>
  <c r="AV253"/>
  <c r="AU253"/>
  <c r="AT253"/>
  <c r="AS253"/>
  <c r="AP253"/>
  <c r="AO253"/>
  <c r="AN253"/>
  <c r="AR253" s="1"/>
  <c r="AV252"/>
  <c r="AU252"/>
  <c r="AT252"/>
  <c r="AS252"/>
  <c r="AP252"/>
  <c r="AO252"/>
  <c r="AN252"/>
  <c r="AR252" s="1"/>
  <c r="AV251"/>
  <c r="AU251"/>
  <c r="AT251"/>
  <c r="AS251"/>
  <c r="AP251"/>
  <c r="AO251"/>
  <c r="AN251"/>
  <c r="AR251" s="1"/>
  <c r="AV250"/>
  <c r="AU250"/>
  <c r="AT250"/>
  <c r="AS250"/>
  <c r="AP250"/>
  <c r="AO250"/>
  <c r="AN250"/>
  <c r="AR250" s="1"/>
  <c r="AV249"/>
  <c r="AU249"/>
  <c r="AT249"/>
  <c r="AS249"/>
  <c r="AP249"/>
  <c r="AO249"/>
  <c r="AN249"/>
  <c r="AR249" s="1"/>
  <c r="AV248"/>
  <c r="AU248"/>
  <c r="AT248"/>
  <c r="AS248"/>
  <c r="AP248"/>
  <c r="AO248"/>
  <c r="AN248"/>
  <c r="AR248" s="1"/>
  <c r="AV247"/>
  <c r="AU247"/>
  <c r="AT247"/>
  <c r="AS247"/>
  <c r="AP247"/>
  <c r="AO247"/>
  <c r="AN247"/>
  <c r="AR247" s="1"/>
  <c r="AV246"/>
  <c r="AU246"/>
  <c r="AT246"/>
  <c r="AS246"/>
  <c r="AP246"/>
  <c r="AO246"/>
  <c r="AN246"/>
  <c r="AR246" s="1"/>
  <c r="AV245"/>
  <c r="AU245"/>
  <c r="AT245"/>
  <c r="AS245"/>
  <c r="AP245"/>
  <c r="AO245"/>
  <c r="AN245"/>
  <c r="AR245" s="1"/>
  <c r="AV244"/>
  <c r="AU244"/>
  <c r="AT244"/>
  <c r="AS244"/>
  <c r="AP244"/>
  <c r="AO244"/>
  <c r="AN244"/>
  <c r="AR244" s="1"/>
  <c r="AV243"/>
  <c r="AU243"/>
  <c r="AT243"/>
  <c r="AS243"/>
  <c r="AP243"/>
  <c r="AO243"/>
  <c r="AN243"/>
  <c r="AR243" s="1"/>
  <c r="AV242"/>
  <c r="AU242"/>
  <c r="AT242"/>
  <c r="AS242"/>
  <c r="AP242"/>
  <c r="AO242"/>
  <c r="AN242"/>
  <c r="AR242" s="1"/>
  <c r="AV241"/>
  <c r="AU241"/>
  <c r="AT241"/>
  <c r="AS241"/>
  <c r="AP241"/>
  <c r="AO241"/>
  <c r="AN241"/>
  <c r="AR241" s="1"/>
  <c r="AV240"/>
  <c r="AU240"/>
  <c r="AT240"/>
  <c r="AS240"/>
  <c r="AP240"/>
  <c r="AO240"/>
  <c r="AN240"/>
  <c r="AR240" s="1"/>
  <c r="AV239"/>
  <c r="AU239"/>
  <c r="AT239"/>
  <c r="AS239"/>
  <c r="AP239"/>
  <c r="AO239"/>
  <c r="AN239"/>
  <c r="AR239" s="1"/>
  <c r="AV238"/>
  <c r="AU238"/>
  <c r="AT238"/>
  <c r="AS238"/>
  <c r="AP238"/>
  <c r="AO238"/>
  <c r="AN238"/>
  <c r="AR238" s="1"/>
  <c r="AV237"/>
  <c r="AU237"/>
  <c r="AT237"/>
  <c r="AS237"/>
  <c r="AP237"/>
  <c r="AO237"/>
  <c r="AN237"/>
  <c r="AR237" s="1"/>
  <c r="AV236"/>
  <c r="AU236"/>
  <c r="AT236"/>
  <c r="AS236"/>
  <c r="AP236"/>
  <c r="AO236"/>
  <c r="AN236"/>
  <c r="AR236" s="1"/>
  <c r="AV235"/>
  <c r="AU235"/>
  <c r="AT235"/>
  <c r="AS235"/>
  <c r="AP235"/>
  <c r="AO235"/>
  <c r="AN235"/>
  <c r="AR235" s="1"/>
  <c r="AV234"/>
  <c r="AU234"/>
  <c r="AT234"/>
  <c r="AS234"/>
  <c r="AP234"/>
  <c r="AO234"/>
  <c r="AN234"/>
  <c r="AR234" s="1"/>
  <c r="AV233"/>
  <c r="AU233"/>
  <c r="AT233"/>
  <c r="AS233"/>
  <c r="AP233"/>
  <c r="AO233"/>
  <c r="AN233"/>
  <c r="AR233" s="1"/>
  <c r="AV232"/>
  <c r="AU232"/>
  <c r="AT232"/>
  <c r="AS232"/>
  <c r="AP232"/>
  <c r="AO232"/>
  <c r="AN232"/>
  <c r="AR232" s="1"/>
  <c r="AV231"/>
  <c r="AU231"/>
  <c r="AT231"/>
  <c r="AS231"/>
  <c r="AP231"/>
  <c r="AO231"/>
  <c r="AN231"/>
  <c r="AR231" s="1"/>
  <c r="BE231"/>
  <c r="AB231" s="1"/>
  <c r="AV230"/>
  <c r="AU230"/>
  <c r="AT230"/>
  <c r="AS230"/>
  <c r="AP230"/>
  <c r="AO230"/>
  <c r="AN230"/>
  <c r="AR230" s="1"/>
  <c r="BE230"/>
  <c r="AB230" s="1"/>
  <c r="AV229"/>
  <c r="AU229"/>
  <c r="AT229"/>
  <c r="AS229"/>
  <c r="AP229"/>
  <c r="AO229"/>
  <c r="AN229"/>
  <c r="AR229" s="1"/>
  <c r="BE229"/>
  <c r="AB229" s="1"/>
  <c r="AV228"/>
  <c r="AU228"/>
  <c r="AT228"/>
  <c r="AS228"/>
  <c r="AP228"/>
  <c r="AO228"/>
  <c r="AN228"/>
  <c r="AR228" s="1"/>
  <c r="BE228"/>
  <c r="AV227"/>
  <c r="AU227"/>
  <c r="AT227"/>
  <c r="AS227"/>
  <c r="AP227"/>
  <c r="AO227"/>
  <c r="AN227"/>
  <c r="AR227" s="1"/>
  <c r="BE227"/>
  <c r="AB227" s="1"/>
  <c r="AV226"/>
  <c r="AU226"/>
  <c r="AT226"/>
  <c r="AS226"/>
  <c r="AP226"/>
  <c r="AO226"/>
  <c r="AN226"/>
  <c r="AR226" s="1"/>
  <c r="BE226"/>
  <c r="AB226" s="1"/>
  <c r="BH442" l="1"/>
  <c r="BI442" s="1"/>
  <c r="AB442"/>
  <c r="BH446"/>
  <c r="BI446" s="1"/>
  <c r="AB446"/>
  <c r="BH443"/>
  <c r="BI443" s="1"/>
  <c r="AB443"/>
  <c r="BG447"/>
  <c r="AA447" s="1"/>
  <c r="AB447"/>
  <c r="BH444"/>
  <c r="BI444" s="1"/>
  <c r="AB444"/>
  <c r="BH370"/>
  <c r="BI370" s="1"/>
  <c r="AB370"/>
  <c r="BH371"/>
  <c r="BI371" s="1"/>
  <c r="AB371"/>
  <c r="BH375"/>
  <c r="BI375" s="1"/>
  <c r="AB375"/>
  <c r="BG301"/>
  <c r="AA301" s="1"/>
  <c r="AB301"/>
  <c r="BH298"/>
  <c r="BI298" s="1"/>
  <c r="AB298"/>
  <c r="BH299"/>
  <c r="BI299" s="1"/>
  <c r="AB299"/>
  <c r="BG228"/>
  <c r="AA228" s="1"/>
  <c r="AB228"/>
  <c r="AW495"/>
  <c r="AX413"/>
  <c r="AX421"/>
  <c r="AW379"/>
  <c r="AW298"/>
  <c r="AW410"/>
  <c r="AW227"/>
  <c r="AW426"/>
  <c r="AX239"/>
  <c r="AW447"/>
  <c r="AW424"/>
  <c r="AX473"/>
  <c r="AW395"/>
  <c r="AW324"/>
  <c r="AW340"/>
  <c r="AW364"/>
  <c r="AW309"/>
  <c r="AW437"/>
  <c r="AX337"/>
  <c r="AX299"/>
  <c r="AW428"/>
  <c r="AX318"/>
  <c r="AX327"/>
  <c r="AX375"/>
  <c r="AX344"/>
  <c r="AX434"/>
  <c r="AW241"/>
  <c r="AW249"/>
  <c r="AW273"/>
  <c r="AW281"/>
  <c r="AW391"/>
  <c r="AW508"/>
  <c r="AX316"/>
  <c r="AW404"/>
  <c r="AW346"/>
  <c r="AX380"/>
  <c r="AW385"/>
  <c r="AW393"/>
  <c r="AX439"/>
  <c r="AW502"/>
  <c r="AW510"/>
  <c r="AX512"/>
  <c r="AZ512" s="1"/>
  <c r="AX394"/>
  <c r="AX238"/>
  <c r="AW347"/>
  <c r="AW399"/>
  <c r="AX401"/>
  <c r="AW448"/>
  <c r="AX476"/>
  <c r="AX502"/>
  <c r="AX267"/>
  <c r="AY302"/>
  <c r="AX317"/>
  <c r="AW457"/>
  <c r="AW305"/>
  <c r="AX397"/>
  <c r="AW430"/>
  <c r="AW444"/>
  <c r="AW491"/>
  <c r="AW387"/>
  <c r="AX280"/>
  <c r="AX296"/>
  <c r="AX461"/>
  <c r="AX479"/>
  <c r="AX505"/>
  <c r="AY238"/>
  <c r="AW240"/>
  <c r="AW248"/>
  <c r="AW263"/>
  <c r="AW279"/>
  <c r="AW287"/>
  <c r="AW295"/>
  <c r="AX303"/>
  <c r="AX308"/>
  <c r="AX488"/>
  <c r="AX243"/>
  <c r="AY246"/>
  <c r="AX250"/>
  <c r="AX259"/>
  <c r="AY260"/>
  <c r="AX266"/>
  <c r="AW302"/>
  <c r="AW306"/>
  <c r="AX310"/>
  <c r="AX341"/>
  <c r="AX349"/>
  <c r="AX389"/>
  <c r="AX496"/>
  <c r="AX302"/>
  <c r="AX306"/>
  <c r="AX350"/>
  <c r="AX379"/>
  <c r="AX385"/>
  <c r="AW401"/>
  <c r="AX412"/>
  <c r="AW417"/>
  <c r="AX492"/>
  <c r="AW310"/>
  <c r="AW389"/>
  <c r="AX311"/>
  <c r="AW443"/>
  <c r="AW458"/>
  <c r="AW473"/>
  <c r="AX436"/>
  <c r="AX447"/>
  <c r="AW487"/>
  <c r="AW235"/>
  <c r="AX253"/>
  <c r="AW317"/>
  <c r="AZ317" s="1"/>
  <c r="AW450"/>
  <c r="AX226"/>
  <c r="AX313"/>
  <c r="AX322"/>
  <c r="AX338"/>
  <c r="AX393"/>
  <c r="AX416"/>
  <c r="AX443"/>
  <c r="AX444"/>
  <c r="AX459"/>
  <c r="AX477"/>
  <c r="AX490"/>
  <c r="AW392"/>
  <c r="AW411"/>
  <c r="AX286"/>
  <c r="AX331"/>
  <c r="AX339"/>
  <c r="AW381"/>
  <c r="AX383"/>
  <c r="AX399"/>
  <c r="BF442"/>
  <c r="AX236"/>
  <c r="AY247"/>
  <c r="AX274"/>
  <c r="AX290"/>
  <c r="AX328"/>
  <c r="AX377"/>
  <c r="AX378"/>
  <c r="AX407"/>
  <c r="AX440"/>
  <c r="AX452"/>
  <c r="AX453"/>
  <c r="AX497"/>
  <c r="AX498"/>
  <c r="AX504"/>
  <c r="AX245"/>
  <c r="AW272"/>
  <c r="AW280"/>
  <c r="AX282"/>
  <c r="AW288"/>
  <c r="AX298"/>
  <c r="AX309"/>
  <c r="AW318"/>
  <c r="AX320"/>
  <c r="AX321"/>
  <c r="AW341"/>
  <c r="AX342"/>
  <c r="AX343"/>
  <c r="AW397"/>
  <c r="AW406"/>
  <c r="AW418"/>
  <c r="AX433"/>
  <c r="AW438"/>
  <c r="AX463"/>
  <c r="AW509"/>
  <c r="AX510"/>
  <c r="AY231"/>
  <c r="AY473"/>
  <c r="AX230"/>
  <c r="AW236"/>
  <c r="AX276"/>
  <c r="AX329"/>
  <c r="AW357"/>
  <c r="AW365"/>
  <c r="AW378"/>
  <c r="AX465"/>
  <c r="AY474"/>
  <c r="AW230"/>
  <c r="AX232"/>
  <c r="AX246"/>
  <c r="AX247"/>
  <c r="AX254"/>
  <c r="AW267"/>
  <c r="AX285"/>
  <c r="AW303"/>
  <c r="AW329"/>
  <c r="AW336"/>
  <c r="AW358"/>
  <c r="AX361"/>
  <c r="AW366"/>
  <c r="AW382"/>
  <c r="AW421"/>
  <c r="AX449"/>
  <c r="AX450"/>
  <c r="AW451"/>
  <c r="AX483"/>
  <c r="AX484"/>
  <c r="AW499"/>
  <c r="AX500"/>
  <c r="AX506"/>
  <c r="AY443"/>
  <c r="AX336"/>
  <c r="AW413"/>
  <c r="AW420"/>
  <c r="AX489"/>
  <c r="AW511"/>
  <c r="AX227"/>
  <c r="AX233"/>
  <c r="AX271"/>
  <c r="AW292"/>
  <c r="AX307"/>
  <c r="AW322"/>
  <c r="AX323"/>
  <c r="AW330"/>
  <c r="AW337"/>
  <c r="AX347"/>
  <c r="AY350"/>
  <c r="AW351"/>
  <c r="AX354"/>
  <c r="AW359"/>
  <c r="AX362"/>
  <c r="AY389"/>
  <c r="AX391"/>
  <c r="AX404"/>
  <c r="AX405"/>
  <c r="AX424"/>
  <c r="AY425"/>
  <c r="AX431"/>
  <c r="AX446"/>
  <c r="AY451"/>
  <c r="BB465"/>
  <c r="BC465" s="1"/>
  <c r="AX466"/>
  <c r="AX486"/>
  <c r="AW506"/>
  <c r="AX508"/>
  <c r="BB401"/>
  <c r="BC401" s="1"/>
  <c r="BB451"/>
  <c r="BC451" s="1"/>
  <c r="AY502"/>
  <c r="AW274"/>
  <c r="AX292"/>
  <c r="AW350"/>
  <c r="AW402"/>
  <c r="AW427"/>
  <c r="AX454"/>
  <c r="AW226"/>
  <c r="AX228"/>
  <c r="AW247"/>
  <c r="AX248"/>
  <c r="AW255"/>
  <c r="AW262"/>
  <c r="AX263"/>
  <c r="AX265"/>
  <c r="AW285"/>
  <c r="AX287"/>
  <c r="AW293"/>
  <c r="AW299"/>
  <c r="AW323"/>
  <c r="AW331"/>
  <c r="AX333"/>
  <c r="AW345"/>
  <c r="AY379"/>
  <c r="AW380"/>
  <c r="AX382"/>
  <c r="AW407"/>
  <c r="AW415"/>
  <c r="AX417"/>
  <c r="AY421"/>
  <c r="AW422"/>
  <c r="AX425"/>
  <c r="AW429"/>
  <c r="AW435"/>
  <c r="BG442"/>
  <c r="AA442" s="1"/>
  <c r="AW449"/>
  <c r="AW460"/>
  <c r="AX467"/>
  <c r="AW484"/>
  <c r="AW507"/>
  <c r="AW409"/>
  <c r="AW412"/>
  <c r="AW453"/>
  <c r="AW301"/>
  <c r="AW388"/>
  <c r="AW394"/>
  <c r="AW400"/>
  <c r="AW403"/>
  <c r="BB478"/>
  <c r="BC478" s="1"/>
  <c r="AY322"/>
  <c r="BB383"/>
  <c r="BC383" s="1"/>
  <c r="AY384"/>
  <c r="BB393"/>
  <c r="BC393" s="1"/>
  <c r="AY440"/>
  <c r="AW454"/>
  <c r="AZ454" s="1"/>
  <c r="BB437"/>
  <c r="BC437" s="1"/>
  <c r="AY447"/>
  <c r="AY305"/>
  <c r="BB315"/>
  <c r="BC315" s="1"/>
  <c r="AW373"/>
  <c r="AY397"/>
  <c r="BB453"/>
  <c r="BC453" s="1"/>
  <c r="BB496"/>
  <c r="BC496" s="1"/>
  <c r="AY510"/>
  <c r="AW386"/>
  <c r="AY229"/>
  <c r="BB375"/>
  <c r="BC375" s="1"/>
  <c r="AW390"/>
  <c r="AW396"/>
  <c r="AW405"/>
  <c r="AW408"/>
  <c r="AW452"/>
  <c r="AW456"/>
  <c r="BB492"/>
  <c r="BC492" s="1"/>
  <c r="AY408"/>
  <c r="AW376"/>
  <c r="AW398"/>
  <c r="AW446"/>
  <c r="BB298"/>
  <c r="BC298" s="1"/>
  <c r="BB362"/>
  <c r="BC362" s="1"/>
  <c r="AY364"/>
  <c r="AW374"/>
  <c r="BB305"/>
  <c r="BC305" s="1"/>
  <c r="AY232"/>
  <c r="AX251"/>
  <c r="AX312"/>
  <c r="AY315"/>
  <c r="AX326"/>
  <c r="AX432"/>
  <c r="AW229"/>
  <c r="AX237"/>
  <c r="BB240"/>
  <c r="BC240" s="1"/>
  <c r="BB241"/>
  <c r="BC241" s="1"/>
  <c r="AW242"/>
  <c r="AX244"/>
  <c r="BG303"/>
  <c r="AA303" s="1"/>
  <c r="BH303"/>
  <c r="BI303" s="1"/>
  <c r="BF303"/>
  <c r="BB323"/>
  <c r="BC323" s="1"/>
  <c r="BB384"/>
  <c r="BC384" s="1"/>
  <c r="AX388"/>
  <c r="AY395"/>
  <c r="BB395"/>
  <c r="BC395" s="1"/>
  <c r="AX396"/>
  <c r="AX415"/>
  <c r="AY306"/>
  <c r="AY339"/>
  <c r="BB339"/>
  <c r="BC339" s="1"/>
  <c r="BB438"/>
  <c r="BC438" s="1"/>
  <c r="AX240"/>
  <c r="AW253"/>
  <c r="AX256"/>
  <c r="AX281"/>
  <c r="AX289"/>
  <c r="BB299"/>
  <c r="BC299" s="1"/>
  <c r="AY333"/>
  <c r="AX409"/>
  <c r="AY321"/>
  <c r="BB321"/>
  <c r="BC321" s="1"/>
  <c r="AY420"/>
  <c r="AX241"/>
  <c r="AX275"/>
  <c r="BH302"/>
  <c r="BI302" s="1"/>
  <c r="BG302"/>
  <c r="AA302" s="1"/>
  <c r="BF302"/>
  <c r="BB310"/>
  <c r="BC310" s="1"/>
  <c r="AX359"/>
  <c r="AZ359" s="1"/>
  <c r="BB364"/>
  <c r="BC364" s="1"/>
  <c r="AX372"/>
  <c r="AY377"/>
  <c r="AX384"/>
  <c r="AY391"/>
  <c r="AY406"/>
  <c r="AY501"/>
  <c r="BF298"/>
  <c r="BG298"/>
  <c r="AA298" s="1"/>
  <c r="AY234"/>
  <c r="AY317"/>
  <c r="AY404"/>
  <c r="AY235"/>
  <c r="AW266"/>
  <c r="BB390"/>
  <c r="BC390" s="1"/>
  <c r="AX249"/>
  <c r="AX258"/>
  <c r="AX264"/>
  <c r="AX270"/>
  <c r="AW282"/>
  <c r="AY310"/>
  <c r="AX332"/>
  <c r="AX420"/>
  <c r="AX438"/>
  <c r="AY444"/>
  <c r="AY452"/>
  <c r="AX470"/>
  <c r="BB471"/>
  <c r="BC471" s="1"/>
  <c r="BB474"/>
  <c r="BC474" s="1"/>
  <c r="AX475"/>
  <c r="AY412"/>
  <c r="AY416"/>
  <c r="AX418"/>
  <c r="AX427"/>
  <c r="AX437"/>
  <c r="AW505"/>
  <c r="BB229"/>
  <c r="BC229" s="1"/>
  <c r="AX231"/>
  <c r="AW234"/>
  <c r="AX242"/>
  <c r="AW246"/>
  <c r="AX255"/>
  <c r="AX262"/>
  <c r="AX268"/>
  <c r="AX273"/>
  <c r="AX288"/>
  <c r="AX294"/>
  <c r="AX295"/>
  <c r="AX301"/>
  <c r="AY309"/>
  <c r="BB316"/>
  <c r="BC316" s="1"/>
  <c r="AX325"/>
  <c r="AX353"/>
  <c r="BB354"/>
  <c r="BC354" s="1"/>
  <c r="AY356"/>
  <c r="AX367"/>
  <c r="BB368"/>
  <c r="BC368" s="1"/>
  <c r="AY385"/>
  <c r="AX386"/>
  <c r="AY387"/>
  <c r="BB387"/>
  <c r="BC387" s="1"/>
  <c r="AY399"/>
  <c r="AX402"/>
  <c r="AY410"/>
  <c r="AX414"/>
  <c r="AW431"/>
  <c r="AW436"/>
  <c r="AX442"/>
  <c r="AX485"/>
  <c r="AW493"/>
  <c r="AW501"/>
  <c r="AX503"/>
  <c r="AW504"/>
  <c r="AX511"/>
  <c r="AX283"/>
  <c r="AW296"/>
  <c r="AW353"/>
  <c r="AZ353" s="1"/>
  <c r="BB382"/>
  <c r="BC382" s="1"/>
  <c r="AW423"/>
  <c r="AX462"/>
  <c r="AW480"/>
  <c r="AW489"/>
  <c r="AX493"/>
  <c r="AY236"/>
  <c r="AW237"/>
  <c r="AW243"/>
  <c r="AW250"/>
  <c r="AX252"/>
  <c r="AW258"/>
  <c r="AW269"/>
  <c r="AW275"/>
  <c r="AX277"/>
  <c r="AX284"/>
  <c r="AW290"/>
  <c r="AX291"/>
  <c r="AY299"/>
  <c r="AX304"/>
  <c r="AW314"/>
  <c r="AX315"/>
  <c r="AW320"/>
  <c r="AW326"/>
  <c r="AY331"/>
  <c r="AX334"/>
  <c r="AW338"/>
  <c r="AY347"/>
  <c r="AW348"/>
  <c r="AW361"/>
  <c r="AW375"/>
  <c r="AW377"/>
  <c r="AY386"/>
  <c r="BB386"/>
  <c r="BC386" s="1"/>
  <c r="AX387"/>
  <c r="AY400"/>
  <c r="BB409"/>
  <c r="BC409" s="1"/>
  <c r="AY427"/>
  <c r="AX429"/>
  <c r="AY437"/>
  <c r="BB442"/>
  <c r="BC442" s="1"/>
  <c r="BH447"/>
  <c r="BI447" s="1"/>
  <c r="AY449"/>
  <c r="AX455"/>
  <c r="AY461"/>
  <c r="AW476"/>
  <c r="AX481"/>
  <c r="AW488"/>
  <c r="AW490"/>
  <c r="AW492"/>
  <c r="AW496"/>
  <c r="AW313"/>
  <c r="AW367"/>
  <c r="AY413"/>
  <c r="AW419"/>
  <c r="AX471"/>
  <c r="AX229"/>
  <c r="AX234"/>
  <c r="AW238"/>
  <c r="AW244"/>
  <c r="AY249"/>
  <c r="AW251"/>
  <c r="AW259"/>
  <c r="AX260"/>
  <c r="AW270"/>
  <c r="AW276"/>
  <c r="AW283"/>
  <c r="BB306"/>
  <c r="BC306" s="1"/>
  <c r="AW307"/>
  <c r="AW315"/>
  <c r="AZ315" s="1"/>
  <c r="AW327"/>
  <c r="AW339"/>
  <c r="AW343"/>
  <c r="AX345"/>
  <c r="AW349"/>
  <c r="AW355"/>
  <c r="AX357"/>
  <c r="AY378"/>
  <c r="AY380"/>
  <c r="AW384"/>
  <c r="BB388"/>
  <c r="BC388" s="1"/>
  <c r="AY394"/>
  <c r="AY396"/>
  <c r="AY407"/>
  <c r="AX410"/>
  <c r="AW416"/>
  <c r="BF446"/>
  <c r="AX448"/>
  <c r="AX468"/>
  <c r="AY472"/>
  <c r="AW486"/>
  <c r="AX494"/>
  <c r="AX495"/>
  <c r="AZ495" s="1"/>
  <c r="AW498"/>
  <c r="AW500"/>
  <c r="AW503"/>
  <c r="BB508"/>
  <c r="BC508" s="1"/>
  <c r="AY512"/>
  <c r="AW289"/>
  <c r="AW342"/>
  <c r="AY390"/>
  <c r="AY411"/>
  <c r="BB411"/>
  <c r="BC411" s="1"/>
  <c r="AW414"/>
  <c r="AX428"/>
  <c r="AY465"/>
  <c r="AW231"/>
  <c r="AW233"/>
  <c r="AX235"/>
  <c r="AY237"/>
  <c r="BB238"/>
  <c r="BC238" s="1"/>
  <c r="AW239"/>
  <c r="AZ239" s="1"/>
  <c r="AW245"/>
  <c r="AW252"/>
  <c r="AW265"/>
  <c r="AZ265" s="1"/>
  <c r="AX272"/>
  <c r="AW277"/>
  <c r="AX278"/>
  <c r="AX279"/>
  <c r="AW284"/>
  <c r="AW291"/>
  <c r="AX293"/>
  <c r="AX300"/>
  <c r="AX305"/>
  <c r="AY308"/>
  <c r="AW316"/>
  <c r="AY316"/>
  <c r="AW328"/>
  <c r="AW334"/>
  <c r="AW344"/>
  <c r="AX351"/>
  <c r="AW356"/>
  <c r="BB356"/>
  <c r="BC356" s="1"/>
  <c r="AW363"/>
  <c r="AX365"/>
  <c r="BB381"/>
  <c r="BC381" s="1"/>
  <c r="AY392"/>
  <c r="AY403"/>
  <c r="BB403"/>
  <c r="BC403" s="1"/>
  <c r="AY405"/>
  <c r="BB416"/>
  <c r="BC416" s="1"/>
  <c r="AW425"/>
  <c r="AX426"/>
  <c r="AW434"/>
  <c r="AX435"/>
  <c r="AW439"/>
  <c r="AW442"/>
  <c r="BG446"/>
  <c r="AA446" s="1"/>
  <c r="AX464"/>
  <c r="AW472"/>
  <c r="AX474"/>
  <c r="AY478"/>
  <c r="AW485"/>
  <c r="AX499"/>
  <c r="BB504"/>
  <c r="BC504" s="1"/>
  <c r="BF300"/>
  <c r="BH300"/>
  <c r="BI300" s="1"/>
  <c r="BG300"/>
  <c r="AA300" s="1"/>
  <c r="AW304"/>
  <c r="BB304"/>
  <c r="BB331"/>
  <c r="AY298"/>
  <c r="AY300"/>
  <c r="BB309"/>
  <c r="AY312"/>
  <c r="AY328"/>
  <c r="BB328"/>
  <c r="AW332"/>
  <c r="BB337"/>
  <c r="BB349"/>
  <c r="BH373"/>
  <c r="BI373" s="1"/>
  <c r="BG373"/>
  <c r="AA373" s="1"/>
  <c r="BF373"/>
  <c r="AY398"/>
  <c r="BB398"/>
  <c r="BB347"/>
  <c r="BB353"/>
  <c r="AX374"/>
  <c r="AY374"/>
  <c r="AY402"/>
  <c r="BB311"/>
  <c r="AY311"/>
  <c r="AY313"/>
  <c r="AX314"/>
  <c r="BB319"/>
  <c r="AY320"/>
  <c r="BB322"/>
  <c r="BB333"/>
  <c r="AY338"/>
  <c r="BB338"/>
  <c r="BB352"/>
  <c r="AW354"/>
  <c r="BB360"/>
  <c r="AW362"/>
  <c r="BB394"/>
  <c r="BB407"/>
  <c r="BH301"/>
  <c r="BI301" s="1"/>
  <c r="BF301"/>
  <c r="BB302"/>
  <c r="AW312"/>
  <c r="BB312"/>
  <c r="BH374"/>
  <c r="BI374" s="1"/>
  <c r="BG374"/>
  <c r="AA374" s="1"/>
  <c r="BF374"/>
  <c r="AY304"/>
  <c r="AW308"/>
  <c r="BB308"/>
  <c r="BB313"/>
  <c r="AY318"/>
  <c r="BB327"/>
  <c r="BB392"/>
  <c r="AW300"/>
  <c r="BB300"/>
  <c r="BB341"/>
  <c r="AY370"/>
  <c r="AW370"/>
  <c r="BB370"/>
  <c r="BB361"/>
  <c r="BG299"/>
  <c r="AA299" s="1"/>
  <c r="BF299"/>
  <c r="AY301"/>
  <c r="BB301"/>
  <c r="BB303"/>
  <c r="AY303"/>
  <c r="BB307"/>
  <c r="AY307"/>
  <c r="AW311"/>
  <c r="AY330"/>
  <c r="BB330"/>
  <c r="BB335"/>
  <c r="AX340"/>
  <c r="BB342"/>
  <c r="AY354"/>
  <c r="AY362"/>
  <c r="BB396"/>
  <c r="BB419"/>
  <c r="AY419"/>
  <c r="BB421"/>
  <c r="BB459"/>
  <c r="BB317"/>
  <c r="AX319"/>
  <c r="AX324"/>
  <c r="BB329"/>
  <c r="AX335"/>
  <c r="AY342"/>
  <c r="AX348"/>
  <c r="BB350"/>
  <c r="AX352"/>
  <c r="AX360"/>
  <c r="AX368"/>
  <c r="AY371"/>
  <c r="AW371"/>
  <c r="BB371"/>
  <c r="AX373"/>
  <c r="AY375"/>
  <c r="BB389"/>
  <c r="BB400"/>
  <c r="BB402"/>
  <c r="AX422"/>
  <c r="AW433"/>
  <c r="BB433"/>
  <c r="AY372"/>
  <c r="AW372"/>
  <c r="BB372"/>
  <c r="BB326"/>
  <c r="BB379"/>
  <c r="AY382"/>
  <c r="BB410"/>
  <c r="AW319"/>
  <c r="BB320"/>
  <c r="AW321"/>
  <c r="AY326"/>
  <c r="AW335"/>
  <c r="AY336"/>
  <c r="AW352"/>
  <c r="BB355"/>
  <c r="AW360"/>
  <c r="BB363"/>
  <c r="AW368"/>
  <c r="BB373"/>
  <c r="BB406"/>
  <c r="BB412"/>
  <c r="BB425"/>
  <c r="BB475"/>
  <c r="AW497"/>
  <c r="AY497"/>
  <c r="AY505"/>
  <c r="BB443"/>
  <c r="AW325"/>
  <c r="AY346"/>
  <c r="BB346"/>
  <c r="BB391"/>
  <c r="AY314"/>
  <c r="BB314"/>
  <c r="AY325"/>
  <c r="BB325"/>
  <c r="AX330"/>
  <c r="AW333"/>
  <c r="BB334"/>
  <c r="BB336"/>
  <c r="AY344"/>
  <c r="AY355"/>
  <c r="AY363"/>
  <c r="BH372"/>
  <c r="BI372" s="1"/>
  <c r="BG372"/>
  <c r="AA372" s="1"/>
  <c r="BF372"/>
  <c r="AY381"/>
  <c r="AY388"/>
  <c r="BB399"/>
  <c r="BB420"/>
  <c r="BB430"/>
  <c r="BB436"/>
  <c r="AX469"/>
  <c r="BB469"/>
  <c r="BB404"/>
  <c r="BH445"/>
  <c r="BI445" s="1"/>
  <c r="BG445"/>
  <c r="AA445" s="1"/>
  <c r="BF445"/>
  <c r="BB345"/>
  <c r="BB408"/>
  <c r="AY508"/>
  <c r="BB318"/>
  <c r="AY319"/>
  <c r="AY323"/>
  <c r="AY334"/>
  <c r="BB343"/>
  <c r="BB344"/>
  <c r="AX346"/>
  <c r="AY352"/>
  <c r="BB357"/>
  <c r="AY360"/>
  <c r="BB365"/>
  <c r="AY368"/>
  <c r="AX371"/>
  <c r="BB415"/>
  <c r="BB428"/>
  <c r="AY341"/>
  <c r="AY349"/>
  <c r="AY353"/>
  <c r="AX358"/>
  <c r="AY361"/>
  <c r="AX366"/>
  <c r="BG371"/>
  <c r="AA371" s="1"/>
  <c r="BF371"/>
  <c r="BB376"/>
  <c r="BB378"/>
  <c r="BB380"/>
  <c r="BB385"/>
  <c r="BB397"/>
  <c r="BB405"/>
  <c r="BB413"/>
  <c r="BB449"/>
  <c r="AX482"/>
  <c r="AY482"/>
  <c r="BB493"/>
  <c r="AY493"/>
  <c r="AW494"/>
  <c r="AY494"/>
  <c r="AY329"/>
  <c r="AY337"/>
  <c r="AY345"/>
  <c r="AY357"/>
  <c r="AY365"/>
  <c r="AY383"/>
  <c r="AW383"/>
  <c r="AY415"/>
  <c r="AX456"/>
  <c r="AY456"/>
  <c r="AX460"/>
  <c r="BB460"/>
  <c r="AY324"/>
  <c r="AY332"/>
  <c r="AY340"/>
  <c r="AY348"/>
  <c r="AX355"/>
  <c r="AY358"/>
  <c r="BB358"/>
  <c r="AX363"/>
  <c r="AY366"/>
  <c r="BB366"/>
  <c r="AX370"/>
  <c r="BB374"/>
  <c r="BG375"/>
  <c r="AA375" s="1"/>
  <c r="BF375"/>
  <c r="AX376"/>
  <c r="AY376"/>
  <c r="BB424"/>
  <c r="BB431"/>
  <c r="AW440"/>
  <c r="BB440"/>
  <c r="AX458"/>
  <c r="AY458"/>
  <c r="BB458"/>
  <c r="BB490"/>
  <c r="AY490"/>
  <c r="AY496"/>
  <c r="BB324"/>
  <c r="AY327"/>
  <c r="BB332"/>
  <c r="AY335"/>
  <c r="BB340"/>
  <c r="AY343"/>
  <c r="BB348"/>
  <c r="AY351"/>
  <c r="BB351"/>
  <c r="AX356"/>
  <c r="AY359"/>
  <c r="BB359"/>
  <c r="AX364"/>
  <c r="AY367"/>
  <c r="BB367"/>
  <c r="BG370"/>
  <c r="AA370" s="1"/>
  <c r="BF370"/>
  <c r="AY373"/>
  <c r="AX381"/>
  <c r="AY393"/>
  <c r="AY401"/>
  <c r="AY409"/>
  <c r="AY414"/>
  <c r="AY417"/>
  <c r="AY422"/>
  <c r="AX423"/>
  <c r="BB423"/>
  <c r="AY423"/>
  <c r="AY424"/>
  <c r="AY426"/>
  <c r="BB429"/>
  <c r="AX430"/>
  <c r="AW432"/>
  <c r="BB432"/>
  <c r="BB417"/>
  <c r="AY418"/>
  <c r="BB447"/>
  <c r="BB450"/>
  <c r="AY454"/>
  <c r="AY455"/>
  <c r="AW455"/>
  <c r="AY475"/>
  <c r="BB435"/>
  <c r="AY445"/>
  <c r="AW445"/>
  <c r="AY450"/>
  <c r="AY453"/>
  <c r="BB461"/>
  <c r="AW479"/>
  <c r="BB479"/>
  <c r="AW481"/>
  <c r="BB481"/>
  <c r="BB377"/>
  <c r="AX390"/>
  <c r="AX392"/>
  <c r="AX395"/>
  <c r="AX398"/>
  <c r="AX400"/>
  <c r="AX403"/>
  <c r="AX406"/>
  <c r="AX408"/>
  <c r="AX411"/>
  <c r="AX419"/>
  <c r="AY429"/>
  <c r="BG444"/>
  <c r="AA444" s="1"/>
  <c r="BF444"/>
  <c r="AY431"/>
  <c r="AY435"/>
  <c r="BB448"/>
  <c r="AY448"/>
  <c r="AX457"/>
  <c r="AY457"/>
  <c r="AW470"/>
  <c r="AY470"/>
  <c r="BB470"/>
  <c r="AW483"/>
  <c r="BB483"/>
  <c r="BB434"/>
  <c r="BB439"/>
  <c r="AY439"/>
  <c r="BB445"/>
  <c r="AY446"/>
  <c r="BB446"/>
  <c r="BB455"/>
  <c r="AW467"/>
  <c r="AY467"/>
  <c r="BB467"/>
  <c r="BB414"/>
  <c r="BB418"/>
  <c r="BB422"/>
  <c r="BB426"/>
  <c r="BB427"/>
  <c r="BF443"/>
  <c r="BG443"/>
  <c r="AA443" s="1"/>
  <c r="BB454"/>
  <c r="AY460"/>
  <c r="BB463"/>
  <c r="AY476"/>
  <c r="AY428"/>
  <c r="AY432"/>
  <c r="AY434"/>
  <c r="AY438"/>
  <c r="AX445"/>
  <c r="AW464"/>
  <c r="BB464"/>
  <c r="AX480"/>
  <c r="AY480"/>
  <c r="BB485"/>
  <c r="AY485"/>
  <c r="BB498"/>
  <c r="AY498"/>
  <c r="AY504"/>
  <c r="AY430"/>
  <c r="AY436"/>
  <c r="BB444"/>
  <c r="BF447"/>
  <c r="AX451"/>
  <c r="BB457"/>
  <c r="AW469"/>
  <c r="AY469"/>
  <c r="AY489"/>
  <c r="BB501"/>
  <c r="BB509"/>
  <c r="AY509"/>
  <c r="AY433"/>
  <c r="AY442"/>
  <c r="BB456"/>
  <c r="AW461"/>
  <c r="AY462"/>
  <c r="AW465"/>
  <c r="AY466"/>
  <c r="AW468"/>
  <c r="AY468"/>
  <c r="BB468"/>
  <c r="AX472"/>
  <c r="BB473"/>
  <c r="AW477"/>
  <c r="BB477"/>
  <c r="BB482"/>
  <c r="BB484"/>
  <c r="AY484"/>
  <c r="AY459"/>
  <c r="AW466"/>
  <c r="BB466"/>
  <c r="AY479"/>
  <c r="BB486"/>
  <c r="AY486"/>
  <c r="AX487"/>
  <c r="BB488"/>
  <c r="AY488"/>
  <c r="BB506"/>
  <c r="AY506"/>
  <c r="BB452"/>
  <c r="AW462"/>
  <c r="BB462"/>
  <c r="AY463"/>
  <c r="AW471"/>
  <c r="AY481"/>
  <c r="BB502"/>
  <c r="AY464"/>
  <c r="AW475"/>
  <c r="BB476"/>
  <c r="AX478"/>
  <c r="BB489"/>
  <c r="AY471"/>
  <c r="AY477"/>
  <c r="AY483"/>
  <c r="AX491"/>
  <c r="BB494"/>
  <c r="BB500"/>
  <c r="AY500"/>
  <c r="BB512"/>
  <c r="BB472"/>
  <c r="AY492"/>
  <c r="BB505"/>
  <c r="AX509"/>
  <c r="AW459"/>
  <c r="AW463"/>
  <c r="BB480"/>
  <c r="BB497"/>
  <c r="AX501"/>
  <c r="AX507"/>
  <c r="BB510"/>
  <c r="AW474"/>
  <c r="AW478"/>
  <c r="AW482"/>
  <c r="BB487"/>
  <c r="AY487"/>
  <c r="BB491"/>
  <c r="AY491"/>
  <c r="BB495"/>
  <c r="AY495"/>
  <c r="BB499"/>
  <c r="AY499"/>
  <c r="BB503"/>
  <c r="AY503"/>
  <c r="BB507"/>
  <c r="AY507"/>
  <c r="BB511"/>
  <c r="AY511"/>
  <c r="AW271"/>
  <c r="AY271"/>
  <c r="BB242"/>
  <c r="BC242" s="1"/>
  <c r="BB243"/>
  <c r="BC243" s="1"/>
  <c r="BB256"/>
  <c r="BC256" s="1"/>
  <c r="AY296"/>
  <c r="AY226"/>
  <c r="AY230"/>
  <c r="AY233"/>
  <c r="AY239"/>
  <c r="AY245"/>
  <c r="AY251"/>
  <c r="AY256"/>
  <c r="AY268"/>
  <c r="AY287"/>
  <c r="AY279"/>
  <c r="AY227"/>
  <c r="AY252"/>
  <c r="BB230"/>
  <c r="BC230" s="1"/>
  <c r="BB239"/>
  <c r="BC239" s="1"/>
  <c r="BB264"/>
  <c r="BC264" s="1"/>
  <c r="BB260"/>
  <c r="BC260" s="1"/>
  <c r="BB262"/>
  <c r="BC262" s="1"/>
  <c r="BB271"/>
  <c r="BC271" s="1"/>
  <c r="BB259"/>
  <c r="BC259" s="1"/>
  <c r="AY228"/>
  <c r="BF230"/>
  <c r="BH230"/>
  <c r="BI230" s="1"/>
  <c r="BG230"/>
  <c r="AA230" s="1"/>
  <c r="AW232"/>
  <c r="BB232"/>
  <c r="BB228"/>
  <c r="AW228"/>
  <c r="BG229"/>
  <c r="AA229" s="1"/>
  <c r="BH229"/>
  <c r="BI229" s="1"/>
  <c r="BF229"/>
  <c r="BG227"/>
  <c r="AA227" s="1"/>
  <c r="BF227"/>
  <c r="BH227"/>
  <c r="BI227" s="1"/>
  <c r="BG226"/>
  <c r="AA226" s="1"/>
  <c r="BF226"/>
  <c r="BH226"/>
  <c r="BI226" s="1"/>
  <c r="AW257"/>
  <c r="BB257"/>
  <c r="BG231"/>
  <c r="AA231" s="1"/>
  <c r="BF231"/>
  <c r="BH231"/>
  <c r="BI231" s="1"/>
  <c r="BB235"/>
  <c r="AX261"/>
  <c r="BB268"/>
  <c r="BB281"/>
  <c r="AY281"/>
  <c r="BB227"/>
  <c r="BB231"/>
  <c r="BB246"/>
  <c r="BB275"/>
  <c r="AY275"/>
  <c r="BB284"/>
  <c r="AY284"/>
  <c r="BB233"/>
  <c r="AY240"/>
  <c r="BB251"/>
  <c r="BB226"/>
  <c r="BB236"/>
  <c r="BB244"/>
  <c r="AY241"/>
  <c r="AY242"/>
  <c r="AY243"/>
  <c r="AY244"/>
  <c r="AY248"/>
  <c r="AY250"/>
  <c r="AY265"/>
  <c r="AY269"/>
  <c r="BB276"/>
  <c r="AY276"/>
  <c r="BB288"/>
  <c r="AY288"/>
  <c r="AY295"/>
  <c r="BB266"/>
  <c r="AY266"/>
  <c r="BB272"/>
  <c r="AY272"/>
  <c r="BF228"/>
  <c r="BB273"/>
  <c r="AY273"/>
  <c r="BH228"/>
  <c r="BI228" s="1"/>
  <c r="BB234"/>
  <c r="BB237"/>
  <c r="AW254"/>
  <c r="AY254"/>
  <c r="BB289"/>
  <c r="AY289"/>
  <c r="BB280"/>
  <c r="AY280"/>
  <c r="BB269"/>
  <c r="AW261"/>
  <c r="BB261"/>
  <c r="BB263"/>
  <c r="BB265"/>
  <c r="BB291"/>
  <c r="AY291"/>
  <c r="BB247"/>
  <c r="AY258"/>
  <c r="AY262"/>
  <c r="AY264"/>
  <c r="AY270"/>
  <c r="BB283"/>
  <c r="AY283"/>
  <c r="BB292"/>
  <c r="AY292"/>
  <c r="AX257"/>
  <c r="BB267"/>
  <c r="BB270"/>
  <c r="BB248"/>
  <c r="BB254"/>
  <c r="BB255"/>
  <c r="BB258"/>
  <c r="AY261"/>
  <c r="AY277"/>
  <c r="BB249"/>
  <c r="BB253"/>
  <c r="AY253"/>
  <c r="AY257"/>
  <c r="AY274"/>
  <c r="AW278"/>
  <c r="AY278"/>
  <c r="AY282"/>
  <c r="AW286"/>
  <c r="AY286"/>
  <c r="AY290"/>
  <c r="AW294"/>
  <c r="AY294"/>
  <c r="BB245"/>
  <c r="BB250"/>
  <c r="BB252"/>
  <c r="AX269"/>
  <c r="BB296"/>
  <c r="AY255"/>
  <c r="AW256"/>
  <c r="AY259"/>
  <c r="AW260"/>
  <c r="AY263"/>
  <c r="AW264"/>
  <c r="AY267"/>
  <c r="AW268"/>
  <c r="BB274"/>
  <c r="BB282"/>
  <c r="BB290"/>
  <c r="BB279"/>
  <c r="BB287"/>
  <c r="BB295"/>
  <c r="BB278"/>
  <c r="AY285"/>
  <c r="BB286"/>
  <c r="AY293"/>
  <c r="BB294"/>
  <c r="BB277"/>
  <c r="BB285"/>
  <c r="BB293"/>
  <c r="AV224"/>
  <c r="AU224"/>
  <c r="AT224"/>
  <c r="AS224"/>
  <c r="AP224"/>
  <c r="AO224"/>
  <c r="AN224"/>
  <c r="AR224" s="1"/>
  <c r="AV223"/>
  <c r="AU223"/>
  <c r="AT223"/>
  <c r="AS223"/>
  <c r="AP223"/>
  <c r="AO223"/>
  <c r="AN223"/>
  <c r="AR223" s="1"/>
  <c r="AV222"/>
  <c r="AU222"/>
  <c r="AT222"/>
  <c r="AS222"/>
  <c r="AP222"/>
  <c r="AO222"/>
  <c r="AN222"/>
  <c r="AR222" s="1"/>
  <c r="AV221"/>
  <c r="AU221"/>
  <c r="AT221"/>
  <c r="AS221"/>
  <c r="AP221"/>
  <c r="AO221"/>
  <c r="AN221"/>
  <c r="AR221" s="1"/>
  <c r="AV220"/>
  <c r="AU220"/>
  <c r="AT220"/>
  <c r="AS220"/>
  <c r="AP220"/>
  <c r="AO220"/>
  <c r="AN220"/>
  <c r="AR220" s="1"/>
  <c r="AV219"/>
  <c r="AU219"/>
  <c r="AT219"/>
  <c r="AS219"/>
  <c r="AP219"/>
  <c r="AO219"/>
  <c r="AN219"/>
  <c r="AR219" s="1"/>
  <c r="AV218"/>
  <c r="AU218"/>
  <c r="AT218"/>
  <c r="AS218"/>
  <c r="AP218"/>
  <c r="AO218"/>
  <c r="AN218"/>
  <c r="AR218" s="1"/>
  <c r="AV217"/>
  <c r="AU217"/>
  <c r="AT217"/>
  <c r="AS217"/>
  <c r="AP217"/>
  <c r="AO217"/>
  <c r="AN217"/>
  <c r="AR217" s="1"/>
  <c r="AV216"/>
  <c r="AU216"/>
  <c r="AT216"/>
  <c r="AS216"/>
  <c r="AP216"/>
  <c r="AO216"/>
  <c r="AN216"/>
  <c r="AR216" s="1"/>
  <c r="AV215"/>
  <c r="AU215"/>
  <c r="AT215"/>
  <c r="AS215"/>
  <c r="AP215"/>
  <c r="AO215"/>
  <c r="AN215"/>
  <c r="AR215" s="1"/>
  <c r="AV214"/>
  <c r="AU214"/>
  <c r="AT214"/>
  <c r="AS214"/>
  <c r="AP214"/>
  <c r="AO214"/>
  <c r="AN214"/>
  <c r="AR214" s="1"/>
  <c r="AV213"/>
  <c r="AU213"/>
  <c r="AT213"/>
  <c r="AS213"/>
  <c r="AP213"/>
  <c r="AO213"/>
  <c r="AN213"/>
  <c r="AR213" s="1"/>
  <c r="AV212"/>
  <c r="AU212"/>
  <c r="AT212"/>
  <c r="AS212"/>
  <c r="AP212"/>
  <c r="AO212"/>
  <c r="AN212"/>
  <c r="AR212" s="1"/>
  <c r="AV211"/>
  <c r="AU211"/>
  <c r="AT211"/>
  <c r="AS211"/>
  <c r="AP211"/>
  <c r="AO211"/>
  <c r="AN211"/>
  <c r="AR211" s="1"/>
  <c r="AV210"/>
  <c r="AU210"/>
  <c r="AT210"/>
  <c r="AS210"/>
  <c r="AP210"/>
  <c r="AO210"/>
  <c r="AN210"/>
  <c r="AR210" s="1"/>
  <c r="AV209"/>
  <c r="AU209"/>
  <c r="AT209"/>
  <c r="AS209"/>
  <c r="AP209"/>
  <c r="AO209"/>
  <c r="AN209"/>
  <c r="AR209" s="1"/>
  <c r="AV208"/>
  <c r="AU208"/>
  <c r="AT208"/>
  <c r="AS208"/>
  <c r="AP208"/>
  <c r="AO208"/>
  <c r="AN208"/>
  <c r="AR208" s="1"/>
  <c r="AV207"/>
  <c r="AU207"/>
  <c r="AT207"/>
  <c r="AS207"/>
  <c r="AP207"/>
  <c r="AO207"/>
  <c r="AN207"/>
  <c r="AR207" s="1"/>
  <c r="AV206"/>
  <c r="AU206"/>
  <c r="AT206"/>
  <c r="AS206"/>
  <c r="AP206"/>
  <c r="AO206"/>
  <c r="AN206"/>
  <c r="AR206" s="1"/>
  <c r="AV205"/>
  <c r="AU205"/>
  <c r="AT205"/>
  <c r="AS205"/>
  <c r="AP205"/>
  <c r="AO205"/>
  <c r="AN205"/>
  <c r="AR205" s="1"/>
  <c r="AV204"/>
  <c r="AU204"/>
  <c r="AT204"/>
  <c r="AS204"/>
  <c r="AP204"/>
  <c r="AO204"/>
  <c r="AN204"/>
  <c r="AR204" s="1"/>
  <c r="AV203"/>
  <c r="AU203"/>
  <c r="AT203"/>
  <c r="AS203"/>
  <c r="AP203"/>
  <c r="AO203"/>
  <c r="AN203"/>
  <c r="AR203" s="1"/>
  <c r="AV202"/>
  <c r="AU202"/>
  <c r="AT202"/>
  <c r="AS202"/>
  <c r="AP202"/>
  <c r="AO202"/>
  <c r="AN202"/>
  <c r="AR202" s="1"/>
  <c r="AV201"/>
  <c r="AU201"/>
  <c r="AT201"/>
  <c r="AS201"/>
  <c r="AP201"/>
  <c r="AO201"/>
  <c r="AN201"/>
  <c r="AR201" s="1"/>
  <c r="AV200"/>
  <c r="AU200"/>
  <c r="AT200"/>
  <c r="AS200"/>
  <c r="AP200"/>
  <c r="AO200"/>
  <c r="AN200"/>
  <c r="AR200" s="1"/>
  <c r="AV199"/>
  <c r="AU199"/>
  <c r="AT199"/>
  <c r="AS199"/>
  <c r="AP199"/>
  <c r="AO199"/>
  <c r="AN199"/>
  <c r="AR199" s="1"/>
  <c r="AV198"/>
  <c r="AU198"/>
  <c r="AT198"/>
  <c r="AS198"/>
  <c r="AP198"/>
  <c r="AO198"/>
  <c r="AN198"/>
  <c r="AR198" s="1"/>
  <c r="AV197"/>
  <c r="AU197"/>
  <c r="AT197"/>
  <c r="AS197"/>
  <c r="AP197"/>
  <c r="AO197"/>
  <c r="AN197"/>
  <c r="AR197" s="1"/>
  <c r="AV196"/>
  <c r="AU196"/>
  <c r="AT196"/>
  <c r="AS196"/>
  <c r="AP196"/>
  <c r="AO196"/>
  <c r="AN196"/>
  <c r="AR196" s="1"/>
  <c r="AV195"/>
  <c r="AU195"/>
  <c r="AT195"/>
  <c r="AS195"/>
  <c r="AP195"/>
  <c r="AO195"/>
  <c r="AN195"/>
  <c r="AR195" s="1"/>
  <c r="AV194"/>
  <c r="AU194"/>
  <c r="AT194"/>
  <c r="AS194"/>
  <c r="AP194"/>
  <c r="AO194"/>
  <c r="AN194"/>
  <c r="AR194" s="1"/>
  <c r="AV193"/>
  <c r="AU193"/>
  <c r="AT193"/>
  <c r="AS193"/>
  <c r="AP193"/>
  <c r="AO193"/>
  <c r="AN193"/>
  <c r="AR193" s="1"/>
  <c r="AV192"/>
  <c r="AU192"/>
  <c r="AT192"/>
  <c r="AS192"/>
  <c r="AP192"/>
  <c r="AO192"/>
  <c r="AN192"/>
  <c r="AR192" s="1"/>
  <c r="AV191"/>
  <c r="AU191"/>
  <c r="AT191"/>
  <c r="AS191"/>
  <c r="AP191"/>
  <c r="AO191"/>
  <c r="AN191"/>
  <c r="AR191" s="1"/>
  <c r="AV190"/>
  <c r="AU190"/>
  <c r="AT190"/>
  <c r="AS190"/>
  <c r="AP190"/>
  <c r="AO190"/>
  <c r="AN190"/>
  <c r="AR190" s="1"/>
  <c r="AV189"/>
  <c r="AU189"/>
  <c r="AT189"/>
  <c r="AS189"/>
  <c r="AP189"/>
  <c r="AO189"/>
  <c r="AN189"/>
  <c r="AR189" s="1"/>
  <c r="AV188"/>
  <c r="AU188"/>
  <c r="AT188"/>
  <c r="AS188"/>
  <c r="AP188"/>
  <c r="AO188"/>
  <c r="AN188"/>
  <c r="AR188" s="1"/>
  <c r="AV187"/>
  <c r="AU187"/>
  <c r="AT187"/>
  <c r="AS187"/>
  <c r="AP187"/>
  <c r="AO187"/>
  <c r="AN187"/>
  <c r="AR187" s="1"/>
  <c r="AV186"/>
  <c r="AU186"/>
  <c r="AT186"/>
  <c r="AS186"/>
  <c r="AP186"/>
  <c r="AO186"/>
  <c r="AN186"/>
  <c r="AR186" s="1"/>
  <c r="AV185"/>
  <c r="AU185"/>
  <c r="AT185"/>
  <c r="AS185"/>
  <c r="AP185"/>
  <c r="AO185"/>
  <c r="AN185"/>
  <c r="AR185" s="1"/>
  <c r="AV184"/>
  <c r="AU184"/>
  <c r="AT184"/>
  <c r="AS184"/>
  <c r="AP184"/>
  <c r="AO184"/>
  <c r="AN184"/>
  <c r="AR184" s="1"/>
  <c r="AV183"/>
  <c r="AU183"/>
  <c r="AT183"/>
  <c r="AS183"/>
  <c r="AP183"/>
  <c r="AO183"/>
  <c r="AN183"/>
  <c r="AR183" s="1"/>
  <c r="AV182"/>
  <c r="AU182"/>
  <c r="AT182"/>
  <c r="AS182"/>
  <c r="AP182"/>
  <c r="AO182"/>
  <c r="AN182"/>
  <c r="AR182" s="1"/>
  <c r="AV181"/>
  <c r="AU181"/>
  <c r="AT181"/>
  <c r="AS181"/>
  <c r="AP181"/>
  <c r="AO181"/>
  <c r="AN181"/>
  <c r="AR181" s="1"/>
  <c r="AV180"/>
  <c r="AU180"/>
  <c r="AT180"/>
  <c r="AS180"/>
  <c r="AP180"/>
  <c r="AO180"/>
  <c r="AN180"/>
  <c r="AR180" s="1"/>
  <c r="AV179"/>
  <c r="AU179"/>
  <c r="AT179"/>
  <c r="AS179"/>
  <c r="AP179"/>
  <c r="AO179"/>
  <c r="AN179"/>
  <c r="AR179" s="1"/>
  <c r="AV178"/>
  <c r="AU178"/>
  <c r="AT178"/>
  <c r="AS178"/>
  <c r="AP178"/>
  <c r="AO178"/>
  <c r="AN178"/>
  <c r="AR178" s="1"/>
  <c r="AV177"/>
  <c r="AU177"/>
  <c r="AT177"/>
  <c r="AS177"/>
  <c r="AP177"/>
  <c r="AO177"/>
  <c r="AN177"/>
  <c r="AR177" s="1"/>
  <c r="AV176"/>
  <c r="AU176"/>
  <c r="AT176"/>
  <c r="AS176"/>
  <c r="AP176"/>
  <c r="AO176"/>
  <c r="AN176"/>
  <c r="AR176" s="1"/>
  <c r="AV175"/>
  <c r="AU175"/>
  <c r="AT175"/>
  <c r="AS175"/>
  <c r="AP175"/>
  <c r="AO175"/>
  <c r="AN175"/>
  <c r="AR175" s="1"/>
  <c r="AV174"/>
  <c r="AU174"/>
  <c r="AT174"/>
  <c r="AS174"/>
  <c r="AP174"/>
  <c r="AO174"/>
  <c r="AN174"/>
  <c r="AR174" s="1"/>
  <c r="AV173"/>
  <c r="AU173"/>
  <c r="AT173"/>
  <c r="AS173"/>
  <c r="AP173"/>
  <c r="AO173"/>
  <c r="AN173"/>
  <c r="AR173" s="1"/>
  <c r="AV172"/>
  <c r="AU172"/>
  <c r="AT172"/>
  <c r="AS172"/>
  <c r="AP172"/>
  <c r="AO172"/>
  <c r="AN172"/>
  <c r="AR172" s="1"/>
  <c r="AV171"/>
  <c r="AU171"/>
  <c r="AT171"/>
  <c r="AS171"/>
  <c r="AP171"/>
  <c r="AO171"/>
  <c r="AN171"/>
  <c r="AR171" s="1"/>
  <c r="AV170"/>
  <c r="AU170"/>
  <c r="AT170"/>
  <c r="AS170"/>
  <c r="AP170"/>
  <c r="AO170"/>
  <c r="AN170"/>
  <c r="AR170" s="1"/>
  <c r="AV169"/>
  <c r="AU169"/>
  <c r="AT169"/>
  <c r="AS169"/>
  <c r="AP169"/>
  <c r="AO169"/>
  <c r="AN169"/>
  <c r="AR169" s="1"/>
  <c r="AV168"/>
  <c r="AU168"/>
  <c r="AT168"/>
  <c r="AS168"/>
  <c r="AP168"/>
  <c r="AO168"/>
  <c r="AN168"/>
  <c r="AR168" s="1"/>
  <c r="AV167"/>
  <c r="AU167"/>
  <c r="AT167"/>
  <c r="AS167"/>
  <c r="AP167"/>
  <c r="AO167"/>
  <c r="AN167"/>
  <c r="AR167" s="1"/>
  <c r="AV166"/>
  <c r="AU166"/>
  <c r="AT166"/>
  <c r="AS166"/>
  <c r="AP166"/>
  <c r="AO166"/>
  <c r="AN166"/>
  <c r="AR166" s="1"/>
  <c r="AV165"/>
  <c r="AU165"/>
  <c r="AT165"/>
  <c r="AS165"/>
  <c r="AP165"/>
  <c r="AO165"/>
  <c r="AN165"/>
  <c r="AR165" s="1"/>
  <c r="AV164"/>
  <c r="AU164"/>
  <c r="AT164"/>
  <c r="AS164"/>
  <c r="AP164"/>
  <c r="AO164"/>
  <c r="AN164"/>
  <c r="AR164" s="1"/>
  <c r="AV163"/>
  <c r="AU163"/>
  <c r="AT163"/>
  <c r="AS163"/>
  <c r="AP163"/>
  <c r="AO163"/>
  <c r="AN163"/>
  <c r="AR163" s="1"/>
  <c r="AV162"/>
  <c r="AU162"/>
  <c r="AT162"/>
  <c r="AS162"/>
  <c r="AP162"/>
  <c r="AO162"/>
  <c r="AN162"/>
  <c r="AR162" s="1"/>
  <c r="AV161"/>
  <c r="AU161"/>
  <c r="AT161"/>
  <c r="AS161"/>
  <c r="AP161"/>
  <c r="AO161"/>
  <c r="AN161"/>
  <c r="AR161" s="1"/>
  <c r="AV160"/>
  <c r="AU160"/>
  <c r="AT160"/>
  <c r="AS160"/>
  <c r="AP160"/>
  <c r="AO160"/>
  <c r="AN160"/>
  <c r="AR160" s="1"/>
  <c r="AV159"/>
  <c r="AU159"/>
  <c r="AT159"/>
  <c r="AS159"/>
  <c r="AP159"/>
  <c r="AO159"/>
  <c r="AN159"/>
  <c r="AR159" s="1"/>
  <c r="BE159"/>
  <c r="AB159" s="1"/>
  <c r="AV158"/>
  <c r="AU158"/>
  <c r="AT158"/>
  <c r="AS158"/>
  <c r="AP158"/>
  <c r="AO158"/>
  <c r="AN158"/>
  <c r="AR158" s="1"/>
  <c r="BE158"/>
  <c r="AV157"/>
  <c r="AU157"/>
  <c r="AT157"/>
  <c r="AS157"/>
  <c r="AP157"/>
  <c r="AO157"/>
  <c r="AN157"/>
  <c r="AR157" s="1"/>
  <c r="BE157"/>
  <c r="AB157" s="1"/>
  <c r="AV156"/>
  <c r="AU156"/>
  <c r="AT156"/>
  <c r="AS156"/>
  <c r="AP156"/>
  <c r="AO156"/>
  <c r="AN156"/>
  <c r="AR156" s="1"/>
  <c r="BE156"/>
  <c r="AV155"/>
  <c r="AU155"/>
  <c r="AT155"/>
  <c r="AS155"/>
  <c r="AP155"/>
  <c r="AO155"/>
  <c r="AN155"/>
  <c r="AR155" s="1"/>
  <c r="BE155"/>
  <c r="AB155" s="1"/>
  <c r="AV154"/>
  <c r="AU154"/>
  <c r="AT154"/>
  <c r="AS154"/>
  <c r="AP154"/>
  <c r="AO154"/>
  <c r="AN154"/>
  <c r="AR154" s="1"/>
  <c r="BE154"/>
  <c r="AV152"/>
  <c r="AU152"/>
  <c r="AT152"/>
  <c r="AS152"/>
  <c r="AP152"/>
  <c r="AO152"/>
  <c r="AN152"/>
  <c r="AR152" s="1"/>
  <c r="AV151"/>
  <c r="AU151"/>
  <c r="AT151"/>
  <c r="AS151"/>
  <c r="AP151"/>
  <c r="AO151"/>
  <c r="AN151"/>
  <c r="AR151" s="1"/>
  <c r="AV150"/>
  <c r="AU150"/>
  <c r="AT150"/>
  <c r="AS150"/>
  <c r="AP150"/>
  <c r="AO150"/>
  <c r="AN150"/>
  <c r="AR150" s="1"/>
  <c r="AV149"/>
  <c r="AU149"/>
  <c r="AT149"/>
  <c r="AS149"/>
  <c r="AP149"/>
  <c r="AO149"/>
  <c r="AN149"/>
  <c r="AR149" s="1"/>
  <c r="AV148"/>
  <c r="AU148"/>
  <c r="AT148"/>
  <c r="AS148"/>
  <c r="AP148"/>
  <c r="AO148"/>
  <c r="AN148"/>
  <c r="AR148" s="1"/>
  <c r="AV147"/>
  <c r="AU147"/>
  <c r="AT147"/>
  <c r="AS147"/>
  <c r="AP147"/>
  <c r="AO147"/>
  <c r="AN147"/>
  <c r="AR147" s="1"/>
  <c r="AV146"/>
  <c r="AU146"/>
  <c r="AT146"/>
  <c r="AS146"/>
  <c r="AP146"/>
  <c r="AO146"/>
  <c r="AN146"/>
  <c r="AR146" s="1"/>
  <c r="AV145"/>
  <c r="AU145"/>
  <c r="AT145"/>
  <c r="AS145"/>
  <c r="AP145"/>
  <c r="AO145"/>
  <c r="AN145"/>
  <c r="AR145" s="1"/>
  <c r="AV144"/>
  <c r="AU144"/>
  <c r="AT144"/>
  <c r="AS144"/>
  <c r="AP144"/>
  <c r="AO144"/>
  <c r="AN144"/>
  <c r="AR144" s="1"/>
  <c r="AV143"/>
  <c r="AU143"/>
  <c r="AT143"/>
  <c r="AS143"/>
  <c r="AP143"/>
  <c r="AO143"/>
  <c r="AN143"/>
  <c r="AR143" s="1"/>
  <c r="AV142"/>
  <c r="AU142"/>
  <c r="AT142"/>
  <c r="AS142"/>
  <c r="AP142"/>
  <c r="AO142"/>
  <c r="AN142"/>
  <c r="AR142" s="1"/>
  <c r="AV141"/>
  <c r="AU141"/>
  <c r="AT141"/>
  <c r="AS141"/>
  <c r="AP141"/>
  <c r="AO141"/>
  <c r="AN141"/>
  <c r="AR141" s="1"/>
  <c r="AV140"/>
  <c r="AU140"/>
  <c r="AT140"/>
  <c r="AS140"/>
  <c r="AP140"/>
  <c r="AO140"/>
  <c r="AN140"/>
  <c r="AR140" s="1"/>
  <c r="AV139"/>
  <c r="AU139"/>
  <c r="AT139"/>
  <c r="AS139"/>
  <c r="AP139"/>
  <c r="AO139"/>
  <c r="AN139"/>
  <c r="AR139" s="1"/>
  <c r="AV138"/>
  <c r="AU138"/>
  <c r="AT138"/>
  <c r="AS138"/>
  <c r="AP138"/>
  <c r="AO138"/>
  <c r="AN138"/>
  <c r="AR138" s="1"/>
  <c r="AV137"/>
  <c r="AU137"/>
  <c r="AT137"/>
  <c r="AS137"/>
  <c r="AP137"/>
  <c r="AO137"/>
  <c r="AN137"/>
  <c r="AR137" s="1"/>
  <c r="AV136"/>
  <c r="AU136"/>
  <c r="AT136"/>
  <c r="AS136"/>
  <c r="AP136"/>
  <c r="AO136"/>
  <c r="AN136"/>
  <c r="AR136" s="1"/>
  <c r="AV135"/>
  <c r="AU135"/>
  <c r="AT135"/>
  <c r="AS135"/>
  <c r="AP135"/>
  <c r="AO135"/>
  <c r="AN135"/>
  <c r="AR135" s="1"/>
  <c r="AV134"/>
  <c r="AU134"/>
  <c r="AT134"/>
  <c r="AS134"/>
  <c r="AP134"/>
  <c r="AO134"/>
  <c r="AN134"/>
  <c r="AR134" s="1"/>
  <c r="AV133"/>
  <c r="AU133"/>
  <c r="AT133"/>
  <c r="AS133"/>
  <c r="AP133"/>
  <c r="AO133"/>
  <c r="AN133"/>
  <c r="AR133" s="1"/>
  <c r="AV132"/>
  <c r="AU132"/>
  <c r="AT132"/>
  <c r="AS132"/>
  <c r="AP132"/>
  <c r="AO132"/>
  <c r="AN132"/>
  <c r="AR132" s="1"/>
  <c r="AV131"/>
  <c r="AU131"/>
  <c r="AT131"/>
  <c r="AS131"/>
  <c r="AP131"/>
  <c r="AO131"/>
  <c r="AN131"/>
  <c r="AR131" s="1"/>
  <c r="AV130"/>
  <c r="AU130"/>
  <c r="AT130"/>
  <c r="AS130"/>
  <c r="AP130"/>
  <c r="AO130"/>
  <c r="AN130"/>
  <c r="AR130" s="1"/>
  <c r="AV129"/>
  <c r="AU129"/>
  <c r="AT129"/>
  <c r="AS129"/>
  <c r="AP129"/>
  <c r="AO129"/>
  <c r="AN129"/>
  <c r="AR129" s="1"/>
  <c r="AV128"/>
  <c r="AU128"/>
  <c r="AT128"/>
  <c r="AS128"/>
  <c r="AP128"/>
  <c r="AO128"/>
  <c r="AN128"/>
  <c r="AR128" s="1"/>
  <c r="AV127"/>
  <c r="AU127"/>
  <c r="AT127"/>
  <c r="AS127"/>
  <c r="AP127"/>
  <c r="AO127"/>
  <c r="AN127"/>
  <c r="AR127" s="1"/>
  <c r="AV126"/>
  <c r="AU126"/>
  <c r="AT126"/>
  <c r="AS126"/>
  <c r="AP126"/>
  <c r="AO126"/>
  <c r="AN126"/>
  <c r="AR126" s="1"/>
  <c r="AV125"/>
  <c r="AU125"/>
  <c r="AT125"/>
  <c r="AS125"/>
  <c r="AP125"/>
  <c r="AO125"/>
  <c r="AN125"/>
  <c r="AR125" s="1"/>
  <c r="AV124"/>
  <c r="AU124"/>
  <c r="AT124"/>
  <c r="AS124"/>
  <c r="AP124"/>
  <c r="AO124"/>
  <c r="AN124"/>
  <c r="AR124" s="1"/>
  <c r="AV123"/>
  <c r="AU123"/>
  <c r="AT123"/>
  <c r="AS123"/>
  <c r="AP123"/>
  <c r="AO123"/>
  <c r="AN123"/>
  <c r="AR123" s="1"/>
  <c r="AV122"/>
  <c r="AU122"/>
  <c r="AT122"/>
  <c r="AS122"/>
  <c r="AP122"/>
  <c r="AO122"/>
  <c r="AN122"/>
  <c r="AR122" s="1"/>
  <c r="AV121"/>
  <c r="AU121"/>
  <c r="AT121"/>
  <c r="AS121"/>
  <c r="AP121"/>
  <c r="AO121"/>
  <c r="AN121"/>
  <c r="AR121" s="1"/>
  <c r="AV120"/>
  <c r="AU120"/>
  <c r="AT120"/>
  <c r="AS120"/>
  <c r="AP120"/>
  <c r="AO120"/>
  <c r="AN120"/>
  <c r="AR120" s="1"/>
  <c r="AV119"/>
  <c r="AU119"/>
  <c r="AT119"/>
  <c r="AS119"/>
  <c r="AP119"/>
  <c r="AO119"/>
  <c r="AN119"/>
  <c r="AR119" s="1"/>
  <c r="AV118"/>
  <c r="AU118"/>
  <c r="AT118"/>
  <c r="AS118"/>
  <c r="AP118"/>
  <c r="AO118"/>
  <c r="AN118"/>
  <c r="AR118" s="1"/>
  <c r="AV117"/>
  <c r="AU117"/>
  <c r="AT117"/>
  <c r="AS117"/>
  <c r="AP117"/>
  <c r="AO117"/>
  <c r="AN117"/>
  <c r="AR117" s="1"/>
  <c r="AV116"/>
  <c r="AU116"/>
  <c r="AT116"/>
  <c r="AS116"/>
  <c r="AP116"/>
  <c r="AO116"/>
  <c r="AN116"/>
  <c r="AR116" s="1"/>
  <c r="AV115"/>
  <c r="AU115"/>
  <c r="AT115"/>
  <c r="AS115"/>
  <c r="AP115"/>
  <c r="AO115"/>
  <c r="AN115"/>
  <c r="AR115" s="1"/>
  <c r="AV114"/>
  <c r="AU114"/>
  <c r="AT114"/>
  <c r="AS114"/>
  <c r="AP114"/>
  <c r="AO114"/>
  <c r="AN114"/>
  <c r="AR114" s="1"/>
  <c r="AV113"/>
  <c r="AU113"/>
  <c r="AT113"/>
  <c r="AS113"/>
  <c r="AP113"/>
  <c r="AO113"/>
  <c r="AN113"/>
  <c r="AR113" s="1"/>
  <c r="AV112"/>
  <c r="AU112"/>
  <c r="AT112"/>
  <c r="AS112"/>
  <c r="AP112"/>
  <c r="AO112"/>
  <c r="AN112"/>
  <c r="AR112" s="1"/>
  <c r="AV111"/>
  <c r="AU111"/>
  <c r="AT111"/>
  <c r="AS111"/>
  <c r="AP111"/>
  <c r="AO111"/>
  <c r="AN111"/>
  <c r="AR111" s="1"/>
  <c r="AV110"/>
  <c r="AU110"/>
  <c r="AT110"/>
  <c r="AS110"/>
  <c r="AP110"/>
  <c r="AO110"/>
  <c r="AN110"/>
  <c r="AR110" s="1"/>
  <c r="AV109"/>
  <c r="AU109"/>
  <c r="AT109"/>
  <c r="AS109"/>
  <c r="AP109"/>
  <c r="AO109"/>
  <c r="AN109"/>
  <c r="AR109" s="1"/>
  <c r="AV108"/>
  <c r="AU108"/>
  <c r="AT108"/>
  <c r="AS108"/>
  <c r="AP108"/>
  <c r="AO108"/>
  <c r="AN108"/>
  <c r="AR108" s="1"/>
  <c r="AV107"/>
  <c r="AU107"/>
  <c r="AT107"/>
  <c r="AS107"/>
  <c r="AP107"/>
  <c r="AO107"/>
  <c r="AN107"/>
  <c r="AR107" s="1"/>
  <c r="AV106"/>
  <c r="AU106"/>
  <c r="AT106"/>
  <c r="AS106"/>
  <c r="AP106"/>
  <c r="AO106"/>
  <c r="AN106"/>
  <c r="AR106" s="1"/>
  <c r="AV105"/>
  <c r="AU105"/>
  <c r="AT105"/>
  <c r="AS105"/>
  <c r="AP105"/>
  <c r="AO105"/>
  <c r="AN105"/>
  <c r="AR105" s="1"/>
  <c r="AV104"/>
  <c r="AU104"/>
  <c r="AT104"/>
  <c r="AS104"/>
  <c r="AP104"/>
  <c r="AO104"/>
  <c r="AN104"/>
  <c r="AR104" s="1"/>
  <c r="AV103"/>
  <c r="AU103"/>
  <c r="AT103"/>
  <c r="AS103"/>
  <c r="AP103"/>
  <c r="AO103"/>
  <c r="AN103"/>
  <c r="AR103" s="1"/>
  <c r="AV102"/>
  <c r="AU102"/>
  <c r="AT102"/>
  <c r="AS102"/>
  <c r="AP102"/>
  <c r="AO102"/>
  <c r="AN102"/>
  <c r="AR102" s="1"/>
  <c r="AV101"/>
  <c r="AU101"/>
  <c r="AT101"/>
  <c r="AS101"/>
  <c r="AP101"/>
  <c r="AO101"/>
  <c r="AN101"/>
  <c r="AR101" s="1"/>
  <c r="AV100"/>
  <c r="AU100"/>
  <c r="AT100"/>
  <c r="AS100"/>
  <c r="AP100"/>
  <c r="AO100"/>
  <c r="AN100"/>
  <c r="AR100" s="1"/>
  <c r="AV99"/>
  <c r="AU99"/>
  <c r="AT99"/>
  <c r="AS99"/>
  <c r="AP99"/>
  <c r="AO99"/>
  <c r="AN99"/>
  <c r="AR99" s="1"/>
  <c r="AV98"/>
  <c r="AU98"/>
  <c r="AT98"/>
  <c r="AS98"/>
  <c r="AP98"/>
  <c r="AO98"/>
  <c r="AN98"/>
  <c r="AR98" s="1"/>
  <c r="AV97"/>
  <c r="AU97"/>
  <c r="AT97"/>
  <c r="AS97"/>
  <c r="AP97"/>
  <c r="AO97"/>
  <c r="AN97"/>
  <c r="AR97" s="1"/>
  <c r="AV96"/>
  <c r="AU96"/>
  <c r="AT96"/>
  <c r="AS96"/>
  <c r="AP96"/>
  <c r="AO96"/>
  <c r="AN96"/>
  <c r="AR96" s="1"/>
  <c r="AV95"/>
  <c r="AU95"/>
  <c r="AT95"/>
  <c r="AS95"/>
  <c r="AP95"/>
  <c r="AO95"/>
  <c r="AN95"/>
  <c r="AR95" s="1"/>
  <c r="AV94"/>
  <c r="AU94"/>
  <c r="AT94"/>
  <c r="AS94"/>
  <c r="AP94"/>
  <c r="AO94"/>
  <c r="AN94"/>
  <c r="AR94" s="1"/>
  <c r="AV93"/>
  <c r="AU93"/>
  <c r="AT93"/>
  <c r="AS93"/>
  <c r="AP93"/>
  <c r="AO93"/>
  <c r="AN93"/>
  <c r="AR93" s="1"/>
  <c r="AV92"/>
  <c r="AU92"/>
  <c r="AT92"/>
  <c r="AS92"/>
  <c r="AP92"/>
  <c r="AO92"/>
  <c r="AN92"/>
  <c r="AR92" s="1"/>
  <c r="AV91"/>
  <c r="AU91"/>
  <c r="AT91"/>
  <c r="AS91"/>
  <c r="AP91"/>
  <c r="AO91"/>
  <c r="AN91"/>
  <c r="AR91" s="1"/>
  <c r="AV90"/>
  <c r="AU90"/>
  <c r="AT90"/>
  <c r="AS90"/>
  <c r="AP90"/>
  <c r="AO90"/>
  <c r="AN90"/>
  <c r="AR90" s="1"/>
  <c r="AV89"/>
  <c r="AU89"/>
  <c r="AT89"/>
  <c r="AS89"/>
  <c r="AP89"/>
  <c r="AO89"/>
  <c r="AN89"/>
  <c r="AR89" s="1"/>
  <c r="AV88"/>
  <c r="AU88"/>
  <c r="AT88"/>
  <c r="AS88"/>
  <c r="AP88"/>
  <c r="AO88"/>
  <c r="AN88"/>
  <c r="AR88" s="1"/>
  <c r="AV87"/>
  <c r="AU87"/>
  <c r="AT87"/>
  <c r="AS87"/>
  <c r="AP87"/>
  <c r="AO87"/>
  <c r="AN87"/>
  <c r="AR87" s="1"/>
  <c r="BE87"/>
  <c r="AV86"/>
  <c r="AU86"/>
  <c r="AT86"/>
  <c r="AS86"/>
  <c r="AP86"/>
  <c r="AO86"/>
  <c r="AN86"/>
  <c r="AR86" s="1"/>
  <c r="BE86"/>
  <c r="AV85"/>
  <c r="AU85"/>
  <c r="AT85"/>
  <c r="AS85"/>
  <c r="AP85"/>
  <c r="AO85"/>
  <c r="AN85"/>
  <c r="AR85" s="1"/>
  <c r="BE85"/>
  <c r="AV84"/>
  <c r="AU84"/>
  <c r="AT84"/>
  <c r="AS84"/>
  <c r="AP84"/>
  <c r="AO84"/>
  <c r="AN84"/>
  <c r="AR84" s="1"/>
  <c r="BE84"/>
  <c r="AV83"/>
  <c r="AU83"/>
  <c r="AT83"/>
  <c r="AS83"/>
  <c r="AP83"/>
  <c r="AO83"/>
  <c r="AN83"/>
  <c r="AR83" s="1"/>
  <c r="BE83"/>
  <c r="AV82"/>
  <c r="AU82"/>
  <c r="AT82"/>
  <c r="AS82"/>
  <c r="AP82"/>
  <c r="AO82"/>
  <c r="AN82"/>
  <c r="AR82" s="1"/>
  <c r="BE82"/>
  <c r="AN11"/>
  <c r="AR11" s="1"/>
  <c r="AN12"/>
  <c r="AR12" s="1"/>
  <c r="AN13"/>
  <c r="AR13" s="1"/>
  <c r="AN14"/>
  <c r="AR14" s="1"/>
  <c r="AN15"/>
  <c r="AR15" s="1"/>
  <c r="AN16"/>
  <c r="AR16" s="1"/>
  <c r="AN17"/>
  <c r="AN18"/>
  <c r="AR18" s="1"/>
  <c r="AN19"/>
  <c r="AR19" s="1"/>
  <c r="AN20"/>
  <c r="AR20" s="1"/>
  <c r="AN21"/>
  <c r="AR21" s="1"/>
  <c r="AN22"/>
  <c r="AR22" s="1"/>
  <c r="AN23"/>
  <c r="AR23" s="1"/>
  <c r="AN24"/>
  <c r="AR24" s="1"/>
  <c r="AN25"/>
  <c r="AR25" s="1"/>
  <c r="AN26"/>
  <c r="AR26" s="1"/>
  <c r="AN27"/>
  <c r="AR27" s="1"/>
  <c r="AN28"/>
  <c r="AR28" s="1"/>
  <c r="AN29"/>
  <c r="AR29" s="1"/>
  <c r="AN30"/>
  <c r="AR30" s="1"/>
  <c r="AN31"/>
  <c r="AR31" s="1"/>
  <c r="AN32"/>
  <c r="AR32" s="1"/>
  <c r="AN33"/>
  <c r="AR33" s="1"/>
  <c r="AN34"/>
  <c r="AR34" s="1"/>
  <c r="AN35"/>
  <c r="AR35" s="1"/>
  <c r="AN36"/>
  <c r="AR36" s="1"/>
  <c r="AN37"/>
  <c r="AR37" s="1"/>
  <c r="AN38"/>
  <c r="AR38" s="1"/>
  <c r="AN39"/>
  <c r="AR39" s="1"/>
  <c r="AN40"/>
  <c r="AR40" s="1"/>
  <c r="AN41"/>
  <c r="AR41" s="1"/>
  <c r="AN42"/>
  <c r="AR42" s="1"/>
  <c r="AN43"/>
  <c r="AR43" s="1"/>
  <c r="AN44"/>
  <c r="AR44" s="1"/>
  <c r="AN45"/>
  <c r="AR45" s="1"/>
  <c r="AN46"/>
  <c r="AR46" s="1"/>
  <c r="AN47"/>
  <c r="AR47" s="1"/>
  <c r="AN48"/>
  <c r="AR48" s="1"/>
  <c r="AN49"/>
  <c r="AR49" s="1"/>
  <c r="AN50"/>
  <c r="AR50" s="1"/>
  <c r="AN51"/>
  <c r="AR51" s="1"/>
  <c r="AN52"/>
  <c r="AR52" s="1"/>
  <c r="AN53"/>
  <c r="AR53" s="1"/>
  <c r="AN54"/>
  <c r="AR54" s="1"/>
  <c r="AN55"/>
  <c r="AR55" s="1"/>
  <c r="AN56"/>
  <c r="AR56" s="1"/>
  <c r="AN57"/>
  <c r="AR57" s="1"/>
  <c r="AN58"/>
  <c r="AR58" s="1"/>
  <c r="AN59"/>
  <c r="AR59" s="1"/>
  <c r="AN60"/>
  <c r="AR60" s="1"/>
  <c r="AN61"/>
  <c r="AR61" s="1"/>
  <c r="AN62"/>
  <c r="AR62" s="1"/>
  <c r="AN63"/>
  <c r="AR63" s="1"/>
  <c r="AN64"/>
  <c r="AR64" s="1"/>
  <c r="AN65"/>
  <c r="AR65" s="1"/>
  <c r="AN66"/>
  <c r="AR66" s="1"/>
  <c r="AN67"/>
  <c r="AR67" s="1"/>
  <c r="AN68"/>
  <c r="AR68" s="1"/>
  <c r="AN69"/>
  <c r="AR69" s="1"/>
  <c r="AN70"/>
  <c r="AR70" s="1"/>
  <c r="AN71"/>
  <c r="AR71" s="1"/>
  <c r="AN72"/>
  <c r="AR72" s="1"/>
  <c r="AN73"/>
  <c r="AR73" s="1"/>
  <c r="AN74"/>
  <c r="AR74" s="1"/>
  <c r="AN75"/>
  <c r="AR75" s="1"/>
  <c r="AN76"/>
  <c r="AR76" s="1"/>
  <c r="AN77"/>
  <c r="AR77" s="1"/>
  <c r="AN78"/>
  <c r="AR78" s="1"/>
  <c r="AN79"/>
  <c r="AR79" s="1"/>
  <c r="AN80"/>
  <c r="AR80" s="1"/>
  <c r="AN10"/>
  <c r="AR10" s="1"/>
  <c r="BE11"/>
  <c r="BE12"/>
  <c r="BE13"/>
  <c r="BE14"/>
  <c r="BE15"/>
  <c r="BE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V55"/>
  <c r="AV56"/>
  <c r="AV57"/>
  <c r="AV58"/>
  <c r="AV59"/>
  <c r="AV60"/>
  <c r="AV61"/>
  <c r="AV62"/>
  <c r="AV63"/>
  <c r="AV64"/>
  <c r="AV65"/>
  <c r="AV66"/>
  <c r="AV67"/>
  <c r="AV68"/>
  <c r="AV69"/>
  <c r="AV70"/>
  <c r="AV71"/>
  <c r="AV72"/>
  <c r="AV73"/>
  <c r="AV74"/>
  <c r="AV75"/>
  <c r="AV76"/>
  <c r="AV77"/>
  <c r="AV78"/>
  <c r="AV79"/>
  <c r="AV80"/>
  <c r="AU11"/>
  <c r="AU12"/>
  <c r="AU13"/>
  <c r="AU14"/>
  <c r="AU15"/>
  <c r="AU16"/>
  <c r="AU17"/>
  <c r="AU18"/>
  <c r="AU19"/>
  <c r="AU20"/>
  <c r="AU21"/>
  <c r="AU22"/>
  <c r="AU23"/>
  <c r="AU24"/>
  <c r="AU25"/>
  <c r="AU26"/>
  <c r="AU27"/>
  <c r="AU28"/>
  <c r="AU29"/>
  <c r="AU30"/>
  <c r="AU31"/>
  <c r="AU32"/>
  <c r="AU33"/>
  <c r="AU34"/>
  <c r="AU35"/>
  <c r="AU36"/>
  <c r="AU37"/>
  <c r="AU38"/>
  <c r="AU39"/>
  <c r="AU40"/>
  <c r="AU41"/>
  <c r="AU42"/>
  <c r="AU43"/>
  <c r="AU44"/>
  <c r="AU45"/>
  <c r="AU46"/>
  <c r="AU47"/>
  <c r="AU48"/>
  <c r="AU49"/>
  <c r="AU50"/>
  <c r="AU51"/>
  <c r="AU52"/>
  <c r="AU53"/>
  <c r="AU54"/>
  <c r="AU55"/>
  <c r="AU56"/>
  <c r="AU57"/>
  <c r="AU58"/>
  <c r="AU59"/>
  <c r="AU60"/>
  <c r="AU61"/>
  <c r="AU62"/>
  <c r="AU63"/>
  <c r="AU64"/>
  <c r="AU65"/>
  <c r="AU66"/>
  <c r="AU67"/>
  <c r="AU68"/>
  <c r="AU69"/>
  <c r="AU70"/>
  <c r="AU71"/>
  <c r="AU72"/>
  <c r="AU73"/>
  <c r="AU74"/>
  <c r="AU75"/>
  <c r="AU76"/>
  <c r="AU77"/>
  <c r="AU78"/>
  <c r="AU79"/>
  <c r="AU80"/>
  <c r="AT11"/>
  <c r="AT12"/>
  <c r="AT13"/>
  <c r="AT14"/>
  <c r="AT15"/>
  <c r="AT16"/>
  <c r="AT17"/>
  <c r="AT18"/>
  <c r="AT19"/>
  <c r="AT20"/>
  <c r="AT21"/>
  <c r="AT22"/>
  <c r="AT23"/>
  <c r="AT24"/>
  <c r="AT25"/>
  <c r="AT26"/>
  <c r="AT27"/>
  <c r="AT28"/>
  <c r="AT29"/>
  <c r="AT30"/>
  <c r="AT31"/>
  <c r="AT32"/>
  <c r="AT33"/>
  <c r="AT34"/>
  <c r="AT35"/>
  <c r="AT36"/>
  <c r="AT37"/>
  <c r="AT38"/>
  <c r="AT39"/>
  <c r="AT40"/>
  <c r="AT41"/>
  <c r="AT42"/>
  <c r="AT43"/>
  <c r="AT44"/>
  <c r="AT45"/>
  <c r="AT46"/>
  <c r="AT47"/>
  <c r="AT48"/>
  <c r="AT49"/>
  <c r="AT50"/>
  <c r="AT51"/>
  <c r="AT52"/>
  <c r="AT53"/>
  <c r="AT54"/>
  <c r="AT55"/>
  <c r="AT56"/>
  <c r="AT57"/>
  <c r="AT58"/>
  <c r="AT59"/>
  <c r="AT60"/>
  <c r="AT61"/>
  <c r="AT62"/>
  <c r="AT63"/>
  <c r="AT64"/>
  <c r="AT65"/>
  <c r="AT66"/>
  <c r="AT67"/>
  <c r="AT68"/>
  <c r="AT69"/>
  <c r="AT70"/>
  <c r="AT71"/>
  <c r="AT72"/>
  <c r="AT73"/>
  <c r="AT74"/>
  <c r="AT75"/>
  <c r="AT76"/>
  <c r="AT77"/>
  <c r="AT78"/>
  <c r="AT79"/>
  <c r="AT80"/>
  <c r="AS11"/>
  <c r="AS12"/>
  <c r="AS13"/>
  <c r="AS14"/>
  <c r="AS15"/>
  <c r="AS16"/>
  <c r="AS17"/>
  <c r="AS18"/>
  <c r="AS19"/>
  <c r="AS2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S62"/>
  <c r="AS63"/>
  <c r="AS64"/>
  <c r="AS65"/>
  <c r="AS66"/>
  <c r="AS67"/>
  <c r="AS68"/>
  <c r="AS69"/>
  <c r="AS70"/>
  <c r="AS71"/>
  <c r="AS72"/>
  <c r="AS73"/>
  <c r="AS74"/>
  <c r="AS75"/>
  <c r="AS76"/>
  <c r="AS77"/>
  <c r="AS78"/>
  <c r="AS79"/>
  <c r="AS80"/>
  <c r="AR17"/>
  <c r="AP11"/>
  <c r="AP12"/>
  <c r="AP13"/>
  <c r="AP14"/>
  <c r="AP15"/>
  <c r="AP16"/>
  <c r="AP17"/>
  <c r="AP18"/>
  <c r="AP19"/>
  <c r="AP20"/>
  <c r="AP21"/>
  <c r="AP22"/>
  <c r="AP23"/>
  <c r="AP24"/>
  <c r="AP25"/>
  <c r="AP26"/>
  <c r="AP27"/>
  <c r="AP28"/>
  <c r="AP29"/>
  <c r="AP30"/>
  <c r="AP31"/>
  <c r="AP32"/>
  <c r="AP33"/>
  <c r="AP34"/>
  <c r="AP35"/>
  <c r="AP36"/>
  <c r="AP37"/>
  <c r="AP38"/>
  <c r="AP39"/>
  <c r="AP40"/>
  <c r="AP41"/>
  <c r="AP42"/>
  <c r="AP43"/>
  <c r="AP44"/>
  <c r="AP45"/>
  <c r="AP46"/>
  <c r="AP47"/>
  <c r="AP48"/>
  <c r="AP49"/>
  <c r="AP50"/>
  <c r="AP51"/>
  <c r="AP52"/>
  <c r="AP53"/>
  <c r="AP54"/>
  <c r="AP55"/>
  <c r="AP56"/>
  <c r="AP57"/>
  <c r="AP58"/>
  <c r="AP59"/>
  <c r="AP60"/>
  <c r="AP61"/>
  <c r="AP62"/>
  <c r="AP63"/>
  <c r="AP64"/>
  <c r="AP65"/>
  <c r="AP66"/>
  <c r="AP67"/>
  <c r="AP68"/>
  <c r="AP69"/>
  <c r="AP70"/>
  <c r="AP71"/>
  <c r="AP72"/>
  <c r="AP73"/>
  <c r="AP74"/>
  <c r="AP75"/>
  <c r="AP76"/>
  <c r="AP77"/>
  <c r="AP78"/>
  <c r="AP79"/>
  <c r="AP80"/>
  <c r="AO12"/>
  <c r="AO13"/>
  <c r="AO14"/>
  <c r="AO15"/>
  <c r="AO16"/>
  <c r="AO17"/>
  <c r="AO18"/>
  <c r="AO19"/>
  <c r="AO20"/>
  <c r="AO21"/>
  <c r="AO22"/>
  <c r="AO23"/>
  <c r="AO24"/>
  <c r="AO25"/>
  <c r="AO26"/>
  <c r="AO27"/>
  <c r="AO28"/>
  <c r="AO29"/>
  <c r="AO30"/>
  <c r="AO31"/>
  <c r="AO32"/>
  <c r="AO33"/>
  <c r="AO34"/>
  <c r="AO35"/>
  <c r="AO36"/>
  <c r="AO37"/>
  <c r="AO38"/>
  <c r="AO39"/>
  <c r="AO40"/>
  <c r="AO41"/>
  <c r="AO42"/>
  <c r="AO43"/>
  <c r="AO44"/>
  <c r="AO45"/>
  <c r="AO46"/>
  <c r="AO47"/>
  <c r="AO48"/>
  <c r="AO49"/>
  <c r="AO50"/>
  <c r="AO51"/>
  <c r="AO52"/>
  <c r="AO53"/>
  <c r="AO54"/>
  <c r="AO55"/>
  <c r="AO56"/>
  <c r="AO57"/>
  <c r="AO58"/>
  <c r="AO59"/>
  <c r="AO60"/>
  <c r="AO61"/>
  <c r="AO62"/>
  <c r="AO63"/>
  <c r="AO64"/>
  <c r="AO65"/>
  <c r="AO66"/>
  <c r="AO67"/>
  <c r="AO68"/>
  <c r="AO69"/>
  <c r="AO70"/>
  <c r="AO71"/>
  <c r="AO72"/>
  <c r="AO73"/>
  <c r="AO74"/>
  <c r="AO75"/>
  <c r="AO76"/>
  <c r="AO77"/>
  <c r="AO78"/>
  <c r="AO79"/>
  <c r="AO80"/>
  <c r="AO11"/>
  <c r="B9"/>
  <c r="BF156" l="1"/>
  <c r="AB156"/>
  <c r="BH154"/>
  <c r="BI154" s="1"/>
  <c r="AB154"/>
  <c r="BF158"/>
  <c r="AB158"/>
  <c r="BH82"/>
  <c r="BI82" s="1"/>
  <c r="AB82"/>
  <c r="BH86"/>
  <c r="BI86" s="1"/>
  <c r="AB86"/>
  <c r="BH83"/>
  <c r="BI83" s="1"/>
  <c r="AB83"/>
  <c r="BG87"/>
  <c r="AA87" s="1"/>
  <c r="AB87"/>
  <c r="BF84"/>
  <c r="AB84"/>
  <c r="BH85"/>
  <c r="BI85" s="1"/>
  <c r="AB85"/>
  <c r="BG14"/>
  <c r="AA14" s="1"/>
  <c r="AB14"/>
  <c r="BG13"/>
  <c r="AA13" s="1"/>
  <c r="AB13"/>
  <c r="BG12"/>
  <c r="AA12" s="1"/>
  <c r="AB12"/>
  <c r="BG15"/>
  <c r="AA15" s="1"/>
  <c r="AB15"/>
  <c r="BG11"/>
  <c r="AA11" s="1"/>
  <c r="AB11"/>
  <c r="BG10"/>
  <c r="AA10" s="1"/>
  <c r="AB10"/>
  <c r="AZ462"/>
  <c r="BA462" s="1"/>
  <c r="BD462" s="1"/>
  <c r="AZ465"/>
  <c r="BA465" s="1"/>
  <c r="BD465" s="1"/>
  <c r="AZ416"/>
  <c r="BA416" s="1"/>
  <c r="BD416" s="1"/>
  <c r="AZ361"/>
  <c r="BA361" s="1"/>
  <c r="BD361" s="1"/>
  <c r="AZ412"/>
  <c r="BA412" s="1"/>
  <c r="BD412" s="1"/>
  <c r="AZ247"/>
  <c r="BA247" s="1"/>
  <c r="BD247" s="1"/>
  <c r="AZ421"/>
  <c r="BA421" s="1"/>
  <c r="BD421" s="1"/>
  <c r="AZ473"/>
  <c r="BA473" s="1"/>
  <c r="BD473" s="1"/>
  <c r="AZ431"/>
  <c r="BA431" s="1"/>
  <c r="BD431" s="1"/>
  <c r="AZ380"/>
  <c r="BA380" s="1"/>
  <c r="BD380" s="1"/>
  <c r="AZ311"/>
  <c r="BA311" s="1"/>
  <c r="BD311" s="1"/>
  <c r="AZ238"/>
  <c r="BA238" s="1"/>
  <c r="BD238" s="1"/>
  <c r="AZ249"/>
  <c r="BA249" s="1"/>
  <c r="BD249" s="1"/>
  <c r="AZ253"/>
  <c r="BA253" s="1"/>
  <c r="BD253" s="1"/>
  <c r="AZ484"/>
  <c r="BA484" s="1"/>
  <c r="BD484" s="1"/>
  <c r="AZ240"/>
  <c r="BA240" s="1"/>
  <c r="BD240" s="1"/>
  <c r="AZ394"/>
  <c r="AZ410"/>
  <c r="BA410" s="1"/>
  <c r="BD410" s="1"/>
  <c r="AZ379"/>
  <c r="BA379" s="1"/>
  <c r="BD379" s="1"/>
  <c r="AZ282"/>
  <c r="BA282" s="1"/>
  <c r="BD282" s="1"/>
  <c r="AZ299"/>
  <c r="BA299" s="1"/>
  <c r="BD299" s="1"/>
  <c r="AZ281"/>
  <c r="BA281" s="1"/>
  <c r="BD281" s="1"/>
  <c r="AZ391"/>
  <c r="BA391" s="1"/>
  <c r="BD391" s="1"/>
  <c r="AZ453"/>
  <c r="BA453" s="1"/>
  <c r="BD453" s="1"/>
  <c r="AZ266"/>
  <c r="BA266" s="1"/>
  <c r="BD266" s="1"/>
  <c r="AZ413"/>
  <c r="BA413" s="1"/>
  <c r="BD413" s="1"/>
  <c r="AZ426"/>
  <c r="BA426" s="1"/>
  <c r="BD426" s="1"/>
  <c r="AZ425"/>
  <c r="BA425" s="1"/>
  <c r="BD425" s="1"/>
  <c r="AZ254"/>
  <c r="BA254" s="1"/>
  <c r="BD254" s="1"/>
  <c r="AZ489"/>
  <c r="BA489" s="1"/>
  <c r="BD489" s="1"/>
  <c r="AZ298"/>
  <c r="BA298" s="1"/>
  <c r="BD298" s="1"/>
  <c r="BJ298" s="1"/>
  <c r="AZ263"/>
  <c r="BA263" s="1"/>
  <c r="BD263" s="1"/>
  <c r="AZ286"/>
  <c r="BA286" s="1"/>
  <c r="BD286" s="1"/>
  <c r="AZ300"/>
  <c r="BA300" s="1"/>
  <c r="BD300" s="1"/>
  <c r="AZ342"/>
  <c r="AZ244"/>
  <c r="BA244" s="1"/>
  <c r="BD244" s="1"/>
  <c r="AZ452"/>
  <c r="BA452" s="1"/>
  <c r="BD452" s="1"/>
  <c r="AZ345"/>
  <c r="BA345" s="1"/>
  <c r="BD345" s="1"/>
  <c r="AZ243"/>
  <c r="BA243" s="1"/>
  <c r="BD243" s="1"/>
  <c r="AZ310"/>
  <c r="BA310" s="1"/>
  <c r="BD310" s="1"/>
  <c r="AZ354"/>
  <c r="BA354" s="1"/>
  <c r="BD354" s="1"/>
  <c r="AZ488"/>
  <c r="BA488" s="1"/>
  <c r="BD488" s="1"/>
  <c r="AZ350"/>
  <c r="BA350" s="1"/>
  <c r="BD350" s="1"/>
  <c r="AZ318"/>
  <c r="BA318" s="1"/>
  <c r="BD318" s="1"/>
  <c r="AZ312"/>
  <c r="BA312" s="1"/>
  <c r="BD312" s="1"/>
  <c r="AZ236"/>
  <c r="BA236" s="1"/>
  <c r="BD236" s="1"/>
  <c r="AZ324"/>
  <c r="BA324" s="1"/>
  <c r="BD324" s="1"/>
  <c r="AZ287"/>
  <c r="BA287" s="1"/>
  <c r="BD287" s="1"/>
  <c r="AZ227"/>
  <c r="BA227" s="1"/>
  <c r="BD227" s="1"/>
  <c r="AZ347"/>
  <c r="BA347" s="1"/>
  <c r="BD347" s="1"/>
  <c r="AW162"/>
  <c r="AW201"/>
  <c r="AW209"/>
  <c r="AZ346"/>
  <c r="BA346" s="1"/>
  <c r="BD346" s="1"/>
  <c r="AZ424"/>
  <c r="BA424" s="1"/>
  <c r="BD424" s="1"/>
  <c r="AZ400"/>
  <c r="BA400" s="1"/>
  <c r="BD400" s="1"/>
  <c r="AZ248"/>
  <c r="BA248" s="1"/>
  <c r="BD248" s="1"/>
  <c r="AZ397"/>
  <c r="BA397" s="1"/>
  <c r="BD397" s="1"/>
  <c r="AZ420"/>
  <c r="BA420" s="1"/>
  <c r="BD420" s="1"/>
  <c r="AZ509"/>
  <c r="BA509" s="1"/>
  <c r="BD509" s="1"/>
  <c r="AZ357"/>
  <c r="BA357" s="1"/>
  <c r="BD357" s="1"/>
  <c r="AZ511"/>
  <c r="BA511" s="1"/>
  <c r="BD511" s="1"/>
  <c r="AZ382"/>
  <c r="BA382" s="1"/>
  <c r="BD382" s="1"/>
  <c r="AZ422"/>
  <c r="BA422" s="1"/>
  <c r="BD422" s="1"/>
  <c r="AZ387"/>
  <c r="BA387" s="1"/>
  <c r="BD387" s="1"/>
  <c r="AZ408"/>
  <c r="BA408" s="1"/>
  <c r="BD408" s="1"/>
  <c r="AZ458"/>
  <c r="BA458" s="1"/>
  <c r="BD458" s="1"/>
  <c r="AZ447"/>
  <c r="BA447" s="1"/>
  <c r="BD447" s="1"/>
  <c r="AZ478"/>
  <c r="BA478" s="1"/>
  <c r="BD478" s="1"/>
  <c r="AZ479"/>
  <c r="BA479" s="1"/>
  <c r="BD479" s="1"/>
  <c r="AW91"/>
  <c r="AW187"/>
  <c r="AX188"/>
  <c r="AZ472"/>
  <c r="BA472" s="1"/>
  <c r="BD472" s="1"/>
  <c r="AZ395"/>
  <c r="BA395" s="1"/>
  <c r="BD395" s="1"/>
  <c r="AZ499"/>
  <c r="BA499" s="1"/>
  <c r="BD499" s="1"/>
  <c r="AZ439"/>
  <c r="BA439" s="1"/>
  <c r="AZ349"/>
  <c r="BA349" s="1"/>
  <c r="BD349" s="1"/>
  <c r="AX191"/>
  <c r="AZ507"/>
  <c r="BA507" s="1"/>
  <c r="BD507" s="1"/>
  <c r="AZ457"/>
  <c r="BA457" s="1"/>
  <c r="BD457" s="1"/>
  <c r="AZ497"/>
  <c r="BA497" s="1"/>
  <c r="BD497" s="1"/>
  <c r="AZ314"/>
  <c r="BA314" s="1"/>
  <c r="BD314" s="1"/>
  <c r="AZ428"/>
  <c r="BA428" s="1"/>
  <c r="BD428" s="1"/>
  <c r="AZ290"/>
  <c r="BA290" s="1"/>
  <c r="AZ446"/>
  <c r="BA446" s="1"/>
  <c r="BD446" s="1"/>
  <c r="AZ341"/>
  <c r="BA341" s="1"/>
  <c r="AZ280"/>
  <c r="BA280" s="1"/>
  <c r="BD280" s="1"/>
  <c r="AZ393"/>
  <c r="BA393" s="1"/>
  <c r="BD393" s="1"/>
  <c r="AZ389"/>
  <c r="BA389" s="1"/>
  <c r="BD389" s="1"/>
  <c r="AZ340"/>
  <c r="BA340" s="1"/>
  <c r="BD340" s="1"/>
  <c r="AZ414"/>
  <c r="BA414" s="1"/>
  <c r="BD414" s="1"/>
  <c r="AZ448"/>
  <c r="BA448" s="1"/>
  <c r="BD448" s="1"/>
  <c r="AZ384"/>
  <c r="BA384" s="1"/>
  <c r="AZ339"/>
  <c r="BA339" s="1"/>
  <c r="BD339" s="1"/>
  <c r="AZ377"/>
  <c r="BA377" s="1"/>
  <c r="BD377" s="1"/>
  <c r="AZ273"/>
  <c r="BA273" s="1"/>
  <c r="BD273" s="1"/>
  <c r="AZ398"/>
  <c r="BA398" s="1"/>
  <c r="BD398" s="1"/>
  <c r="AZ396"/>
  <c r="BA396" s="1"/>
  <c r="BD396" s="1"/>
  <c r="AZ331"/>
  <c r="BA331" s="1"/>
  <c r="BD331" s="1"/>
  <c r="AZ444"/>
  <c r="BA444" s="1"/>
  <c r="BD444" s="1"/>
  <c r="AZ502"/>
  <c r="BA502" s="1"/>
  <c r="BD502" s="1"/>
  <c r="AZ305"/>
  <c r="BA305" s="1"/>
  <c r="BD305" s="1"/>
  <c r="AZ279"/>
  <c r="BA279" s="1"/>
  <c r="BD279" s="1"/>
  <c r="AZ327"/>
  <c r="BA327" s="1"/>
  <c r="BD327" s="1"/>
  <c r="AZ375"/>
  <c r="BA375" s="1"/>
  <c r="BD375" s="1"/>
  <c r="BJ375" s="1"/>
  <c r="AZ323"/>
  <c r="BA323" s="1"/>
  <c r="BD323" s="1"/>
  <c r="AZ450"/>
  <c r="BA450" s="1"/>
  <c r="BD450" s="1"/>
  <c r="AZ329"/>
  <c r="BA329" s="1"/>
  <c r="BD329" s="1"/>
  <c r="AZ378"/>
  <c r="BA378" s="1"/>
  <c r="BD378" s="1"/>
  <c r="AZ399"/>
  <c r="BA399" s="1"/>
  <c r="BD399" s="1"/>
  <c r="AZ322"/>
  <c r="BA322" s="1"/>
  <c r="BD322" s="1"/>
  <c r="AZ492"/>
  <c r="BA492" s="1"/>
  <c r="BD492" s="1"/>
  <c r="AZ510"/>
  <c r="BA510" s="1"/>
  <c r="BD510" s="1"/>
  <c r="AX189"/>
  <c r="AZ508"/>
  <c r="BA508" s="1"/>
  <c r="BD508" s="1"/>
  <c r="BE508" s="1"/>
  <c r="AZ235"/>
  <c r="BA235" s="1"/>
  <c r="BD235" s="1"/>
  <c r="AZ307"/>
  <c r="BA307" s="1"/>
  <c r="BD307" s="1"/>
  <c r="AZ437"/>
  <c r="BA437" s="1"/>
  <c r="BD437" s="1"/>
  <c r="AZ337"/>
  <c r="BA337" s="1"/>
  <c r="BD337" s="1"/>
  <c r="AZ309"/>
  <c r="BA309" s="1"/>
  <c r="BD309" s="1"/>
  <c r="AZ316"/>
  <c r="BA316" s="1"/>
  <c r="BD316" s="1"/>
  <c r="AW135"/>
  <c r="AZ411"/>
  <c r="BA411" s="1"/>
  <c r="BD411" s="1"/>
  <c r="AZ352"/>
  <c r="BA352" s="1"/>
  <c r="BD352" s="1"/>
  <c r="AZ364"/>
  <c r="BA364" s="1"/>
  <c r="BD364" s="1"/>
  <c r="AZ358"/>
  <c r="BA358" s="1"/>
  <c r="BD358" s="1"/>
  <c r="AZ365"/>
  <c r="BA365" s="1"/>
  <c r="BD365" s="1"/>
  <c r="AZ443"/>
  <c r="BA443" s="1"/>
  <c r="BD443" s="1"/>
  <c r="AZ385"/>
  <c r="BA385" s="1"/>
  <c r="BD385" s="1"/>
  <c r="AW208"/>
  <c r="AZ483"/>
  <c r="BA483" s="1"/>
  <c r="BD483" s="1"/>
  <c r="AX126"/>
  <c r="AZ491"/>
  <c r="BA491" s="1"/>
  <c r="BD491" s="1"/>
  <c r="AZ475"/>
  <c r="BA475" s="1"/>
  <c r="BD475" s="1"/>
  <c r="AZ334"/>
  <c r="BA334" s="1"/>
  <c r="BD334" s="1"/>
  <c r="AZ343"/>
  <c r="BA343" s="1"/>
  <c r="BD343" s="1"/>
  <c r="AZ270"/>
  <c r="BA270" s="1"/>
  <c r="BD270" s="1"/>
  <c r="AZ490"/>
  <c r="BA490" s="1"/>
  <c r="BD490" s="1"/>
  <c r="AZ493"/>
  <c r="BA493" s="1"/>
  <c r="BD493" s="1"/>
  <c r="AZ288"/>
  <c r="BA288" s="1"/>
  <c r="BD288" s="1"/>
  <c r="AZ474"/>
  <c r="BA474" s="1"/>
  <c r="BD474" s="1"/>
  <c r="AZ344"/>
  <c r="BA344" s="1"/>
  <c r="BD344" s="1"/>
  <c r="AZ434"/>
  <c r="BA434" s="1"/>
  <c r="BD434" s="1"/>
  <c r="AZ404"/>
  <c r="BA404" s="1"/>
  <c r="BD404" s="1"/>
  <c r="AX91"/>
  <c r="AW120"/>
  <c r="AW128"/>
  <c r="AZ463"/>
  <c r="BA463" s="1"/>
  <c r="BD463" s="1"/>
  <c r="AZ363"/>
  <c r="BA363" s="1"/>
  <c r="BD363" s="1"/>
  <c r="AZ366"/>
  <c r="BA366" s="1"/>
  <c r="BD366" s="1"/>
  <c r="AZ362"/>
  <c r="BA362" s="1"/>
  <c r="BD362" s="1"/>
  <c r="AZ272"/>
  <c r="BA272" s="1"/>
  <c r="BD272" s="1"/>
  <c r="AZ313"/>
  <c r="BA313" s="1"/>
  <c r="BD313" s="1"/>
  <c r="AZ427"/>
  <c r="BA427" s="1"/>
  <c r="BD427" s="1"/>
  <c r="AZ274"/>
  <c r="BA274" s="1"/>
  <c r="BD274" s="1"/>
  <c r="AZ285"/>
  <c r="BA285" s="1"/>
  <c r="BD285" s="1"/>
  <c r="AZ328"/>
  <c r="BA328" s="1"/>
  <c r="BD328" s="1"/>
  <c r="AZ226"/>
  <c r="BA226" s="1"/>
  <c r="BD226" s="1"/>
  <c r="AZ401"/>
  <c r="BA401" s="1"/>
  <c r="BD401" s="1"/>
  <c r="AZ388"/>
  <c r="BA388" s="1"/>
  <c r="BD388" s="1"/>
  <c r="AZ251"/>
  <c r="BA251" s="1"/>
  <c r="BD251" s="1"/>
  <c r="AZ325"/>
  <c r="BA325" s="1"/>
  <c r="BD325" s="1"/>
  <c r="AZ277"/>
  <c r="BA277" s="1"/>
  <c r="BD277" s="1"/>
  <c r="AW106"/>
  <c r="AZ271"/>
  <c r="BA271" s="1"/>
  <c r="BD271" s="1"/>
  <c r="AZ376"/>
  <c r="BA376" s="1"/>
  <c r="BD376" s="1"/>
  <c r="AZ442"/>
  <c r="BA442" s="1"/>
  <c r="BD442" s="1"/>
  <c r="BJ442" s="1"/>
  <c r="AZ283"/>
  <c r="BA283" s="1"/>
  <c r="BD283" s="1"/>
  <c r="AZ496"/>
  <c r="BA496" s="1"/>
  <c r="AZ295"/>
  <c r="BA295" s="1"/>
  <c r="BD295" s="1"/>
  <c r="AZ241"/>
  <c r="BA241" s="1"/>
  <c r="BD241" s="1"/>
  <c r="AZ386"/>
  <c r="BA386" s="1"/>
  <c r="AZ409"/>
  <c r="BA409" s="1"/>
  <c r="BD409" s="1"/>
  <c r="AZ267"/>
  <c r="BA267" s="1"/>
  <c r="BD267" s="1"/>
  <c r="AZ296"/>
  <c r="BA296" s="1"/>
  <c r="BD296" s="1"/>
  <c r="AZ338"/>
  <c r="BA338" s="1"/>
  <c r="BD338" s="1"/>
  <c r="AZ258"/>
  <c r="BA258" s="1"/>
  <c r="BD258" s="1"/>
  <c r="AZ229"/>
  <c r="BA229" s="1"/>
  <c r="BD229" s="1"/>
  <c r="BJ229" s="1"/>
  <c r="AZ302"/>
  <c r="BA302" s="1"/>
  <c r="BD302" s="1"/>
  <c r="AY90"/>
  <c r="AX123"/>
  <c r="AX138"/>
  <c r="AX146"/>
  <c r="AZ461"/>
  <c r="BA461" s="1"/>
  <c r="BD461" s="1"/>
  <c r="AZ250"/>
  <c r="BA250" s="1"/>
  <c r="BD250" s="1"/>
  <c r="AZ407"/>
  <c r="BA407" s="1"/>
  <c r="BD407" s="1"/>
  <c r="AZ303"/>
  <c r="BA303" s="1"/>
  <c r="BD303" s="1"/>
  <c r="AZ418"/>
  <c r="BA418" s="1"/>
  <c r="BD418" s="1"/>
  <c r="AW115"/>
  <c r="AZ304"/>
  <c r="BA304" s="1"/>
  <c r="BD304" s="1"/>
  <c r="AW100"/>
  <c r="AZ430"/>
  <c r="BA430" s="1"/>
  <c r="BD430" s="1"/>
  <c r="AZ330"/>
  <c r="BA330" s="1"/>
  <c r="BD330" s="1"/>
  <c r="AZ500"/>
  <c r="BA500" s="1"/>
  <c r="BD500" s="1"/>
  <c r="AZ259"/>
  <c r="BA259" s="1"/>
  <c r="BD259" s="1"/>
  <c r="BE259" s="1"/>
  <c r="AB259" s="1"/>
  <c r="AZ429"/>
  <c r="BA429" s="1"/>
  <c r="AZ505"/>
  <c r="BA505" s="1"/>
  <c r="BD505" s="1"/>
  <c r="AW107"/>
  <c r="AW181"/>
  <c r="AZ459"/>
  <c r="BA459" s="1"/>
  <c r="BD459" s="1"/>
  <c r="AX104"/>
  <c r="AX162"/>
  <c r="AZ162" s="1"/>
  <c r="AX170"/>
  <c r="AX178"/>
  <c r="AX185"/>
  <c r="AZ264"/>
  <c r="BA264" s="1"/>
  <c r="BD264" s="1"/>
  <c r="AZ487"/>
  <c r="BA487" s="1"/>
  <c r="BD487" s="1"/>
  <c r="AZ392"/>
  <c r="BA392" s="1"/>
  <c r="BD392" s="1"/>
  <c r="AZ498"/>
  <c r="BA498" s="1"/>
  <c r="BD498" s="1"/>
  <c r="AZ476"/>
  <c r="BA476" s="1"/>
  <c r="BD476" s="1"/>
  <c r="AZ308"/>
  <c r="BA308" s="1"/>
  <c r="BD308" s="1"/>
  <c r="AZ326"/>
  <c r="BA326" s="1"/>
  <c r="BD326" s="1"/>
  <c r="AZ228"/>
  <c r="BA228" s="1"/>
  <c r="BD228" s="1"/>
  <c r="AZ306"/>
  <c r="BA306" s="1"/>
  <c r="BD306" s="1"/>
  <c r="AX84"/>
  <c r="AX94"/>
  <c r="AX166"/>
  <c r="AZ261"/>
  <c r="BA261" s="1"/>
  <c r="BD261" s="1"/>
  <c r="AZ477"/>
  <c r="BA477" s="1"/>
  <c r="BD477" s="1"/>
  <c r="AZ381"/>
  <c r="BA381" s="1"/>
  <c r="BD381" s="1"/>
  <c r="AZ383"/>
  <c r="BA383" s="1"/>
  <c r="BD383" s="1"/>
  <c r="AZ333"/>
  <c r="BA333" s="1"/>
  <c r="BD333" s="1"/>
  <c r="AZ503"/>
  <c r="BA503" s="1"/>
  <c r="AZ373"/>
  <c r="BA373" s="1"/>
  <c r="BD373" s="1"/>
  <c r="AZ417"/>
  <c r="BA417" s="1"/>
  <c r="BD417" s="1"/>
  <c r="AZ262"/>
  <c r="BA262" s="1"/>
  <c r="BD262" s="1"/>
  <c r="AZ506"/>
  <c r="BA506" s="1"/>
  <c r="BD506" s="1"/>
  <c r="AZ351"/>
  <c r="BA351" s="1"/>
  <c r="BD351" s="1"/>
  <c r="AZ292"/>
  <c r="BA292" s="1"/>
  <c r="BD292" s="1"/>
  <c r="AZ336"/>
  <c r="BA336" s="1"/>
  <c r="BD336" s="1"/>
  <c r="AZ438"/>
  <c r="BA438" s="1"/>
  <c r="BD438" s="1"/>
  <c r="AX102"/>
  <c r="AX110"/>
  <c r="AX117"/>
  <c r="AW197"/>
  <c r="AX201"/>
  <c r="AZ449"/>
  <c r="BA449" s="1"/>
  <c r="BD449" s="1"/>
  <c r="AZ230"/>
  <c r="BA230" s="1"/>
  <c r="BD230" s="1"/>
  <c r="BJ230" s="1"/>
  <c r="AW188"/>
  <c r="AW148"/>
  <c r="AW167"/>
  <c r="AW175"/>
  <c r="AW183"/>
  <c r="AW203"/>
  <c r="AW219"/>
  <c r="AZ481"/>
  <c r="BA481" s="1"/>
  <c r="BD481" s="1"/>
  <c r="AZ332"/>
  <c r="BA332" s="1"/>
  <c r="BD332" s="1"/>
  <c r="AZ231"/>
  <c r="BA231" s="1"/>
  <c r="BD231" s="1"/>
  <c r="AZ494"/>
  <c r="BA494" s="1"/>
  <c r="BD494" s="1"/>
  <c r="AZ355"/>
  <c r="BA355" s="1"/>
  <c r="BD355" s="1"/>
  <c r="AZ275"/>
  <c r="BA275" s="1"/>
  <c r="BD275" s="1"/>
  <c r="AZ436"/>
  <c r="BA436" s="1"/>
  <c r="BD436" s="1"/>
  <c r="AX141"/>
  <c r="AX167"/>
  <c r="AY185"/>
  <c r="AW202"/>
  <c r="AZ233"/>
  <c r="BA233" s="1"/>
  <c r="BD233" s="1"/>
  <c r="AW133"/>
  <c r="AW168"/>
  <c r="AW176"/>
  <c r="AW184"/>
  <c r="AZ468"/>
  <c r="BA468" s="1"/>
  <c r="BD468" s="1"/>
  <c r="AZ467"/>
  <c r="BA467" s="1"/>
  <c r="BD467" s="1"/>
  <c r="AZ435"/>
  <c r="BA435" s="1"/>
  <c r="BD435" s="1"/>
  <c r="AZ293"/>
  <c r="BA293" s="1"/>
  <c r="BD293" s="1"/>
  <c r="AZ252"/>
  <c r="BA252" s="1"/>
  <c r="BD252" s="1"/>
  <c r="AZ367"/>
  <c r="BA367" s="1"/>
  <c r="BD367" s="1"/>
  <c r="AX168"/>
  <c r="AW182"/>
  <c r="AW210"/>
  <c r="AX107"/>
  <c r="AX115"/>
  <c r="AX164"/>
  <c r="AX172"/>
  <c r="AX215"/>
  <c r="AZ440"/>
  <c r="BA440" s="1"/>
  <c r="BD440" s="1"/>
  <c r="AZ456"/>
  <c r="BA456" s="1"/>
  <c r="BD456" s="1"/>
  <c r="AZ291"/>
  <c r="BA291" s="1"/>
  <c r="BD291" s="1"/>
  <c r="AZ246"/>
  <c r="BA246" s="1"/>
  <c r="BD246" s="1"/>
  <c r="AX202"/>
  <c r="AZ372"/>
  <c r="BA372" s="1"/>
  <c r="BD372" s="1"/>
  <c r="AX130"/>
  <c r="AX205"/>
  <c r="AX221"/>
  <c r="AZ232"/>
  <c r="BA232" s="1"/>
  <c r="BD232" s="1"/>
  <c r="AW26"/>
  <c r="AX82"/>
  <c r="AX85"/>
  <c r="AX95"/>
  <c r="AW108"/>
  <c r="AW123"/>
  <c r="AX154"/>
  <c r="AW157"/>
  <c r="AX198"/>
  <c r="AW220"/>
  <c r="AZ466"/>
  <c r="BA466" s="1"/>
  <c r="BD466" s="1"/>
  <c r="AZ419"/>
  <c r="BA419" s="1"/>
  <c r="BD419" s="1"/>
  <c r="AZ245"/>
  <c r="BA245" s="1"/>
  <c r="AZ276"/>
  <c r="BA276" s="1"/>
  <c r="AZ269"/>
  <c r="BA269" s="1"/>
  <c r="BD269" s="1"/>
  <c r="AZ255"/>
  <c r="BA255" s="1"/>
  <c r="BD255" s="1"/>
  <c r="AY98"/>
  <c r="AZ451"/>
  <c r="BA451" s="1"/>
  <c r="BD451" s="1"/>
  <c r="AX88"/>
  <c r="AX129"/>
  <c r="AZ485"/>
  <c r="BA485" s="1"/>
  <c r="BD485" s="1"/>
  <c r="AZ486"/>
  <c r="BA486" s="1"/>
  <c r="BD486" s="1"/>
  <c r="AW87"/>
  <c r="AX103"/>
  <c r="AW127"/>
  <c r="AW138"/>
  <c r="AW146"/>
  <c r="AX147"/>
  <c r="AX165"/>
  <c r="AX171"/>
  <c r="AW213"/>
  <c r="AX214"/>
  <c r="AW221"/>
  <c r="AZ268"/>
  <c r="BA268" s="1"/>
  <c r="BD268" s="1"/>
  <c r="AZ335"/>
  <c r="BA335" s="1"/>
  <c r="BD335" s="1"/>
  <c r="AZ433"/>
  <c r="BA433" s="1"/>
  <c r="BD433" s="1"/>
  <c r="AZ370"/>
  <c r="BA370" s="1"/>
  <c r="BD370" s="1"/>
  <c r="AZ284"/>
  <c r="BA284" s="1"/>
  <c r="AZ504"/>
  <c r="BA504" s="1"/>
  <c r="BD504" s="1"/>
  <c r="AZ242"/>
  <c r="BA242" s="1"/>
  <c r="BD242" s="1"/>
  <c r="AZ405"/>
  <c r="BA405" s="1"/>
  <c r="BD405" s="1"/>
  <c r="AX176"/>
  <c r="AX93"/>
  <c r="AX116"/>
  <c r="AZ320"/>
  <c r="BA320" s="1"/>
  <c r="BD320" s="1"/>
  <c r="AZ415"/>
  <c r="BA415" s="1"/>
  <c r="BD415" s="1"/>
  <c r="AW43"/>
  <c r="AX163"/>
  <c r="AW103"/>
  <c r="AW110"/>
  <c r="AX113"/>
  <c r="AX119"/>
  <c r="AW139"/>
  <c r="AX155"/>
  <c r="AX160"/>
  <c r="AW164"/>
  <c r="AW171"/>
  <c r="AX174"/>
  <c r="AW191"/>
  <c r="AX192"/>
  <c r="AW198"/>
  <c r="AX224"/>
  <c r="AZ460"/>
  <c r="BA460" s="1"/>
  <c r="BD460" s="1"/>
  <c r="AX87"/>
  <c r="AX211"/>
  <c r="AZ237"/>
  <c r="BA237" s="1"/>
  <c r="BD237" s="1"/>
  <c r="AY167"/>
  <c r="AZ256"/>
  <c r="BA256" s="1"/>
  <c r="BD256" s="1"/>
  <c r="AZ289"/>
  <c r="BA289" s="1"/>
  <c r="AW104"/>
  <c r="AX106"/>
  <c r="AW125"/>
  <c r="AW132"/>
  <c r="AW140"/>
  <c r="AW172"/>
  <c r="AX183"/>
  <c r="AW192"/>
  <c r="AW199"/>
  <c r="AX210"/>
  <c r="AW215"/>
  <c r="AX218"/>
  <c r="AZ406"/>
  <c r="BA406" s="1"/>
  <c r="BD406" s="1"/>
  <c r="AZ368"/>
  <c r="BA368" s="1"/>
  <c r="BD368" s="1"/>
  <c r="AZ321"/>
  <c r="BA321" s="1"/>
  <c r="BD321" s="1"/>
  <c r="AZ319"/>
  <c r="BA319" s="1"/>
  <c r="AZ423"/>
  <c r="BA423" s="1"/>
  <c r="BD423" s="1"/>
  <c r="AZ402"/>
  <c r="BA402" s="1"/>
  <c r="BD402" s="1"/>
  <c r="AZ234"/>
  <c r="BA234" s="1"/>
  <c r="BD234" s="1"/>
  <c r="AZ390"/>
  <c r="BA390" s="1"/>
  <c r="BD390" s="1"/>
  <c r="AW99"/>
  <c r="AY99"/>
  <c r="BB161"/>
  <c r="BC161" s="1"/>
  <c r="AY91"/>
  <c r="AZ360"/>
  <c r="BA360" s="1"/>
  <c r="BD360" s="1"/>
  <c r="BJ299"/>
  <c r="AY84"/>
  <c r="AW94"/>
  <c r="AY159"/>
  <c r="AW84"/>
  <c r="AY127"/>
  <c r="BH158"/>
  <c r="BI158" s="1"/>
  <c r="AZ348"/>
  <c r="BA348" s="1"/>
  <c r="BD348" s="1"/>
  <c r="AY199"/>
  <c r="BG158"/>
  <c r="AA158" s="1"/>
  <c r="AY102"/>
  <c r="AZ301"/>
  <c r="BA301" s="1"/>
  <c r="BD301" s="1"/>
  <c r="AY154"/>
  <c r="AY207"/>
  <c r="AW154"/>
  <c r="AY155"/>
  <c r="AW158"/>
  <c r="AZ403"/>
  <c r="BA403" s="1"/>
  <c r="AZ374"/>
  <c r="BA374" s="1"/>
  <c r="BD374" s="1"/>
  <c r="BB163"/>
  <c r="BC163" s="1"/>
  <c r="AX92"/>
  <c r="AX97"/>
  <c r="BB100"/>
  <c r="BC100" s="1"/>
  <c r="AY121"/>
  <c r="AX173"/>
  <c r="AY215"/>
  <c r="AZ501"/>
  <c r="BA501" s="1"/>
  <c r="BD501" s="1"/>
  <c r="BB175"/>
  <c r="BC175" s="1"/>
  <c r="AY100"/>
  <c r="AX158"/>
  <c r="AY193"/>
  <c r="AY195"/>
  <c r="BA495"/>
  <c r="BD495" s="1"/>
  <c r="AX96"/>
  <c r="BB164"/>
  <c r="BC164" s="1"/>
  <c r="AX111"/>
  <c r="AY143"/>
  <c r="AY171"/>
  <c r="BB82"/>
  <c r="BC82" s="1"/>
  <c r="AX83"/>
  <c r="AX169"/>
  <c r="AX109"/>
  <c r="AY122"/>
  <c r="AX128"/>
  <c r="AX134"/>
  <c r="AX135"/>
  <c r="AX148"/>
  <c r="AY152"/>
  <c r="AX157"/>
  <c r="AX159"/>
  <c r="AY161"/>
  <c r="AY166"/>
  <c r="AY170"/>
  <c r="AX177"/>
  <c r="AX193"/>
  <c r="AX203"/>
  <c r="AX209"/>
  <c r="AZ445"/>
  <c r="BA445" s="1"/>
  <c r="BD445" s="1"/>
  <c r="AW82"/>
  <c r="AY87"/>
  <c r="AW92"/>
  <c r="AX100"/>
  <c r="AX105"/>
  <c r="AW109"/>
  <c r="AW119"/>
  <c r="AX120"/>
  <c r="AX121"/>
  <c r="AX124"/>
  <c r="AX125"/>
  <c r="AX136"/>
  <c r="AW141"/>
  <c r="AX142"/>
  <c r="AX143"/>
  <c r="AW147"/>
  <c r="AX149"/>
  <c r="BB154"/>
  <c r="BC154" s="1"/>
  <c r="AW155"/>
  <c r="AY162"/>
  <c r="AW163"/>
  <c r="AY189"/>
  <c r="AY197"/>
  <c r="AX199"/>
  <c r="AX204"/>
  <c r="AX216"/>
  <c r="AX222"/>
  <c r="AX223"/>
  <c r="AZ260"/>
  <c r="BA260" s="1"/>
  <c r="BD260" s="1"/>
  <c r="AZ469"/>
  <c r="BA469" s="1"/>
  <c r="BD469" s="1"/>
  <c r="AZ432"/>
  <c r="BA432" s="1"/>
  <c r="BD432" s="1"/>
  <c r="AZ356"/>
  <c r="BA356" s="1"/>
  <c r="BD356" s="1"/>
  <c r="AW83"/>
  <c r="AY113"/>
  <c r="AX137"/>
  <c r="AX144"/>
  <c r="AY163"/>
  <c r="AX184"/>
  <c r="AX195"/>
  <c r="AW204"/>
  <c r="AX212"/>
  <c r="AW223"/>
  <c r="AY85"/>
  <c r="AX86"/>
  <c r="AW89"/>
  <c r="AX90"/>
  <c r="AY93"/>
  <c r="AX98"/>
  <c r="AX101"/>
  <c r="AY104"/>
  <c r="AX112"/>
  <c r="AW116"/>
  <c r="AX122"/>
  <c r="AW130"/>
  <c r="AX131"/>
  <c r="AW137"/>
  <c r="AX152"/>
  <c r="BB158"/>
  <c r="BC158" s="1"/>
  <c r="AX161"/>
  <c r="AY164"/>
  <c r="AW165"/>
  <c r="AY168"/>
  <c r="AW169"/>
  <c r="AY172"/>
  <c r="AW173"/>
  <c r="AY176"/>
  <c r="AW178"/>
  <c r="AX200"/>
  <c r="AW205"/>
  <c r="AX206"/>
  <c r="AX207"/>
  <c r="AW211"/>
  <c r="AW217"/>
  <c r="AW224"/>
  <c r="AZ294"/>
  <c r="BA294" s="1"/>
  <c r="BD294" s="1"/>
  <c r="AZ278"/>
  <c r="BA278" s="1"/>
  <c r="BD278" s="1"/>
  <c r="AZ482"/>
  <c r="BA482" s="1"/>
  <c r="AZ480"/>
  <c r="BA480" s="1"/>
  <c r="BD480" s="1"/>
  <c r="AY82"/>
  <c r="AX89"/>
  <c r="AW143"/>
  <c r="AX150"/>
  <c r="AW216"/>
  <c r="AW86"/>
  <c r="AZ86" s="1"/>
  <c r="AY88"/>
  <c r="AW90"/>
  <c r="BB94"/>
  <c r="BC94" s="1"/>
  <c r="AW112"/>
  <c r="AX118"/>
  <c r="AW124"/>
  <c r="AW126"/>
  <c r="AX127"/>
  <c r="AX132"/>
  <c r="AX139"/>
  <c r="AW144"/>
  <c r="AX145"/>
  <c r="AW151"/>
  <c r="AX156"/>
  <c r="AY158"/>
  <c r="BB165"/>
  <c r="BC165" s="1"/>
  <c r="AW195"/>
  <c r="AX196"/>
  <c r="AX197"/>
  <c r="AW212"/>
  <c r="AX213"/>
  <c r="AW218"/>
  <c r="AX219"/>
  <c r="AZ257"/>
  <c r="BA257" s="1"/>
  <c r="BD257" s="1"/>
  <c r="AZ471"/>
  <c r="BA471" s="1"/>
  <c r="BD471" s="1"/>
  <c r="AZ455"/>
  <c r="BA455" s="1"/>
  <c r="BD455" s="1"/>
  <c r="AW88"/>
  <c r="AY109"/>
  <c r="AW129"/>
  <c r="AW136"/>
  <c r="AW149"/>
  <c r="AX151"/>
  <c r="AY182"/>
  <c r="AX217"/>
  <c r="BB84"/>
  <c r="BC84" s="1"/>
  <c r="AW85"/>
  <c r="AW93"/>
  <c r="AY94"/>
  <c r="AY97"/>
  <c r="AX99"/>
  <c r="AW102"/>
  <c r="BB108"/>
  <c r="BC108" s="1"/>
  <c r="AW122"/>
  <c r="AW131"/>
  <c r="AX133"/>
  <c r="AX140"/>
  <c r="AW145"/>
  <c r="AW152"/>
  <c r="AW159"/>
  <c r="AW161"/>
  <c r="AY165"/>
  <c r="AW166"/>
  <c r="AY169"/>
  <c r="AW170"/>
  <c r="AY173"/>
  <c r="AW179"/>
  <c r="AX182"/>
  <c r="AX187"/>
  <c r="AW196"/>
  <c r="AW200"/>
  <c r="AW207"/>
  <c r="AX208"/>
  <c r="AX220"/>
  <c r="AY224"/>
  <c r="AZ464"/>
  <c r="BA464" s="1"/>
  <c r="BD464" s="1"/>
  <c r="AZ470"/>
  <c r="BA470" s="1"/>
  <c r="BD470" s="1"/>
  <c r="BC502"/>
  <c r="BC454"/>
  <c r="BC434"/>
  <c r="BC447"/>
  <c r="BC493"/>
  <c r="BC397"/>
  <c r="BC318"/>
  <c r="BC469"/>
  <c r="BA315"/>
  <c r="BD315" s="1"/>
  <c r="BC425"/>
  <c r="BC363"/>
  <c r="BC352"/>
  <c r="BC319"/>
  <c r="BA353"/>
  <c r="BD353" s="1"/>
  <c r="BC331"/>
  <c r="BC499"/>
  <c r="BA512"/>
  <c r="BD512" s="1"/>
  <c r="BC472"/>
  <c r="BC476"/>
  <c r="BC444"/>
  <c r="BC485"/>
  <c r="BA454"/>
  <c r="BD454" s="1"/>
  <c r="BC470"/>
  <c r="BC423"/>
  <c r="BC460"/>
  <c r="BC380"/>
  <c r="BC344"/>
  <c r="BC314"/>
  <c r="BC433"/>
  <c r="BC317"/>
  <c r="BC407"/>
  <c r="BC338"/>
  <c r="BC347"/>
  <c r="BC328"/>
  <c r="BC309"/>
  <c r="BC497"/>
  <c r="BC473"/>
  <c r="BC509"/>
  <c r="BC498"/>
  <c r="BC418"/>
  <c r="BC446"/>
  <c r="BC479"/>
  <c r="BC432"/>
  <c r="BC367"/>
  <c r="BC351"/>
  <c r="BC332"/>
  <c r="BC440"/>
  <c r="BA359"/>
  <c r="BD359" s="1"/>
  <c r="BC449"/>
  <c r="BC428"/>
  <c r="BC365"/>
  <c r="BC343"/>
  <c r="BC420"/>
  <c r="BC410"/>
  <c r="BC400"/>
  <c r="BA317"/>
  <c r="BD317" s="1"/>
  <c r="BC421"/>
  <c r="BC303"/>
  <c r="BC370"/>
  <c r="BC392"/>
  <c r="BC308"/>
  <c r="BC312"/>
  <c r="BC462"/>
  <c r="BC402"/>
  <c r="BC511"/>
  <c r="BC448"/>
  <c r="BC377"/>
  <c r="BC374"/>
  <c r="BC412"/>
  <c r="BC371"/>
  <c r="BC327"/>
  <c r="BC398"/>
  <c r="BC304"/>
  <c r="BC480"/>
  <c r="BC452"/>
  <c r="BC457"/>
  <c r="BC414"/>
  <c r="BC348"/>
  <c r="BC408"/>
  <c r="BC320"/>
  <c r="BA394"/>
  <c r="BD394" s="1"/>
  <c r="BC349"/>
  <c r="BC507"/>
  <c r="BC491"/>
  <c r="BC505"/>
  <c r="BC427"/>
  <c r="BC467"/>
  <c r="BC445"/>
  <c r="BC429"/>
  <c r="BC324"/>
  <c r="BC431"/>
  <c r="BC376"/>
  <c r="BC357"/>
  <c r="BC404"/>
  <c r="BC475"/>
  <c r="BC406"/>
  <c r="BC379"/>
  <c r="BC350"/>
  <c r="BC419"/>
  <c r="BC342"/>
  <c r="BC307"/>
  <c r="BC341"/>
  <c r="BC302"/>
  <c r="BC311"/>
  <c r="BC337"/>
  <c r="BC488"/>
  <c r="BC455"/>
  <c r="BC481"/>
  <c r="BC510"/>
  <c r="BC486"/>
  <c r="BC501"/>
  <c r="BC358"/>
  <c r="BC355"/>
  <c r="BC329"/>
  <c r="BC333"/>
  <c r="BC512"/>
  <c r="BC468"/>
  <c r="BC413"/>
  <c r="BC436"/>
  <c r="BC391"/>
  <c r="BC389"/>
  <c r="BC500"/>
  <c r="BC489"/>
  <c r="BC506"/>
  <c r="BC484"/>
  <c r="BC463"/>
  <c r="BC426"/>
  <c r="BC483"/>
  <c r="BC450"/>
  <c r="BC359"/>
  <c r="BC458"/>
  <c r="BC424"/>
  <c r="BC405"/>
  <c r="BC385"/>
  <c r="BC430"/>
  <c r="BC336"/>
  <c r="BC346"/>
  <c r="BC443"/>
  <c r="BC373"/>
  <c r="BC326"/>
  <c r="BC459"/>
  <c r="BC396"/>
  <c r="BA342"/>
  <c r="BD342" s="1"/>
  <c r="BC300"/>
  <c r="BC360"/>
  <c r="BC322"/>
  <c r="BC477"/>
  <c r="BC422"/>
  <c r="BC435"/>
  <c r="BC495"/>
  <c r="BC417"/>
  <c r="BC378"/>
  <c r="BC372"/>
  <c r="BC335"/>
  <c r="BC301"/>
  <c r="BC394"/>
  <c r="BC456"/>
  <c r="BC461"/>
  <c r="BC490"/>
  <c r="BC415"/>
  <c r="BC399"/>
  <c r="BC325"/>
  <c r="AZ371"/>
  <c r="BC330"/>
  <c r="BC503"/>
  <c r="BC487"/>
  <c r="BC494"/>
  <c r="BC466"/>
  <c r="BC482"/>
  <c r="BC464"/>
  <c r="BC439"/>
  <c r="BC340"/>
  <c r="BC366"/>
  <c r="BC345"/>
  <c r="BC334"/>
  <c r="BC361"/>
  <c r="BC313"/>
  <c r="BC353"/>
  <c r="BC277"/>
  <c r="BC295"/>
  <c r="BC291"/>
  <c r="BC269"/>
  <c r="BC288"/>
  <c r="BC227"/>
  <c r="BC257"/>
  <c r="BC250"/>
  <c r="BC292"/>
  <c r="BC265"/>
  <c r="BC272"/>
  <c r="BC293"/>
  <c r="BC286"/>
  <c r="BC274"/>
  <c r="BC245"/>
  <c r="BC258"/>
  <c r="BC263"/>
  <c r="BC280"/>
  <c r="BC251"/>
  <c r="BC281"/>
  <c r="BC296"/>
  <c r="BC253"/>
  <c r="BC270"/>
  <c r="BC261"/>
  <c r="BC273"/>
  <c r="BC287"/>
  <c r="BC254"/>
  <c r="BC276"/>
  <c r="BC233"/>
  <c r="BC285"/>
  <c r="BC247"/>
  <c r="BA239"/>
  <c r="BD239" s="1"/>
  <c r="BC236"/>
  <c r="BC255"/>
  <c r="BC290"/>
  <c r="BC283"/>
  <c r="BC246"/>
  <c r="BC294"/>
  <c r="BC278"/>
  <c r="BC249"/>
  <c r="BC289"/>
  <c r="BC237"/>
  <c r="BC226"/>
  <c r="BC275"/>
  <c r="BC268"/>
  <c r="BC235"/>
  <c r="BC284"/>
  <c r="BC232"/>
  <c r="BC267"/>
  <c r="BC266"/>
  <c r="BC244"/>
  <c r="BC279"/>
  <c r="BC282"/>
  <c r="BC252"/>
  <c r="BA265"/>
  <c r="BD265" s="1"/>
  <c r="BC248"/>
  <c r="BC234"/>
  <c r="BC231"/>
  <c r="BC228"/>
  <c r="BF154"/>
  <c r="BG154"/>
  <c r="AA154" s="1"/>
  <c r="BB199"/>
  <c r="BC199" s="1"/>
  <c r="BB174"/>
  <c r="BC174" s="1"/>
  <c r="BB181"/>
  <c r="BC181" s="1"/>
  <c r="BB105"/>
  <c r="BC105" s="1"/>
  <c r="BH84"/>
  <c r="BI84" s="1"/>
  <c r="BB102"/>
  <c r="BC102" s="1"/>
  <c r="BB113"/>
  <c r="BC113" s="1"/>
  <c r="BH87"/>
  <c r="BI87" s="1"/>
  <c r="BB127"/>
  <c r="BC127" s="1"/>
  <c r="BG84"/>
  <c r="AA84" s="1"/>
  <c r="BB121"/>
  <c r="BC121" s="1"/>
  <c r="BH157"/>
  <c r="BI157" s="1"/>
  <c r="BG157"/>
  <c r="AA157" s="1"/>
  <c r="BF157"/>
  <c r="BG155"/>
  <c r="AA155" s="1"/>
  <c r="BH155"/>
  <c r="BI155" s="1"/>
  <c r="BF155"/>
  <c r="AY157"/>
  <c r="AY156"/>
  <c r="AW156"/>
  <c r="BB156"/>
  <c r="BB157"/>
  <c r="BB160"/>
  <c r="AY160"/>
  <c r="AW160"/>
  <c r="BG159"/>
  <c r="AA159" s="1"/>
  <c r="BF159"/>
  <c r="BH159"/>
  <c r="BI159" s="1"/>
  <c r="AW190"/>
  <c r="BB190"/>
  <c r="BB209"/>
  <c r="AY209"/>
  <c r="BB155"/>
  <c r="BB159"/>
  <c r="BB162"/>
  <c r="BB173"/>
  <c r="AY174"/>
  <c r="AY175"/>
  <c r="BB192"/>
  <c r="AW194"/>
  <c r="BB194"/>
  <c r="BB196"/>
  <c r="BB198"/>
  <c r="AY198"/>
  <c r="BB203"/>
  <c r="AY203"/>
  <c r="BB212"/>
  <c r="AY212"/>
  <c r="AW174"/>
  <c r="BB166"/>
  <c r="BB169"/>
  <c r="BB172"/>
  <c r="AY181"/>
  <c r="AW186"/>
  <c r="BB186"/>
  <c r="BG156"/>
  <c r="AA156" s="1"/>
  <c r="AX175"/>
  <c r="AW177"/>
  <c r="AY178"/>
  <c r="AX179"/>
  <c r="AW180"/>
  <c r="AY191"/>
  <c r="BB204"/>
  <c r="AY204"/>
  <c r="BB216"/>
  <c r="AY216"/>
  <c r="AY223"/>
  <c r="BB208"/>
  <c r="AY208"/>
  <c r="BB167"/>
  <c r="BB168"/>
  <c r="BB171"/>
  <c r="BB185"/>
  <c r="BB201"/>
  <c r="AY201"/>
  <c r="BB219"/>
  <c r="AY219"/>
  <c r="BH156"/>
  <c r="BI156" s="1"/>
  <c r="BB177"/>
  <c r="AX186"/>
  <c r="AY187"/>
  <c r="BB189"/>
  <c r="BB197"/>
  <c r="BB217"/>
  <c r="AY217"/>
  <c r="BB223"/>
  <c r="BB170"/>
  <c r="BB200"/>
  <c r="AY200"/>
  <c r="BB178"/>
  <c r="BB176"/>
  <c r="AY177"/>
  <c r="AX181"/>
  <c r="BB182"/>
  <c r="BB193"/>
  <c r="AX194"/>
  <c r="BB195"/>
  <c r="BB211"/>
  <c r="AY211"/>
  <c r="BB220"/>
  <c r="AY220"/>
  <c r="AX180"/>
  <c r="AX190"/>
  <c r="BB188"/>
  <c r="BB191"/>
  <c r="AY194"/>
  <c r="AY179"/>
  <c r="BB179"/>
  <c r="AY183"/>
  <c r="BB184"/>
  <c r="BB187"/>
  <c r="AY190"/>
  <c r="AY202"/>
  <c r="AW206"/>
  <c r="AY206"/>
  <c r="AY210"/>
  <c r="AW214"/>
  <c r="AY214"/>
  <c r="AY218"/>
  <c r="AW222"/>
  <c r="AY222"/>
  <c r="AY180"/>
  <c r="BB180"/>
  <c r="BB183"/>
  <c r="AY186"/>
  <c r="BB224"/>
  <c r="AY184"/>
  <c r="AW185"/>
  <c r="AY188"/>
  <c r="AW189"/>
  <c r="AY192"/>
  <c r="AW193"/>
  <c r="AY196"/>
  <c r="BB202"/>
  <c r="BB210"/>
  <c r="BB218"/>
  <c r="BB207"/>
  <c r="BB215"/>
  <c r="AY205"/>
  <c r="BB206"/>
  <c r="AY213"/>
  <c r="BB214"/>
  <c r="AY221"/>
  <c r="BB222"/>
  <c r="BB205"/>
  <c r="BB213"/>
  <c r="BB221"/>
  <c r="AY101"/>
  <c r="AW101"/>
  <c r="AY86"/>
  <c r="AY89"/>
  <c r="AW95"/>
  <c r="AY95"/>
  <c r="AY96"/>
  <c r="AW96"/>
  <c r="AY83"/>
  <c r="AY92"/>
  <c r="BF83"/>
  <c r="BB89"/>
  <c r="BB101"/>
  <c r="BB103"/>
  <c r="AW114"/>
  <c r="BB114"/>
  <c r="BB131"/>
  <c r="AY131"/>
  <c r="BG82"/>
  <c r="AA82" s="1"/>
  <c r="BB95"/>
  <c r="BB123"/>
  <c r="AY123"/>
  <c r="BF85"/>
  <c r="BB88"/>
  <c r="BB90"/>
  <c r="BB96"/>
  <c r="BB107"/>
  <c r="AY108"/>
  <c r="BB117"/>
  <c r="BB119"/>
  <c r="BB125"/>
  <c r="AY125"/>
  <c r="BB129"/>
  <c r="AY129"/>
  <c r="BB147"/>
  <c r="AY147"/>
  <c r="BB136"/>
  <c r="AY136"/>
  <c r="BF86"/>
  <c r="BF82"/>
  <c r="BG83"/>
  <c r="AA83" s="1"/>
  <c r="BB86"/>
  <c r="BB92"/>
  <c r="AY103"/>
  <c r="BB140"/>
  <c r="AY140"/>
  <c r="BB85"/>
  <c r="BG85"/>
  <c r="AA85" s="1"/>
  <c r="BB93"/>
  <c r="BB97"/>
  <c r="AW97"/>
  <c r="BB132"/>
  <c r="AY132"/>
  <c r="BB144"/>
  <c r="AY144"/>
  <c r="AY151"/>
  <c r="AW111"/>
  <c r="AY111"/>
  <c r="BB137"/>
  <c r="AY137"/>
  <c r="AY115"/>
  <c r="AY119"/>
  <c r="AY117"/>
  <c r="BB128"/>
  <c r="AY128"/>
  <c r="AY135"/>
  <c r="BB83"/>
  <c r="BF87"/>
  <c r="BB98"/>
  <c r="AW98"/>
  <c r="BB106"/>
  <c r="BB145"/>
  <c r="AY145"/>
  <c r="BB151"/>
  <c r="BB109"/>
  <c r="BG86"/>
  <c r="AA86" s="1"/>
  <c r="BB104"/>
  <c r="BB87"/>
  <c r="BB91"/>
  <c r="BB99"/>
  <c r="AW105"/>
  <c r="AX108"/>
  <c r="BB116"/>
  <c r="AW118"/>
  <c r="BB118"/>
  <c r="BB120"/>
  <c r="BB122"/>
  <c r="AY126"/>
  <c r="BB139"/>
  <c r="AY139"/>
  <c r="BB148"/>
  <c r="AY148"/>
  <c r="AY106"/>
  <c r="AX114"/>
  <c r="BB124"/>
  <c r="BB126"/>
  <c r="AY107"/>
  <c r="BB112"/>
  <c r="BB115"/>
  <c r="AY118"/>
  <c r="AY110"/>
  <c r="BB110"/>
  <c r="BB111"/>
  <c r="AY114"/>
  <c r="AY130"/>
  <c r="AW134"/>
  <c r="AY134"/>
  <c r="AY138"/>
  <c r="AW142"/>
  <c r="AY142"/>
  <c r="AY146"/>
  <c r="AW150"/>
  <c r="AY150"/>
  <c r="AY105"/>
  <c r="BB152"/>
  <c r="AY112"/>
  <c r="AW113"/>
  <c r="AY116"/>
  <c r="AW117"/>
  <c r="AY120"/>
  <c r="AW121"/>
  <c r="AY124"/>
  <c r="BB130"/>
  <c r="BB138"/>
  <c r="BB146"/>
  <c r="BB135"/>
  <c r="BB143"/>
  <c r="AY133"/>
  <c r="BB134"/>
  <c r="AY141"/>
  <c r="BB142"/>
  <c r="AY149"/>
  <c r="BB150"/>
  <c r="BB133"/>
  <c r="BB141"/>
  <c r="BB149"/>
  <c r="AW77"/>
  <c r="AW69"/>
  <c r="AW61"/>
  <c r="AW53"/>
  <c r="AW45"/>
  <c r="AW37"/>
  <c r="AW29"/>
  <c r="AW21"/>
  <c r="AW13"/>
  <c r="AX57"/>
  <c r="AX17"/>
  <c r="AX71"/>
  <c r="AX63"/>
  <c r="AW44"/>
  <c r="AW67"/>
  <c r="AW59"/>
  <c r="AW51"/>
  <c r="AW27"/>
  <c r="AW19"/>
  <c r="AY74"/>
  <c r="AY58"/>
  <c r="AY50"/>
  <c r="AY42"/>
  <c r="AY26"/>
  <c r="AY18"/>
  <c r="AW78"/>
  <c r="AW62"/>
  <c r="AW54"/>
  <c r="AW46"/>
  <c r="AW30"/>
  <c r="AW14"/>
  <c r="AW76"/>
  <c r="AW68"/>
  <c r="AW60"/>
  <c r="AW52"/>
  <c r="AW12"/>
  <c r="AX74"/>
  <c r="AX66"/>
  <c r="AX58"/>
  <c r="AX50"/>
  <c r="AX42"/>
  <c r="AX34"/>
  <c r="AX26"/>
  <c r="AX18"/>
  <c r="AX72"/>
  <c r="AY64"/>
  <c r="AX46"/>
  <c r="AX30"/>
  <c r="AX14"/>
  <c r="AW75"/>
  <c r="AX64"/>
  <c r="AW74"/>
  <c r="AW66"/>
  <c r="AW58"/>
  <c r="AW50"/>
  <c r="AW42"/>
  <c r="AW34"/>
  <c r="AW18"/>
  <c r="AX78"/>
  <c r="AY77"/>
  <c r="AY69"/>
  <c r="AY61"/>
  <c r="AY53"/>
  <c r="AY45"/>
  <c r="AY37"/>
  <c r="AY29"/>
  <c r="AY21"/>
  <c r="AY13"/>
  <c r="AW73"/>
  <c r="AW65"/>
  <c r="AW57"/>
  <c r="AW49"/>
  <c r="AW41"/>
  <c r="AW33"/>
  <c r="AW25"/>
  <c r="AW17"/>
  <c r="AW79"/>
  <c r="AW63"/>
  <c r="AX77"/>
  <c r="AX69"/>
  <c r="AX61"/>
  <c r="AX53"/>
  <c r="AX45"/>
  <c r="AX37"/>
  <c r="AX29"/>
  <c r="AX21"/>
  <c r="AX13"/>
  <c r="AX49"/>
  <c r="AX33"/>
  <c r="AY76"/>
  <c r="AY68"/>
  <c r="AY60"/>
  <c r="AY52"/>
  <c r="AY44"/>
  <c r="AY36"/>
  <c r="AY28"/>
  <c r="AY20"/>
  <c r="AY12"/>
  <c r="AW72"/>
  <c r="AW64"/>
  <c r="AW56"/>
  <c r="AW24"/>
  <c r="AX76"/>
  <c r="AX68"/>
  <c r="AX60"/>
  <c r="AX52"/>
  <c r="AX44"/>
  <c r="AX36"/>
  <c r="AX28"/>
  <c r="AX20"/>
  <c r="AX12"/>
  <c r="AY71"/>
  <c r="AY55"/>
  <c r="AY39"/>
  <c r="AY23"/>
  <c r="AY40"/>
  <c r="AY32"/>
  <c r="BB26"/>
  <c r="BC26" s="1"/>
  <c r="BB46"/>
  <c r="BC46" s="1"/>
  <c r="BB30"/>
  <c r="BC30" s="1"/>
  <c r="BB14"/>
  <c r="BC14" s="1"/>
  <c r="BB18"/>
  <c r="BC18" s="1"/>
  <c r="BB64"/>
  <c r="BB63"/>
  <c r="AW80"/>
  <c r="AY80"/>
  <c r="BB78"/>
  <c r="AW71"/>
  <c r="BB45"/>
  <c r="BB68"/>
  <c r="BB52"/>
  <c r="BB36"/>
  <c r="BB20"/>
  <c r="AY73"/>
  <c r="BB73"/>
  <c r="AY57"/>
  <c r="AY41"/>
  <c r="BB41"/>
  <c r="AY25"/>
  <c r="AX73"/>
  <c r="BB58"/>
  <c r="AW32"/>
  <c r="BB57"/>
  <c r="AY72"/>
  <c r="AY24"/>
  <c r="BB50"/>
  <c r="BB80"/>
  <c r="BB56"/>
  <c r="BB40"/>
  <c r="BB24"/>
  <c r="BB16"/>
  <c r="BB79"/>
  <c r="BB55"/>
  <c r="BB39"/>
  <c r="BB23"/>
  <c r="BB15"/>
  <c r="AW48"/>
  <c r="AY48"/>
  <c r="BB62"/>
  <c r="BB61"/>
  <c r="BB76"/>
  <c r="BB60"/>
  <c r="BB44"/>
  <c r="BB28"/>
  <c r="BB12"/>
  <c r="AY65"/>
  <c r="AY49"/>
  <c r="AY33"/>
  <c r="AY17"/>
  <c r="AX65"/>
  <c r="AX41"/>
  <c r="AX25"/>
  <c r="BB65"/>
  <c r="BB49"/>
  <c r="BB33"/>
  <c r="BB17"/>
  <c r="AX70"/>
  <c r="AX62"/>
  <c r="AX54"/>
  <c r="AX38"/>
  <c r="AX22"/>
  <c r="AW55"/>
  <c r="BB42"/>
  <c r="BB11"/>
  <c r="BB72"/>
  <c r="BB48"/>
  <c r="BB32"/>
  <c r="BB71"/>
  <c r="BB47"/>
  <c r="BB31"/>
  <c r="AY16"/>
  <c r="AW16"/>
  <c r="AY56"/>
  <c r="BB25"/>
  <c r="BB77"/>
  <c r="BB69"/>
  <c r="BB53"/>
  <c r="BB37"/>
  <c r="BB29"/>
  <c r="BB21"/>
  <c r="BB13"/>
  <c r="AY66"/>
  <c r="BB66"/>
  <c r="AY34"/>
  <c r="BB34"/>
  <c r="BB70"/>
  <c r="BB54"/>
  <c r="AW38"/>
  <c r="BB38"/>
  <c r="AW22"/>
  <c r="BB22"/>
  <c r="AW70"/>
  <c r="AW40"/>
  <c r="BB74"/>
  <c r="AW36"/>
  <c r="AW28"/>
  <c r="AW20"/>
  <c r="AX80"/>
  <c r="AX56"/>
  <c r="AY79"/>
  <c r="AY63"/>
  <c r="AY47"/>
  <c r="AY31"/>
  <c r="AY15"/>
  <c r="AW35"/>
  <c r="AW11"/>
  <c r="AX79"/>
  <c r="AX55"/>
  <c r="AX47"/>
  <c r="AX39"/>
  <c r="AX31"/>
  <c r="AX23"/>
  <c r="AX15"/>
  <c r="AY75"/>
  <c r="AY67"/>
  <c r="AY59"/>
  <c r="AY51"/>
  <c r="AY43"/>
  <c r="AY35"/>
  <c r="AY27"/>
  <c r="AY19"/>
  <c r="AY11"/>
  <c r="AW47"/>
  <c r="AW39"/>
  <c r="AW31"/>
  <c r="AW23"/>
  <c r="AW15"/>
  <c r="AX75"/>
  <c r="AX67"/>
  <c r="AX59"/>
  <c r="AX51"/>
  <c r="AX43"/>
  <c r="AX35"/>
  <c r="AX27"/>
  <c r="AX19"/>
  <c r="AX11"/>
  <c r="BB75"/>
  <c r="BB67"/>
  <c r="BB59"/>
  <c r="BB51"/>
  <c r="BB43"/>
  <c r="BB35"/>
  <c r="BB27"/>
  <c r="BB19"/>
  <c r="AX48"/>
  <c r="AX40"/>
  <c r="AX32"/>
  <c r="AX24"/>
  <c r="AX16"/>
  <c r="AY78"/>
  <c r="AY70"/>
  <c r="AY62"/>
  <c r="AY54"/>
  <c r="AY46"/>
  <c r="AY38"/>
  <c r="AY30"/>
  <c r="AY22"/>
  <c r="AY14"/>
  <c r="BG508" l="1"/>
  <c r="AA508" s="1"/>
  <c r="AB508"/>
  <c r="BE379"/>
  <c r="AB379" s="1"/>
  <c r="BJ282"/>
  <c r="BE473"/>
  <c r="BF473" s="1"/>
  <c r="BE484"/>
  <c r="AZ95"/>
  <c r="BA95" s="1"/>
  <c r="BD95" s="1"/>
  <c r="AZ172"/>
  <c r="BA172" s="1"/>
  <c r="BD172" s="1"/>
  <c r="BJ227"/>
  <c r="AZ174"/>
  <c r="BA174" s="1"/>
  <c r="BD174" s="1"/>
  <c r="BE263"/>
  <c r="AZ138"/>
  <c r="BA138" s="1"/>
  <c r="BD138" s="1"/>
  <c r="AZ109"/>
  <c r="BA109" s="1"/>
  <c r="BD109" s="1"/>
  <c r="AZ98"/>
  <c r="BA98" s="1"/>
  <c r="BD98" s="1"/>
  <c r="AZ191"/>
  <c r="BA191" s="1"/>
  <c r="BD191" s="1"/>
  <c r="AZ212"/>
  <c r="BA212" s="1"/>
  <c r="BD212" s="1"/>
  <c r="BD386"/>
  <c r="BJ386" s="1"/>
  <c r="BJ444"/>
  <c r="BD290"/>
  <c r="BE290" s="1"/>
  <c r="AZ132"/>
  <c r="BA132" s="1"/>
  <c r="BD132" s="1"/>
  <c r="AZ103"/>
  <c r="BA103" s="1"/>
  <c r="BD103" s="1"/>
  <c r="AZ136"/>
  <c r="BA136" s="1"/>
  <c r="BD136" s="1"/>
  <c r="AZ178"/>
  <c r="BA178" s="1"/>
  <c r="BD178" s="1"/>
  <c r="AZ154"/>
  <c r="BA154" s="1"/>
  <c r="BD154" s="1"/>
  <c r="BJ154" s="1"/>
  <c r="BD429"/>
  <c r="BJ429" s="1"/>
  <c r="AZ17"/>
  <c r="BA17" s="1"/>
  <c r="BD17" s="1"/>
  <c r="AZ135"/>
  <c r="BA135" s="1"/>
  <c r="BD135" s="1"/>
  <c r="BD439"/>
  <c r="BJ439" s="1"/>
  <c r="AZ209"/>
  <c r="BA209" s="1"/>
  <c r="BD209" s="1"/>
  <c r="AZ99"/>
  <c r="BA99" s="1"/>
  <c r="BE511"/>
  <c r="AZ201"/>
  <c r="BA201" s="1"/>
  <c r="BD201" s="1"/>
  <c r="AZ128"/>
  <c r="BA128" s="1"/>
  <c r="BD128" s="1"/>
  <c r="AZ115"/>
  <c r="BA115" s="1"/>
  <c r="BD115" s="1"/>
  <c r="BJ307"/>
  <c r="AZ91"/>
  <c r="BA91" s="1"/>
  <c r="BD91" s="1"/>
  <c r="AZ148"/>
  <c r="BA148" s="1"/>
  <c r="BD384"/>
  <c r="BE384" s="1"/>
  <c r="BE428"/>
  <c r="BF508"/>
  <c r="BJ226"/>
  <c r="BD496"/>
  <c r="BE496" s="1"/>
  <c r="BJ300"/>
  <c r="BD341"/>
  <c r="BJ341" s="1"/>
  <c r="AZ223"/>
  <c r="BA223" s="1"/>
  <c r="BD223" s="1"/>
  <c r="AZ220"/>
  <c r="BA220" s="1"/>
  <c r="BD220" s="1"/>
  <c r="AZ45"/>
  <c r="BA45" s="1"/>
  <c r="BD45" s="1"/>
  <c r="AZ177"/>
  <c r="BA177" s="1"/>
  <c r="BD177" s="1"/>
  <c r="AZ192"/>
  <c r="BA192" s="1"/>
  <c r="BD192" s="1"/>
  <c r="AZ205"/>
  <c r="BA205" s="1"/>
  <c r="BD205" s="1"/>
  <c r="AZ170"/>
  <c r="BA170" s="1"/>
  <c r="BD170" s="1"/>
  <c r="AZ134"/>
  <c r="BA134" s="1"/>
  <c r="BD134" s="1"/>
  <c r="BJ421"/>
  <c r="AZ83"/>
  <c r="BA83" s="1"/>
  <c r="BD83" s="1"/>
  <c r="AZ149"/>
  <c r="BA149" s="1"/>
  <c r="BD149" s="1"/>
  <c r="AZ166"/>
  <c r="BA166" s="1"/>
  <c r="BD166" s="1"/>
  <c r="BE309"/>
  <c r="AZ187"/>
  <c r="BA187" s="1"/>
  <c r="BD187" s="1"/>
  <c r="AZ144"/>
  <c r="BA144" s="1"/>
  <c r="BD144" s="1"/>
  <c r="AZ147"/>
  <c r="BA147" s="1"/>
  <c r="BD147" s="1"/>
  <c r="AZ208"/>
  <c r="BA208" s="1"/>
  <c r="BD208" s="1"/>
  <c r="AZ202"/>
  <c r="BA202" s="1"/>
  <c r="BD202" s="1"/>
  <c r="AZ34"/>
  <c r="BA34" s="1"/>
  <c r="BD34" s="1"/>
  <c r="AZ110"/>
  <c r="BA110" s="1"/>
  <c r="BD110" s="1"/>
  <c r="AZ188"/>
  <c r="BA188" s="1"/>
  <c r="BD188" s="1"/>
  <c r="AZ84"/>
  <c r="BA84" s="1"/>
  <c r="BD84" s="1"/>
  <c r="BJ84" s="1"/>
  <c r="AZ27"/>
  <c r="BA27" s="1"/>
  <c r="BD27" s="1"/>
  <c r="AZ189"/>
  <c r="BA189" s="1"/>
  <c r="BD189" s="1"/>
  <c r="AZ90"/>
  <c r="BA90" s="1"/>
  <c r="BD90" s="1"/>
  <c r="AZ169"/>
  <c r="BA169" s="1"/>
  <c r="BD169" s="1"/>
  <c r="AZ195"/>
  <c r="BA195" s="1"/>
  <c r="BD195" s="1"/>
  <c r="AZ102"/>
  <c r="BA102" s="1"/>
  <c r="BD102" s="1"/>
  <c r="AZ168"/>
  <c r="BA168" s="1"/>
  <c r="BD168" s="1"/>
  <c r="AZ44"/>
  <c r="BA44" s="1"/>
  <c r="BD44" s="1"/>
  <c r="BH508"/>
  <c r="BI508" s="1"/>
  <c r="AZ126"/>
  <c r="BA126" s="1"/>
  <c r="BD126" s="1"/>
  <c r="AZ131"/>
  <c r="BA131" s="1"/>
  <c r="BD131" s="1"/>
  <c r="AZ206"/>
  <c r="BA206" s="1"/>
  <c r="BD206" s="1"/>
  <c r="BJ508"/>
  <c r="AZ88"/>
  <c r="BA88" s="1"/>
  <c r="BD88" s="1"/>
  <c r="AZ173"/>
  <c r="BA173" s="1"/>
  <c r="BD173" s="1"/>
  <c r="AZ82"/>
  <c r="BA82" s="1"/>
  <c r="BD82" s="1"/>
  <c r="BJ82" s="1"/>
  <c r="AZ85"/>
  <c r="BA85" s="1"/>
  <c r="BD85" s="1"/>
  <c r="AZ213"/>
  <c r="BA213" s="1"/>
  <c r="BD213" s="1"/>
  <c r="AZ106"/>
  <c r="BA106" s="1"/>
  <c r="BD106" s="1"/>
  <c r="BJ302"/>
  <c r="BE274"/>
  <c r="AZ130"/>
  <c r="BA130" s="1"/>
  <c r="BD130" s="1"/>
  <c r="BG259"/>
  <c r="AA259" s="1"/>
  <c r="BH259"/>
  <c r="BI259" s="1"/>
  <c r="BF259"/>
  <c r="BE490"/>
  <c r="AZ120"/>
  <c r="BA120" s="1"/>
  <c r="BD120" s="1"/>
  <c r="AZ117"/>
  <c r="BA117" s="1"/>
  <c r="BD117" s="1"/>
  <c r="BJ259"/>
  <c r="AZ119"/>
  <c r="BA119" s="1"/>
  <c r="BD119" s="1"/>
  <c r="AZ94"/>
  <c r="BA94" s="1"/>
  <c r="BD94" s="1"/>
  <c r="AZ146"/>
  <c r="BA146" s="1"/>
  <c r="BD146" s="1"/>
  <c r="BJ303"/>
  <c r="AZ197"/>
  <c r="BA197" s="1"/>
  <c r="BD197" s="1"/>
  <c r="AZ127"/>
  <c r="BA127" s="1"/>
  <c r="BE468"/>
  <c r="AZ167"/>
  <c r="BA167" s="1"/>
  <c r="BD167" s="1"/>
  <c r="AZ107"/>
  <c r="BA107" s="1"/>
  <c r="BD107" s="1"/>
  <c r="AZ175"/>
  <c r="BA175" s="1"/>
  <c r="BD175" s="1"/>
  <c r="AZ113"/>
  <c r="BA113" s="1"/>
  <c r="BD113" s="1"/>
  <c r="AZ194"/>
  <c r="BA194" s="1"/>
  <c r="BD194" s="1"/>
  <c r="AZ142"/>
  <c r="BA142" s="1"/>
  <c r="BD142" s="1"/>
  <c r="AZ111"/>
  <c r="BA111" s="1"/>
  <c r="BD111" s="1"/>
  <c r="BJ427"/>
  <c r="BE499"/>
  <c r="AZ140"/>
  <c r="BA140" s="1"/>
  <c r="BD140" s="1"/>
  <c r="AZ116"/>
  <c r="BA116" s="1"/>
  <c r="BD116" s="1"/>
  <c r="AZ210"/>
  <c r="BA210" s="1"/>
  <c r="AZ164"/>
  <c r="BA164" s="1"/>
  <c r="BD164" s="1"/>
  <c r="AZ219"/>
  <c r="BA219" s="1"/>
  <c r="BD219" s="1"/>
  <c r="AZ96"/>
  <c r="BA96" s="1"/>
  <c r="BD96" s="1"/>
  <c r="AZ207"/>
  <c r="BA207" s="1"/>
  <c r="BD207" s="1"/>
  <c r="AZ133"/>
  <c r="BA133" s="1"/>
  <c r="BD133" s="1"/>
  <c r="AZ93"/>
  <c r="BA93" s="1"/>
  <c r="AZ129"/>
  <c r="BA129" s="1"/>
  <c r="BD129" s="1"/>
  <c r="AZ218"/>
  <c r="BA218" s="1"/>
  <c r="BD218" s="1"/>
  <c r="AZ104"/>
  <c r="BA104" s="1"/>
  <c r="BD104" s="1"/>
  <c r="AZ160"/>
  <c r="BA160" s="1"/>
  <c r="BD160" s="1"/>
  <c r="AZ176"/>
  <c r="BA176" s="1"/>
  <c r="BD176" s="1"/>
  <c r="AZ214"/>
  <c r="BA214" s="1"/>
  <c r="BD214" s="1"/>
  <c r="AZ211"/>
  <c r="BA211" s="1"/>
  <c r="BD211" s="1"/>
  <c r="AZ123"/>
  <c r="BA123" s="1"/>
  <c r="BD123" s="1"/>
  <c r="BJ464"/>
  <c r="BD503"/>
  <c r="BJ503" s="1"/>
  <c r="AZ139"/>
  <c r="BA139" s="1"/>
  <c r="BD139" s="1"/>
  <c r="BJ370"/>
  <c r="AZ215"/>
  <c r="BA215" s="1"/>
  <c r="BD215" s="1"/>
  <c r="AZ183"/>
  <c r="BA183" s="1"/>
  <c r="BD183" s="1"/>
  <c r="AZ181"/>
  <c r="BA181" s="1"/>
  <c r="BD181" s="1"/>
  <c r="AZ190"/>
  <c r="BA190" s="1"/>
  <c r="BD190" s="1"/>
  <c r="BE423"/>
  <c r="BE404"/>
  <c r="AZ18"/>
  <c r="BA18" s="1"/>
  <c r="BD18" s="1"/>
  <c r="BE18" s="1"/>
  <c r="BJ357"/>
  <c r="AZ114"/>
  <c r="BA114" s="1"/>
  <c r="BD114" s="1"/>
  <c r="AZ185"/>
  <c r="BA185" s="1"/>
  <c r="BD185" s="1"/>
  <c r="AZ222"/>
  <c r="BA222" s="1"/>
  <c r="BD222" s="1"/>
  <c r="AZ87"/>
  <c r="BA87" s="1"/>
  <c r="BD87" s="1"/>
  <c r="BJ428"/>
  <c r="AZ100"/>
  <c r="BA100" s="1"/>
  <c r="BD100" s="1"/>
  <c r="AZ186"/>
  <c r="BA186" s="1"/>
  <c r="BD186" s="1"/>
  <c r="AZ159"/>
  <c r="BA159" s="1"/>
  <c r="BD159" s="1"/>
  <c r="BD276"/>
  <c r="BJ276" s="1"/>
  <c r="AZ179"/>
  <c r="BA179" s="1"/>
  <c r="BD179" s="1"/>
  <c r="AZ152"/>
  <c r="BA152" s="1"/>
  <c r="BD152" s="1"/>
  <c r="AZ184"/>
  <c r="BA184" s="1"/>
  <c r="BD184" s="1"/>
  <c r="AZ203"/>
  <c r="BA203" s="1"/>
  <c r="BD203" s="1"/>
  <c r="AZ121"/>
  <c r="BA121" s="1"/>
  <c r="BD121" s="1"/>
  <c r="AZ108"/>
  <c r="BA108" s="1"/>
  <c r="BD108" s="1"/>
  <c r="AZ101"/>
  <c r="BA101" s="1"/>
  <c r="BD101" s="1"/>
  <c r="BJ263"/>
  <c r="AZ165"/>
  <c r="BA165" s="1"/>
  <c r="AZ163"/>
  <c r="BA163" s="1"/>
  <c r="BD163" s="1"/>
  <c r="AZ141"/>
  <c r="BA141" s="1"/>
  <c r="BD141" s="1"/>
  <c r="AZ43"/>
  <c r="BA43" s="1"/>
  <c r="BD43" s="1"/>
  <c r="AZ118"/>
  <c r="BA118" s="1"/>
  <c r="BD118" s="1"/>
  <c r="AZ182"/>
  <c r="BA182" s="1"/>
  <c r="BD182" s="1"/>
  <c r="AZ199"/>
  <c r="BA199" s="1"/>
  <c r="AZ38"/>
  <c r="BA38" s="1"/>
  <c r="BD38" s="1"/>
  <c r="AZ124"/>
  <c r="BA124" s="1"/>
  <c r="BD124" s="1"/>
  <c r="AZ112"/>
  <c r="BA112" s="1"/>
  <c r="BD112" s="1"/>
  <c r="AZ171"/>
  <c r="BA171" s="1"/>
  <c r="BD171" s="1"/>
  <c r="AZ221"/>
  <c r="BA221" s="1"/>
  <c r="BD221" s="1"/>
  <c r="AZ198"/>
  <c r="BA198" s="1"/>
  <c r="BD198" s="1"/>
  <c r="BE352"/>
  <c r="BE454"/>
  <c r="BE477"/>
  <c r="BJ366"/>
  <c r="BE335"/>
  <c r="BD284"/>
  <c r="BE284" s="1"/>
  <c r="BJ398"/>
  <c r="BE510"/>
  <c r="BE377"/>
  <c r="BE397"/>
  <c r="BE485"/>
  <c r="BJ325"/>
  <c r="BJ359"/>
  <c r="BE427"/>
  <c r="BD319"/>
  <c r="BE319" s="1"/>
  <c r="BE348"/>
  <c r="AZ50"/>
  <c r="BA50" s="1"/>
  <c r="BD50" s="1"/>
  <c r="BJ301"/>
  <c r="BE317"/>
  <c r="BJ309"/>
  <c r="AZ157"/>
  <c r="BA157" s="1"/>
  <c r="BD157" s="1"/>
  <c r="BJ498"/>
  <c r="AZ51"/>
  <c r="BA51" s="1"/>
  <c r="BD51" s="1"/>
  <c r="AZ73"/>
  <c r="BA73" s="1"/>
  <c r="BD73" s="1"/>
  <c r="AZ74"/>
  <c r="BA74" s="1"/>
  <c r="BD74" s="1"/>
  <c r="BD245"/>
  <c r="BJ245" s="1"/>
  <c r="BD289"/>
  <c r="BE289" s="1"/>
  <c r="AB289" s="1"/>
  <c r="BE358"/>
  <c r="BE486"/>
  <c r="BD482"/>
  <c r="BE482" s="1"/>
  <c r="AZ200"/>
  <c r="BA200" s="1"/>
  <c r="BD200" s="1"/>
  <c r="AZ161"/>
  <c r="BA161" s="1"/>
  <c r="BD161" s="1"/>
  <c r="AZ155"/>
  <c r="BA155" s="1"/>
  <c r="BD155" s="1"/>
  <c r="AZ125"/>
  <c r="BA125" s="1"/>
  <c r="BD125" s="1"/>
  <c r="AZ92"/>
  <c r="BA92" s="1"/>
  <c r="BD92" s="1"/>
  <c r="BJ447"/>
  <c r="AZ26"/>
  <c r="BA26" s="1"/>
  <c r="BD26" s="1"/>
  <c r="BE26" s="1"/>
  <c r="AZ193"/>
  <c r="BA193" s="1"/>
  <c r="BD193" s="1"/>
  <c r="BE396"/>
  <c r="BJ417"/>
  <c r="BE332"/>
  <c r="AZ196"/>
  <c r="BA196" s="1"/>
  <c r="BD196" s="1"/>
  <c r="AZ122"/>
  <c r="BA122" s="1"/>
  <c r="BD122" s="1"/>
  <c r="AZ151"/>
  <c r="BA151" s="1"/>
  <c r="BD151" s="1"/>
  <c r="AZ143"/>
  <c r="BA143" s="1"/>
  <c r="BD143" s="1"/>
  <c r="AZ224"/>
  <c r="BA224" s="1"/>
  <c r="BD224" s="1"/>
  <c r="AZ105"/>
  <c r="BA105" s="1"/>
  <c r="BD105" s="1"/>
  <c r="BE414"/>
  <c r="BE333"/>
  <c r="AZ217"/>
  <c r="BA217" s="1"/>
  <c r="BD217" s="1"/>
  <c r="AZ158"/>
  <c r="BA158" s="1"/>
  <c r="BD158" s="1"/>
  <c r="BJ158" s="1"/>
  <c r="BE271"/>
  <c r="BJ271"/>
  <c r="BJ456"/>
  <c r="BJ254"/>
  <c r="BE349"/>
  <c r="BJ512"/>
  <c r="BE246"/>
  <c r="BJ494"/>
  <c r="BJ446"/>
  <c r="BE331"/>
  <c r="BE480"/>
  <c r="AZ150"/>
  <c r="BA150" s="1"/>
  <c r="BD150" s="1"/>
  <c r="AZ137"/>
  <c r="BA137" s="1"/>
  <c r="BD137" s="1"/>
  <c r="BE400"/>
  <c r="BE389"/>
  <c r="BE378"/>
  <c r="BJ422"/>
  <c r="BD403"/>
  <c r="BJ403" s="1"/>
  <c r="AZ216"/>
  <c r="BA216" s="1"/>
  <c r="BD216" s="1"/>
  <c r="BJ292"/>
  <c r="BE479"/>
  <c r="AZ145"/>
  <c r="BA145" s="1"/>
  <c r="BD145" s="1"/>
  <c r="AZ89"/>
  <c r="BA89" s="1"/>
  <c r="BD89" s="1"/>
  <c r="AZ204"/>
  <c r="BA204" s="1"/>
  <c r="BD204" s="1"/>
  <c r="BE406"/>
  <c r="BJ406"/>
  <c r="BE502"/>
  <c r="BJ502"/>
  <c r="BE433"/>
  <c r="BJ433"/>
  <c r="BE466"/>
  <c r="BJ466"/>
  <c r="BE313"/>
  <c r="BJ313"/>
  <c r="BJ490"/>
  <c r="BJ389"/>
  <c r="BE461"/>
  <c r="BE359"/>
  <c r="BJ445"/>
  <c r="AZ33"/>
  <c r="BA33" s="1"/>
  <c r="BD33" s="1"/>
  <c r="AZ97"/>
  <c r="BA97" s="1"/>
  <c r="BD97" s="1"/>
  <c r="AZ180"/>
  <c r="BA180" s="1"/>
  <c r="BD180" s="1"/>
  <c r="BE267"/>
  <c r="BJ484"/>
  <c r="BE487"/>
  <c r="BE325"/>
  <c r="BJ463"/>
  <c r="AZ66"/>
  <c r="BA66" s="1"/>
  <c r="BD66" s="1"/>
  <c r="BJ495"/>
  <c r="BJ448"/>
  <c r="BE270"/>
  <c r="BJ333"/>
  <c r="AZ47"/>
  <c r="BA47" s="1"/>
  <c r="BD47" s="1"/>
  <c r="BE498"/>
  <c r="BE343"/>
  <c r="AZ61"/>
  <c r="BA61" s="1"/>
  <c r="BD61" s="1"/>
  <c r="AZ156"/>
  <c r="BA156" s="1"/>
  <c r="BD156" s="1"/>
  <c r="BJ228"/>
  <c r="BJ330"/>
  <c r="BJ322"/>
  <c r="BE421"/>
  <c r="BJ419"/>
  <c r="BE431"/>
  <c r="BE336"/>
  <c r="BE380"/>
  <c r="BE360"/>
  <c r="BJ374"/>
  <c r="AZ69"/>
  <c r="BA69" s="1"/>
  <c r="BD69" s="1"/>
  <c r="AZ42"/>
  <c r="BA42" s="1"/>
  <c r="BD42" s="1"/>
  <c r="AZ76"/>
  <c r="BA76" s="1"/>
  <c r="BD76" s="1"/>
  <c r="BE266"/>
  <c r="BE286"/>
  <c r="BJ473"/>
  <c r="BE413"/>
  <c r="BE512"/>
  <c r="AZ19"/>
  <c r="BA19" s="1"/>
  <c r="BD19" s="1"/>
  <c r="AZ12"/>
  <c r="BA12" s="1"/>
  <c r="BD12" s="1"/>
  <c r="AZ13"/>
  <c r="BA13" s="1"/>
  <c r="BD13" s="1"/>
  <c r="AZ77"/>
  <c r="BA77" s="1"/>
  <c r="BD77" s="1"/>
  <c r="AZ57"/>
  <c r="BA57" s="1"/>
  <c r="BD57" s="1"/>
  <c r="AZ14"/>
  <c r="BA14" s="1"/>
  <c r="BD14" s="1"/>
  <c r="BJ14" s="1"/>
  <c r="AZ29"/>
  <c r="BA29" s="1"/>
  <c r="BD29" s="1"/>
  <c r="BE265"/>
  <c r="BJ372"/>
  <c r="BJ373"/>
  <c r="BJ443"/>
  <c r="BJ328"/>
  <c r="BJ485"/>
  <c r="BJ458"/>
  <c r="BE318"/>
  <c r="AB318" s="1"/>
  <c r="BJ318"/>
  <c r="BE394"/>
  <c r="AB394" s="1"/>
  <c r="BJ394"/>
  <c r="BE416"/>
  <c r="AB416" s="1"/>
  <c r="BJ416"/>
  <c r="BH473"/>
  <c r="BI473" s="1"/>
  <c r="BE505"/>
  <c r="AB505" s="1"/>
  <c r="BJ505"/>
  <c r="BE353"/>
  <c r="AB353" s="1"/>
  <c r="BJ353"/>
  <c r="BE471"/>
  <c r="AB471" s="1"/>
  <c r="BJ471"/>
  <c r="BE344"/>
  <c r="AB344" s="1"/>
  <c r="BJ344"/>
  <c r="BE355"/>
  <c r="AB355" s="1"/>
  <c r="BJ355"/>
  <c r="BE337"/>
  <c r="AB337" s="1"/>
  <c r="BJ337"/>
  <c r="BE350"/>
  <c r="AB350" s="1"/>
  <c r="BJ350"/>
  <c r="BE339"/>
  <c r="AB339" s="1"/>
  <c r="BJ339"/>
  <c r="BE385"/>
  <c r="AB385" s="1"/>
  <c r="BJ385"/>
  <c r="BE329"/>
  <c r="AB329" s="1"/>
  <c r="BJ329"/>
  <c r="BE452"/>
  <c r="AB452" s="1"/>
  <c r="BJ452"/>
  <c r="BE435"/>
  <c r="AB435" s="1"/>
  <c r="BJ435"/>
  <c r="BJ315"/>
  <c r="BE315"/>
  <c r="AB315" s="1"/>
  <c r="BE424"/>
  <c r="AB424" s="1"/>
  <c r="BJ424"/>
  <c r="BE493"/>
  <c r="AB493" s="1"/>
  <c r="BJ493"/>
  <c r="BE483"/>
  <c r="AB483" s="1"/>
  <c r="BJ483"/>
  <c r="BE324"/>
  <c r="AB324" s="1"/>
  <c r="BJ324"/>
  <c r="BE460"/>
  <c r="AB460" s="1"/>
  <c r="BJ460"/>
  <c r="BE501"/>
  <c r="AB501" s="1"/>
  <c r="BJ501"/>
  <c r="BE388"/>
  <c r="AB388" s="1"/>
  <c r="BJ388"/>
  <c r="BE488"/>
  <c r="AB488" s="1"/>
  <c r="BJ488"/>
  <c r="BE481"/>
  <c r="AB481" s="1"/>
  <c r="BJ481"/>
  <c r="BE334"/>
  <c r="AB334" s="1"/>
  <c r="BJ334"/>
  <c r="BE392"/>
  <c r="AB392" s="1"/>
  <c r="BJ392"/>
  <c r="BE491"/>
  <c r="AB491" s="1"/>
  <c r="BJ491"/>
  <c r="BE459"/>
  <c r="AB459" s="1"/>
  <c r="BJ459"/>
  <c r="BE365"/>
  <c r="AB365" s="1"/>
  <c r="BJ365"/>
  <c r="BE399"/>
  <c r="AB399" s="1"/>
  <c r="BJ399"/>
  <c r="BE306"/>
  <c r="AB306" s="1"/>
  <c r="BJ306"/>
  <c r="BE346"/>
  <c r="AB346" s="1"/>
  <c r="BJ346"/>
  <c r="BE450"/>
  <c r="AB450" s="1"/>
  <c r="BJ450"/>
  <c r="BH379"/>
  <c r="BI379" s="1"/>
  <c r="BG379"/>
  <c r="AA379" s="1"/>
  <c r="BF379"/>
  <c r="BE507"/>
  <c r="AB507" s="1"/>
  <c r="BJ507"/>
  <c r="BE311"/>
  <c r="AB311" s="1"/>
  <c r="BJ311"/>
  <c r="BJ356"/>
  <c r="BE356"/>
  <c r="AB356" s="1"/>
  <c r="BE314"/>
  <c r="AB314" s="1"/>
  <c r="BJ314"/>
  <c r="BE340"/>
  <c r="AB340" s="1"/>
  <c r="BJ340"/>
  <c r="BE412"/>
  <c r="AB412" s="1"/>
  <c r="BJ412"/>
  <c r="BE312"/>
  <c r="AB312" s="1"/>
  <c r="BJ312"/>
  <c r="BE470"/>
  <c r="AB470" s="1"/>
  <c r="BJ470"/>
  <c r="BE320"/>
  <c r="AB320" s="1"/>
  <c r="BJ320"/>
  <c r="BE376"/>
  <c r="AB376" s="1"/>
  <c r="BJ376"/>
  <c r="BE472"/>
  <c r="AB472" s="1"/>
  <c r="BJ472"/>
  <c r="BE407"/>
  <c r="AB407" s="1"/>
  <c r="BJ407"/>
  <c r="BE361"/>
  <c r="AB361" s="1"/>
  <c r="BJ361"/>
  <c r="BE430"/>
  <c r="AB430" s="1"/>
  <c r="BJ430"/>
  <c r="BE432"/>
  <c r="AB432" s="1"/>
  <c r="BJ432"/>
  <c r="BJ411"/>
  <c r="BE411"/>
  <c r="AB411" s="1"/>
  <c r="BE305"/>
  <c r="AB305" s="1"/>
  <c r="BJ305"/>
  <c r="BE500"/>
  <c r="AB500" s="1"/>
  <c r="BJ500"/>
  <c r="BE308"/>
  <c r="AB308" s="1"/>
  <c r="BJ308"/>
  <c r="BE351"/>
  <c r="AB351" s="1"/>
  <c r="BJ351"/>
  <c r="BE434"/>
  <c r="AB434" s="1"/>
  <c r="BJ434"/>
  <c r="BJ321"/>
  <c r="BE321"/>
  <c r="AB321" s="1"/>
  <c r="BE326"/>
  <c r="AB326" s="1"/>
  <c r="BJ326"/>
  <c r="BE405"/>
  <c r="AB405" s="1"/>
  <c r="BJ405"/>
  <c r="BE367"/>
  <c r="AB367" s="1"/>
  <c r="BJ367"/>
  <c r="BE347"/>
  <c r="AB347" s="1"/>
  <c r="BJ347"/>
  <c r="BE345"/>
  <c r="AB345" s="1"/>
  <c r="BJ345"/>
  <c r="BE363"/>
  <c r="AB363" s="1"/>
  <c r="BJ363"/>
  <c r="BE467"/>
  <c r="AB467" s="1"/>
  <c r="BJ467"/>
  <c r="BE342"/>
  <c r="AB342" s="1"/>
  <c r="BJ342"/>
  <c r="BJ323"/>
  <c r="BE323"/>
  <c r="AB323" s="1"/>
  <c r="BE415"/>
  <c r="AB415" s="1"/>
  <c r="BJ415"/>
  <c r="BE409"/>
  <c r="AB409" s="1"/>
  <c r="BJ409"/>
  <c r="BE402"/>
  <c r="AB402" s="1"/>
  <c r="BJ402"/>
  <c r="BE310"/>
  <c r="AB310" s="1"/>
  <c r="BJ310"/>
  <c r="BE338"/>
  <c r="AB338" s="1"/>
  <c r="BJ338"/>
  <c r="BJ465"/>
  <c r="BE465"/>
  <c r="AB465" s="1"/>
  <c r="BE408"/>
  <c r="AB408" s="1"/>
  <c r="BJ408"/>
  <c r="BE457"/>
  <c r="AB457" s="1"/>
  <c r="BJ457"/>
  <c r="BE327"/>
  <c r="AB327" s="1"/>
  <c r="BJ327"/>
  <c r="BE476"/>
  <c r="AB476" s="1"/>
  <c r="BJ476"/>
  <c r="BE440"/>
  <c r="AB440" s="1"/>
  <c r="BJ440"/>
  <c r="BE436"/>
  <c r="AB436" s="1"/>
  <c r="BJ436"/>
  <c r="BE469"/>
  <c r="AB469" s="1"/>
  <c r="BJ469"/>
  <c r="BE393"/>
  <c r="AB393" s="1"/>
  <c r="BJ393"/>
  <c r="BE497"/>
  <c r="AB497" s="1"/>
  <c r="BJ497"/>
  <c r="BE401"/>
  <c r="AB401" s="1"/>
  <c r="BJ401"/>
  <c r="BE489"/>
  <c r="AB489" s="1"/>
  <c r="BJ489"/>
  <c r="BE418"/>
  <c r="AB418" s="1"/>
  <c r="BJ418"/>
  <c r="BE475"/>
  <c r="AB475" s="1"/>
  <c r="BJ475"/>
  <c r="BE455"/>
  <c r="AB455" s="1"/>
  <c r="BJ455"/>
  <c r="BE462"/>
  <c r="AB462" s="1"/>
  <c r="BJ462"/>
  <c r="BE387"/>
  <c r="AB387" s="1"/>
  <c r="BJ387"/>
  <c r="BE451"/>
  <c r="AB451" s="1"/>
  <c r="BJ451"/>
  <c r="BJ383"/>
  <c r="BE383"/>
  <c r="AB383" s="1"/>
  <c r="BJ381"/>
  <c r="BE381"/>
  <c r="AB381" s="1"/>
  <c r="BE420"/>
  <c r="AB420" s="1"/>
  <c r="BE494"/>
  <c r="AB494" s="1"/>
  <c r="BE463"/>
  <c r="AB463" s="1"/>
  <c r="BE426"/>
  <c r="AB426" s="1"/>
  <c r="BE419"/>
  <c r="AB419" s="1"/>
  <c r="BJ474"/>
  <c r="BE474"/>
  <c r="AB474" s="1"/>
  <c r="BE478"/>
  <c r="AB478" s="1"/>
  <c r="BJ478"/>
  <c r="BE509"/>
  <c r="AB509" s="1"/>
  <c r="BJ426"/>
  <c r="BJ404"/>
  <c r="BJ377"/>
  <c r="BJ511"/>
  <c r="BA371"/>
  <c r="BD371" s="1"/>
  <c r="BJ371" s="1"/>
  <c r="BE456"/>
  <c r="AB456" s="1"/>
  <c r="BJ504"/>
  <c r="BE504"/>
  <c r="AB504" s="1"/>
  <c r="BE417"/>
  <c r="AB417" s="1"/>
  <c r="BJ492"/>
  <c r="BE492"/>
  <c r="AB492" s="1"/>
  <c r="BJ461"/>
  <c r="BJ420"/>
  <c r="BE398"/>
  <c r="AB398" s="1"/>
  <c r="BE362"/>
  <c r="AB362" s="1"/>
  <c r="BJ362"/>
  <c r="BJ335"/>
  <c r="BJ413"/>
  <c r="BJ468"/>
  <c r="BJ509"/>
  <c r="BJ397"/>
  <c r="BJ364"/>
  <c r="BE364"/>
  <c r="AB364" s="1"/>
  <c r="BE382"/>
  <c r="AB382" s="1"/>
  <c r="BJ382"/>
  <c r="BE354"/>
  <c r="AB354" s="1"/>
  <c r="BJ354"/>
  <c r="BE410"/>
  <c r="AB410" s="1"/>
  <c r="BE449"/>
  <c r="AB449" s="1"/>
  <c r="BE506"/>
  <c r="AB506" s="1"/>
  <c r="BJ506"/>
  <c r="BJ379"/>
  <c r="BJ348"/>
  <c r="BE425"/>
  <c r="AB425" s="1"/>
  <c r="BE464"/>
  <c r="AB464" s="1"/>
  <c r="BE437"/>
  <c r="AB437" s="1"/>
  <c r="BJ437"/>
  <c r="BJ487"/>
  <c r="BE322"/>
  <c r="AB322" s="1"/>
  <c r="BJ438"/>
  <c r="BE438"/>
  <c r="AB438" s="1"/>
  <c r="BJ390"/>
  <c r="BE390"/>
  <c r="AB390" s="1"/>
  <c r="BJ477"/>
  <c r="BJ396"/>
  <c r="BJ336"/>
  <c r="BE357"/>
  <c r="AB357" s="1"/>
  <c r="BJ316"/>
  <c r="BE316"/>
  <c r="AB316" s="1"/>
  <c r="BJ453"/>
  <c r="BE453"/>
  <c r="AB453" s="1"/>
  <c r="BE304"/>
  <c r="AB304" s="1"/>
  <c r="BJ510"/>
  <c r="BE328"/>
  <c r="AB328" s="1"/>
  <c r="BJ431"/>
  <c r="BJ414"/>
  <c r="BJ480"/>
  <c r="BE330"/>
  <c r="AB330" s="1"/>
  <c r="BE448"/>
  <c r="AB448" s="1"/>
  <c r="BJ400"/>
  <c r="BJ343"/>
  <c r="BJ332"/>
  <c r="BJ479"/>
  <c r="BJ317"/>
  <c r="BJ380"/>
  <c r="BJ423"/>
  <c r="BJ499"/>
  <c r="BJ352"/>
  <c r="BJ454"/>
  <c r="BE422"/>
  <c r="AB422" s="1"/>
  <c r="BE366"/>
  <c r="AB366" s="1"/>
  <c r="BE495"/>
  <c r="AB495" s="1"/>
  <c r="BJ395"/>
  <c r="BE395"/>
  <c r="AB395" s="1"/>
  <c r="BE391"/>
  <c r="AB391" s="1"/>
  <c r="BE368"/>
  <c r="AB368" s="1"/>
  <c r="BJ368"/>
  <c r="BE458"/>
  <c r="AB458" s="1"/>
  <c r="BJ486"/>
  <c r="BJ349"/>
  <c r="BE307"/>
  <c r="AB307" s="1"/>
  <c r="BJ378"/>
  <c r="BJ360"/>
  <c r="BJ391"/>
  <c r="BJ358"/>
  <c r="BJ304"/>
  <c r="BJ410"/>
  <c r="BJ449"/>
  <c r="BJ331"/>
  <c r="BJ425"/>
  <c r="BJ247"/>
  <c r="BE272"/>
  <c r="BE279"/>
  <c r="BE283"/>
  <c r="BJ283"/>
  <c r="BE278"/>
  <c r="BJ278"/>
  <c r="BJ265"/>
  <c r="BJ249"/>
  <c r="BJ231"/>
  <c r="BJ251"/>
  <c r="BE292"/>
  <c r="BJ294"/>
  <c r="BJ244"/>
  <c r="BE282"/>
  <c r="BJ268"/>
  <c r="BJ270"/>
  <c r="BE252"/>
  <c r="AB252" s="1"/>
  <c r="BJ252"/>
  <c r="BE253"/>
  <c r="AB253" s="1"/>
  <c r="BJ253"/>
  <c r="BE291"/>
  <c r="AB291" s="1"/>
  <c r="BJ291"/>
  <c r="BE248"/>
  <c r="AB248" s="1"/>
  <c r="BJ248"/>
  <c r="BE258"/>
  <c r="AB258" s="1"/>
  <c r="BJ258"/>
  <c r="BE277"/>
  <c r="AB277" s="1"/>
  <c r="BJ277"/>
  <c r="BE255"/>
  <c r="AB255" s="1"/>
  <c r="BJ255"/>
  <c r="BE281"/>
  <c r="AB281" s="1"/>
  <c r="BJ281"/>
  <c r="BE288"/>
  <c r="AB288" s="1"/>
  <c r="BJ288"/>
  <c r="BE242"/>
  <c r="AB242" s="1"/>
  <c r="BJ242"/>
  <c r="BE293"/>
  <c r="AB293" s="1"/>
  <c r="BJ293"/>
  <c r="BE257"/>
  <c r="AB257" s="1"/>
  <c r="BJ257"/>
  <c r="BE234"/>
  <c r="AB234" s="1"/>
  <c r="BJ234"/>
  <c r="BE238"/>
  <c r="AB238" s="1"/>
  <c r="BJ238"/>
  <c r="BE295"/>
  <c r="AB295" s="1"/>
  <c r="BJ295"/>
  <c r="BE236"/>
  <c r="AB236" s="1"/>
  <c r="BJ236"/>
  <c r="BE280"/>
  <c r="AB280" s="1"/>
  <c r="BJ280"/>
  <c r="BJ243"/>
  <c r="BE243"/>
  <c r="AB243" s="1"/>
  <c r="BE287"/>
  <c r="AB287" s="1"/>
  <c r="BJ287"/>
  <c r="BJ256"/>
  <c r="BE256"/>
  <c r="AB256" s="1"/>
  <c r="BE296"/>
  <c r="AB296" s="1"/>
  <c r="BJ296"/>
  <c r="BE261"/>
  <c r="AB261" s="1"/>
  <c r="BJ261"/>
  <c r="BE235"/>
  <c r="AB235" s="1"/>
  <c r="BJ235"/>
  <c r="BE264"/>
  <c r="AB264" s="1"/>
  <c r="BJ264"/>
  <c r="BE285"/>
  <c r="AB285" s="1"/>
  <c r="BJ285"/>
  <c r="BE260"/>
  <c r="AB260" s="1"/>
  <c r="BJ260"/>
  <c r="BE273"/>
  <c r="AB273" s="1"/>
  <c r="BJ273"/>
  <c r="BE275"/>
  <c r="AB275" s="1"/>
  <c r="BJ275"/>
  <c r="BE250"/>
  <c r="AB250" s="1"/>
  <c r="BJ250"/>
  <c r="BE232"/>
  <c r="AB232" s="1"/>
  <c r="BJ232"/>
  <c r="BE269"/>
  <c r="AB269" s="1"/>
  <c r="BE233"/>
  <c r="AB233" s="1"/>
  <c r="BJ240"/>
  <c r="BE240"/>
  <c r="AB240" s="1"/>
  <c r="BE247"/>
  <c r="AB247" s="1"/>
  <c r="BJ274"/>
  <c r="BE294"/>
  <c r="AB294" s="1"/>
  <c r="BJ266"/>
  <c r="BJ246"/>
  <c r="BE254"/>
  <c r="AB254" s="1"/>
  <c r="BJ241"/>
  <c r="BE241"/>
  <c r="AB241" s="1"/>
  <c r="BE237"/>
  <c r="AB237" s="1"/>
  <c r="BE244"/>
  <c r="AB244" s="1"/>
  <c r="BJ262"/>
  <c r="BE262"/>
  <c r="AB262" s="1"/>
  <c r="BJ279"/>
  <c r="BE268"/>
  <c r="AB268" s="1"/>
  <c r="BJ286"/>
  <c r="BJ272"/>
  <c r="BE239"/>
  <c r="AB239" s="1"/>
  <c r="BJ239"/>
  <c r="BE249"/>
  <c r="AB249" s="1"/>
  <c r="BE251"/>
  <c r="AB251" s="1"/>
  <c r="BJ267"/>
  <c r="BJ237"/>
  <c r="BJ233"/>
  <c r="BJ269"/>
  <c r="BC218"/>
  <c r="BC192"/>
  <c r="BC159"/>
  <c r="BC195"/>
  <c r="BC176"/>
  <c r="BC217"/>
  <c r="BC177"/>
  <c r="BC185"/>
  <c r="BC208"/>
  <c r="BC204"/>
  <c r="BC155"/>
  <c r="BC221"/>
  <c r="BC214"/>
  <c r="BC200"/>
  <c r="BC172"/>
  <c r="BC203"/>
  <c r="BC190"/>
  <c r="BC188"/>
  <c r="BC210"/>
  <c r="BC189"/>
  <c r="BC198"/>
  <c r="BC213"/>
  <c r="BC171"/>
  <c r="BC216"/>
  <c r="BC196"/>
  <c r="BC157"/>
  <c r="BC184"/>
  <c r="BC156"/>
  <c r="BC183"/>
  <c r="BC179"/>
  <c r="BC220"/>
  <c r="BC209"/>
  <c r="BC170"/>
  <c r="BC222"/>
  <c r="BC206"/>
  <c r="BC202"/>
  <c r="BC180"/>
  <c r="BC211"/>
  <c r="BC182"/>
  <c r="BC178"/>
  <c r="BC219"/>
  <c r="BC168"/>
  <c r="BC186"/>
  <c r="BC194"/>
  <c r="BC173"/>
  <c r="BC205"/>
  <c r="BC201"/>
  <c r="BC193"/>
  <c r="BC197"/>
  <c r="BC169"/>
  <c r="BC215"/>
  <c r="BC166"/>
  <c r="BC160"/>
  <c r="BC207"/>
  <c r="BC224"/>
  <c r="BC187"/>
  <c r="BC191"/>
  <c r="BC223"/>
  <c r="BC167"/>
  <c r="BC212"/>
  <c r="BC162"/>
  <c r="BA162"/>
  <c r="BD162" s="1"/>
  <c r="BC87"/>
  <c r="BC131"/>
  <c r="BC101"/>
  <c r="BC150"/>
  <c r="BC134"/>
  <c r="BC110"/>
  <c r="BC129"/>
  <c r="BC135"/>
  <c r="BC130"/>
  <c r="BC152"/>
  <c r="BC109"/>
  <c r="BC83"/>
  <c r="BC97"/>
  <c r="BC107"/>
  <c r="BC123"/>
  <c r="BC89"/>
  <c r="BC111"/>
  <c r="BC144"/>
  <c r="BC122"/>
  <c r="BC106"/>
  <c r="BC125"/>
  <c r="BC146"/>
  <c r="BC137"/>
  <c r="BC93"/>
  <c r="BC149"/>
  <c r="BC142"/>
  <c r="BC126"/>
  <c r="BC148"/>
  <c r="BC118"/>
  <c r="BC91"/>
  <c r="BC151"/>
  <c r="BC128"/>
  <c r="BC136"/>
  <c r="BC119"/>
  <c r="BC90"/>
  <c r="BC139"/>
  <c r="BC120"/>
  <c r="BC132"/>
  <c r="BC114"/>
  <c r="BC115"/>
  <c r="BC124"/>
  <c r="BA86"/>
  <c r="BD86" s="1"/>
  <c r="BC92"/>
  <c r="BC117"/>
  <c r="BC103"/>
  <c r="BC141"/>
  <c r="BC85"/>
  <c r="BC133"/>
  <c r="BC99"/>
  <c r="BC95"/>
  <c r="BC140"/>
  <c r="BC96"/>
  <c r="BC143"/>
  <c r="BC138"/>
  <c r="BC112"/>
  <c r="BC116"/>
  <c r="BC104"/>
  <c r="BC145"/>
  <c r="BC98"/>
  <c r="BC86"/>
  <c r="BC147"/>
  <c r="BC88"/>
  <c r="AZ37"/>
  <c r="BA37" s="1"/>
  <c r="BD37" s="1"/>
  <c r="AZ79"/>
  <c r="BA79" s="1"/>
  <c r="BD79" s="1"/>
  <c r="AZ80"/>
  <c r="BA80" s="1"/>
  <c r="BD80" s="1"/>
  <c r="AZ48"/>
  <c r="BA48" s="1"/>
  <c r="BD48" s="1"/>
  <c r="AZ67"/>
  <c r="BA67" s="1"/>
  <c r="BD67" s="1"/>
  <c r="AZ24"/>
  <c r="BA24" s="1"/>
  <c r="BD24" s="1"/>
  <c r="AZ21"/>
  <c r="BA21" s="1"/>
  <c r="BD21" s="1"/>
  <c r="AZ63"/>
  <c r="BA63" s="1"/>
  <c r="BD63" s="1"/>
  <c r="AZ58"/>
  <c r="BA58" s="1"/>
  <c r="BD58" s="1"/>
  <c r="AZ49"/>
  <c r="BA49" s="1"/>
  <c r="BD49" s="1"/>
  <c r="AZ72"/>
  <c r="BA72" s="1"/>
  <c r="BD72" s="1"/>
  <c r="AZ25"/>
  <c r="BA25" s="1"/>
  <c r="BD25" s="1"/>
  <c r="AZ52"/>
  <c r="BA52" s="1"/>
  <c r="BD52" s="1"/>
  <c r="AZ53"/>
  <c r="BA53" s="1"/>
  <c r="BD53" s="1"/>
  <c r="AZ60"/>
  <c r="BA60" s="1"/>
  <c r="BD60" s="1"/>
  <c r="AZ59"/>
  <c r="BA59" s="1"/>
  <c r="BD59" s="1"/>
  <c r="AZ54"/>
  <c r="BA54" s="1"/>
  <c r="BD54" s="1"/>
  <c r="AZ71"/>
  <c r="BA71" s="1"/>
  <c r="BD71" s="1"/>
  <c r="AZ62"/>
  <c r="BA62" s="1"/>
  <c r="BD62" s="1"/>
  <c r="AZ75"/>
  <c r="BA75" s="1"/>
  <c r="BD75" s="1"/>
  <c r="AZ68"/>
  <c r="BA68" s="1"/>
  <c r="BD68" s="1"/>
  <c r="AZ32"/>
  <c r="BA32" s="1"/>
  <c r="BD32" s="1"/>
  <c r="AZ36"/>
  <c r="BA36" s="1"/>
  <c r="BD36" s="1"/>
  <c r="AZ78"/>
  <c r="BA78" s="1"/>
  <c r="BD78" s="1"/>
  <c r="AZ15"/>
  <c r="BA15" s="1"/>
  <c r="BD15" s="1"/>
  <c r="AZ30"/>
  <c r="BA30" s="1"/>
  <c r="BD30" s="1"/>
  <c r="BE30" s="1"/>
  <c r="AZ64"/>
  <c r="BA64" s="1"/>
  <c r="BD64" s="1"/>
  <c r="AZ65"/>
  <c r="BA65" s="1"/>
  <c r="BD65" s="1"/>
  <c r="AZ46"/>
  <c r="BA46" s="1"/>
  <c r="BD46" s="1"/>
  <c r="BE46" s="1"/>
  <c r="AZ31"/>
  <c r="BA31" s="1"/>
  <c r="BD31" s="1"/>
  <c r="AZ20"/>
  <c r="BA20" s="1"/>
  <c r="BD20" s="1"/>
  <c r="AZ22"/>
  <c r="BA22" s="1"/>
  <c r="BD22" s="1"/>
  <c r="AZ16"/>
  <c r="BA16" s="1"/>
  <c r="BD16" s="1"/>
  <c r="AZ39"/>
  <c r="BA39" s="1"/>
  <c r="BD39" s="1"/>
  <c r="AZ55"/>
  <c r="BA55" s="1"/>
  <c r="BD55" s="1"/>
  <c r="AZ28"/>
  <c r="BA28" s="1"/>
  <c r="BD28" s="1"/>
  <c r="AZ35"/>
  <c r="BA35" s="1"/>
  <c r="BD35" s="1"/>
  <c r="AZ11"/>
  <c r="BA11" s="1"/>
  <c r="BD11" s="1"/>
  <c r="AZ23"/>
  <c r="BA23" s="1"/>
  <c r="BD23" s="1"/>
  <c r="AZ40"/>
  <c r="BA40" s="1"/>
  <c r="BD40" s="1"/>
  <c r="AZ41"/>
  <c r="BA41" s="1"/>
  <c r="BD41" s="1"/>
  <c r="AZ56"/>
  <c r="BA56" s="1"/>
  <c r="BD56" s="1"/>
  <c r="BC76"/>
  <c r="BC24"/>
  <c r="BC63"/>
  <c r="BC75"/>
  <c r="BC54"/>
  <c r="BC21"/>
  <c r="BC69"/>
  <c r="BC15"/>
  <c r="BC79"/>
  <c r="BC20"/>
  <c r="BC19"/>
  <c r="BC74"/>
  <c r="BC70"/>
  <c r="BC77"/>
  <c r="BC71"/>
  <c r="BC28"/>
  <c r="BC40"/>
  <c r="BC50"/>
  <c r="BC67"/>
  <c r="BC29"/>
  <c r="BC32"/>
  <c r="BC62"/>
  <c r="BC36"/>
  <c r="BC43"/>
  <c r="BC22"/>
  <c r="BC66"/>
  <c r="BC37"/>
  <c r="BC48"/>
  <c r="BC42"/>
  <c r="BC33"/>
  <c r="BC61"/>
  <c r="BC39"/>
  <c r="BC57"/>
  <c r="BC52"/>
  <c r="BC64"/>
  <c r="BC25"/>
  <c r="BC12"/>
  <c r="BC58"/>
  <c r="BC23"/>
  <c r="AZ70"/>
  <c r="BC11"/>
  <c r="BC44"/>
  <c r="BC56"/>
  <c r="BC78"/>
  <c r="BC51"/>
  <c r="BC31"/>
  <c r="BC49"/>
  <c r="BC60"/>
  <c r="BC16"/>
  <c r="BC80"/>
  <c r="BC73"/>
  <c r="BC47"/>
  <c r="BC27"/>
  <c r="BC34"/>
  <c r="BC41"/>
  <c r="BC45"/>
  <c r="BC35"/>
  <c r="BC17"/>
  <c r="BC59"/>
  <c r="BC38"/>
  <c r="BC13"/>
  <c r="BC53"/>
  <c r="BC72"/>
  <c r="BC65"/>
  <c r="BC55"/>
  <c r="BC68"/>
  <c r="AV10"/>
  <c r="AP10"/>
  <c r="AO10"/>
  <c r="AU10"/>
  <c r="AT10"/>
  <c r="BH512" l="1"/>
  <c r="BI512" s="1"/>
  <c r="AB512"/>
  <c r="BH466"/>
  <c r="BI466" s="1"/>
  <c r="AB466"/>
  <c r="BG502"/>
  <c r="AA502" s="1"/>
  <c r="AB502"/>
  <c r="BF480"/>
  <c r="AB480"/>
  <c r="BG482"/>
  <c r="AA482" s="1"/>
  <c r="AB482"/>
  <c r="BH454"/>
  <c r="BI454" s="1"/>
  <c r="AB454"/>
  <c r="BG490"/>
  <c r="AA490" s="1"/>
  <c r="AB490"/>
  <c r="BG498"/>
  <c r="AA498" s="1"/>
  <c r="AB498"/>
  <c r="BG486"/>
  <c r="AA486" s="1"/>
  <c r="AB486"/>
  <c r="BH499"/>
  <c r="BI499" s="1"/>
  <c r="AB499"/>
  <c r="BG511"/>
  <c r="AA511" s="1"/>
  <c r="AB511"/>
  <c r="BF487"/>
  <c r="AB487"/>
  <c r="BF461"/>
  <c r="AB461"/>
  <c r="BF479"/>
  <c r="AB479"/>
  <c r="BF510"/>
  <c r="AB510"/>
  <c r="BF468"/>
  <c r="AB468"/>
  <c r="BG496"/>
  <c r="AA496" s="1"/>
  <c r="AB496"/>
  <c r="BG484"/>
  <c r="AA484" s="1"/>
  <c r="AB484"/>
  <c r="BH485"/>
  <c r="BI485" s="1"/>
  <c r="AB485"/>
  <c r="BF477"/>
  <c r="AB477"/>
  <c r="BG473"/>
  <c r="AA473" s="1"/>
  <c r="AB473"/>
  <c r="BG380"/>
  <c r="AA380" s="1"/>
  <c r="AB380"/>
  <c r="BH421"/>
  <c r="BI421" s="1"/>
  <c r="AB421"/>
  <c r="BH433"/>
  <c r="BI433" s="1"/>
  <c r="AB433"/>
  <c r="BH406"/>
  <c r="BI406" s="1"/>
  <c r="AB406"/>
  <c r="BH414"/>
  <c r="BI414" s="1"/>
  <c r="AB414"/>
  <c r="BH404"/>
  <c r="BI404" s="1"/>
  <c r="AB404"/>
  <c r="BH384"/>
  <c r="BI384" s="1"/>
  <c r="AB384"/>
  <c r="BG378"/>
  <c r="AA378" s="1"/>
  <c r="AB378"/>
  <c r="BH396"/>
  <c r="BI396" s="1"/>
  <c r="AB396"/>
  <c r="BH423"/>
  <c r="BI423" s="1"/>
  <c r="AB423"/>
  <c r="BG431"/>
  <c r="AA431" s="1"/>
  <c r="AB431"/>
  <c r="BH389"/>
  <c r="BI389" s="1"/>
  <c r="AB389"/>
  <c r="BH427"/>
  <c r="BI427" s="1"/>
  <c r="AB427"/>
  <c r="BF397"/>
  <c r="AB397"/>
  <c r="BG413"/>
  <c r="AA413" s="1"/>
  <c r="AB413"/>
  <c r="BH400"/>
  <c r="BI400" s="1"/>
  <c r="AB400"/>
  <c r="BG377"/>
  <c r="AA377" s="1"/>
  <c r="AB377"/>
  <c r="BH428"/>
  <c r="BI428" s="1"/>
  <c r="AB428"/>
  <c r="BH313"/>
  <c r="BI313" s="1"/>
  <c r="AB313"/>
  <c r="BG349"/>
  <c r="AA349" s="1"/>
  <c r="AB349"/>
  <c r="BF358"/>
  <c r="AB358"/>
  <c r="BH348"/>
  <c r="BI348" s="1"/>
  <c r="AB348"/>
  <c r="BH336"/>
  <c r="BI336" s="1"/>
  <c r="AB336"/>
  <c r="BF317"/>
  <c r="AB317"/>
  <c r="BH319"/>
  <c r="BI319" s="1"/>
  <c r="AB319"/>
  <c r="BH309"/>
  <c r="BI309" s="1"/>
  <c r="AB309"/>
  <c r="BH343"/>
  <c r="BI343" s="1"/>
  <c r="AB343"/>
  <c r="BF360"/>
  <c r="AB360"/>
  <c r="BF325"/>
  <c r="AB325"/>
  <c r="BH359"/>
  <c r="BI359" s="1"/>
  <c r="AB359"/>
  <c r="BH331"/>
  <c r="BI331" s="1"/>
  <c r="AB331"/>
  <c r="BH333"/>
  <c r="BI333" s="1"/>
  <c r="AB333"/>
  <c r="BF332"/>
  <c r="AB332"/>
  <c r="BG335"/>
  <c r="AA335" s="1"/>
  <c r="AB335"/>
  <c r="BH352"/>
  <c r="BI352" s="1"/>
  <c r="AB352"/>
  <c r="BH282"/>
  <c r="BI282" s="1"/>
  <c r="AB282"/>
  <c r="BF279"/>
  <c r="AB279"/>
  <c r="BG271"/>
  <c r="AA271" s="1"/>
  <c r="AB271"/>
  <c r="BF278"/>
  <c r="AB278"/>
  <c r="BH272"/>
  <c r="BI272" s="1"/>
  <c r="AB272"/>
  <c r="BG286"/>
  <c r="AA286" s="1"/>
  <c r="AB286"/>
  <c r="BH265"/>
  <c r="BI265" s="1"/>
  <c r="AB265"/>
  <c r="BG266"/>
  <c r="AA266" s="1"/>
  <c r="AB266"/>
  <c r="BG270"/>
  <c r="AA270" s="1"/>
  <c r="AB270"/>
  <c r="BG267"/>
  <c r="AA267" s="1"/>
  <c r="AB267"/>
  <c r="BF246"/>
  <c r="AB246"/>
  <c r="BF284"/>
  <c r="AB284"/>
  <c r="BG292"/>
  <c r="AA292" s="1"/>
  <c r="AB292"/>
  <c r="BH283"/>
  <c r="BI283" s="1"/>
  <c r="AB283"/>
  <c r="BF274"/>
  <c r="AB274"/>
  <c r="BH290"/>
  <c r="BI290" s="1"/>
  <c r="AB290"/>
  <c r="BH263"/>
  <c r="BI263" s="1"/>
  <c r="AB263"/>
  <c r="BG46"/>
  <c r="AA46" s="1"/>
  <c r="AB46"/>
  <c r="BG30"/>
  <c r="AA30" s="1"/>
  <c r="AB30"/>
  <c r="BG26"/>
  <c r="AA26" s="1"/>
  <c r="AB26"/>
  <c r="BG18"/>
  <c r="AA18" s="1"/>
  <c r="AB18"/>
  <c r="BF484"/>
  <c r="BH484"/>
  <c r="BI484" s="1"/>
  <c r="BJ290"/>
  <c r="BF263"/>
  <c r="BG263"/>
  <c r="AA263" s="1"/>
  <c r="BE439"/>
  <c r="BE138"/>
  <c r="BE386"/>
  <c r="BD99"/>
  <c r="BE99" s="1"/>
  <c r="BE91"/>
  <c r="BF511"/>
  <c r="BE429"/>
  <c r="BH511"/>
  <c r="BI511" s="1"/>
  <c r="BJ496"/>
  <c r="BD148"/>
  <c r="BE148" s="1"/>
  <c r="BG428"/>
  <c r="AA428" s="1"/>
  <c r="BF384"/>
  <c r="BH377"/>
  <c r="BI377" s="1"/>
  <c r="BF428"/>
  <c r="BG384"/>
  <c r="AA384" s="1"/>
  <c r="BJ384"/>
  <c r="BJ130"/>
  <c r="BE146"/>
  <c r="BH496"/>
  <c r="BI496" s="1"/>
  <c r="BD210"/>
  <c r="BJ210" s="1"/>
  <c r="BF496"/>
  <c r="BE188"/>
  <c r="BE341"/>
  <c r="BF309"/>
  <c r="BE202"/>
  <c r="BE126"/>
  <c r="BF499"/>
  <c r="BH274"/>
  <c r="BI274" s="1"/>
  <c r="BG499"/>
  <c r="AA499" s="1"/>
  <c r="BD165"/>
  <c r="BE165" s="1"/>
  <c r="AB165" s="1"/>
  <c r="BG406"/>
  <c r="AA406" s="1"/>
  <c r="BG274"/>
  <c r="AA274" s="1"/>
  <c r="BF319"/>
  <c r="BH267"/>
  <c r="BI267" s="1"/>
  <c r="BF396"/>
  <c r="BG309"/>
  <c r="AA309" s="1"/>
  <c r="BG397"/>
  <c r="AA397" s="1"/>
  <c r="BE214"/>
  <c r="BJ85"/>
  <c r="BE184"/>
  <c r="BE192"/>
  <c r="BJ87"/>
  <c r="BH271"/>
  <c r="BI271" s="1"/>
  <c r="BE142"/>
  <c r="BH378"/>
  <c r="BI378" s="1"/>
  <c r="BF404"/>
  <c r="BE503"/>
  <c r="BH461"/>
  <c r="BI461" s="1"/>
  <c r="BG404"/>
  <c r="AA404" s="1"/>
  <c r="BG466"/>
  <c r="AA466" s="1"/>
  <c r="BJ184"/>
  <c r="BF466"/>
  <c r="BH325"/>
  <c r="BI325" s="1"/>
  <c r="BF377"/>
  <c r="BJ482"/>
  <c r="BH468"/>
  <c r="BI468" s="1"/>
  <c r="BF348"/>
  <c r="BG358"/>
  <c r="AA358" s="1"/>
  <c r="BF352"/>
  <c r="BF490"/>
  <c r="BD93"/>
  <c r="BE93" s="1"/>
  <c r="AB93" s="1"/>
  <c r="BG468"/>
  <c r="AA468" s="1"/>
  <c r="BG348"/>
  <c r="AA348" s="1"/>
  <c r="BH358"/>
  <c r="BI358" s="1"/>
  <c r="BF359"/>
  <c r="BH490"/>
  <c r="BI490" s="1"/>
  <c r="BD127"/>
  <c r="BE276"/>
  <c r="BE120"/>
  <c r="BF427"/>
  <c r="BF423"/>
  <c r="BE403"/>
  <c r="BF335"/>
  <c r="BG423"/>
  <c r="AA423" s="1"/>
  <c r="BE176"/>
  <c r="BG477"/>
  <c r="AA477" s="1"/>
  <c r="BG414"/>
  <c r="AA414" s="1"/>
  <c r="BG485"/>
  <c r="AA485" s="1"/>
  <c r="BE196"/>
  <c r="BF378"/>
  <c r="BH397"/>
  <c r="BI397" s="1"/>
  <c r="BH477"/>
  <c r="BI477" s="1"/>
  <c r="BJ284"/>
  <c r="BF400"/>
  <c r="BF485"/>
  <c r="BD199"/>
  <c r="BE199" s="1"/>
  <c r="BG279"/>
  <c r="AA279" s="1"/>
  <c r="BG396"/>
  <c r="AA396" s="1"/>
  <c r="BG427"/>
  <c r="AA427" s="1"/>
  <c r="BH431"/>
  <c r="BI431" s="1"/>
  <c r="BF454"/>
  <c r="BE200"/>
  <c r="BF333"/>
  <c r="BH479"/>
  <c r="BI479" s="1"/>
  <c r="BG352"/>
  <c r="AA352" s="1"/>
  <c r="BG454"/>
  <c r="AA454" s="1"/>
  <c r="BG479"/>
  <c r="AA479" s="1"/>
  <c r="BE32"/>
  <c r="BE195"/>
  <c r="BF406"/>
  <c r="BG461"/>
  <c r="AA461" s="1"/>
  <c r="BH279"/>
  <c r="BI279" s="1"/>
  <c r="BG333"/>
  <c r="AA333" s="1"/>
  <c r="BG319"/>
  <c r="AA319" s="1"/>
  <c r="BF486"/>
  <c r="BH413"/>
  <c r="BI413" s="1"/>
  <c r="BG325"/>
  <c r="AA325" s="1"/>
  <c r="BJ196"/>
  <c r="BH510"/>
  <c r="BI510" s="1"/>
  <c r="BE203"/>
  <c r="BH266"/>
  <c r="BI266" s="1"/>
  <c r="BF265"/>
  <c r="BH335"/>
  <c r="BI335" s="1"/>
  <c r="BF433"/>
  <c r="BF336"/>
  <c r="BG510"/>
  <c r="AA510" s="1"/>
  <c r="BG246"/>
  <c r="AA246" s="1"/>
  <c r="BH486"/>
  <c r="BI486" s="1"/>
  <c r="BH246"/>
  <c r="BI246" s="1"/>
  <c r="BE221"/>
  <c r="BF266"/>
  <c r="BF271"/>
  <c r="BG332"/>
  <c r="AA332" s="1"/>
  <c r="BJ319"/>
  <c r="BG336"/>
  <c r="AA336" s="1"/>
  <c r="BF512"/>
  <c r="BH332"/>
  <c r="BI332" s="1"/>
  <c r="BF414"/>
  <c r="BE245"/>
  <c r="BJ83"/>
  <c r="BJ224"/>
  <c r="BH284"/>
  <c r="BI284" s="1"/>
  <c r="BF502"/>
  <c r="BF331"/>
  <c r="BH487"/>
  <c r="BI487" s="1"/>
  <c r="BG313"/>
  <c r="AA313" s="1"/>
  <c r="BG284"/>
  <c r="AA284" s="1"/>
  <c r="BG480"/>
  <c r="AA480" s="1"/>
  <c r="BJ125"/>
  <c r="BF270"/>
  <c r="BJ289"/>
  <c r="BH502"/>
  <c r="BI502" s="1"/>
  <c r="BG331"/>
  <c r="AA331" s="1"/>
  <c r="BG487"/>
  <c r="AA487" s="1"/>
  <c r="BH349"/>
  <c r="BI349" s="1"/>
  <c r="BF313"/>
  <c r="BJ222"/>
  <c r="BG359"/>
  <c r="AA359" s="1"/>
  <c r="BH317"/>
  <c r="BI317" s="1"/>
  <c r="BE208"/>
  <c r="BG421"/>
  <c r="AA421" s="1"/>
  <c r="BE19"/>
  <c r="BG317"/>
  <c r="AA317" s="1"/>
  <c r="BJ91"/>
  <c r="BF421"/>
  <c r="BF413"/>
  <c r="BJ155"/>
  <c r="BJ211"/>
  <c r="BH482"/>
  <c r="BI482" s="1"/>
  <c r="BH498"/>
  <c r="BI498" s="1"/>
  <c r="BF389"/>
  <c r="BG400"/>
  <c r="AA400" s="1"/>
  <c r="BG265"/>
  <c r="AA265" s="1"/>
  <c r="BH278"/>
  <c r="BI278" s="1"/>
  <c r="BF290"/>
  <c r="BG433"/>
  <c r="AA433" s="1"/>
  <c r="BF343"/>
  <c r="BF482"/>
  <c r="BF498"/>
  <c r="BG389"/>
  <c r="AA389" s="1"/>
  <c r="BF286"/>
  <c r="BG343"/>
  <c r="AA343" s="1"/>
  <c r="BG360"/>
  <c r="AA360" s="1"/>
  <c r="BE216"/>
  <c r="BE204"/>
  <c r="BH480"/>
  <c r="BI480" s="1"/>
  <c r="BF431"/>
  <c r="BE25"/>
  <c r="BE212"/>
  <c r="BH270"/>
  <c r="BI270" s="1"/>
  <c r="BF349"/>
  <c r="BG512"/>
  <c r="AA512" s="1"/>
  <c r="BE42"/>
  <c r="BE160"/>
  <c r="BE128"/>
  <c r="BH286"/>
  <c r="BI286" s="1"/>
  <c r="BG290"/>
  <c r="AA290" s="1"/>
  <c r="BF272"/>
  <c r="BJ197"/>
  <c r="BG272"/>
  <c r="AA272" s="1"/>
  <c r="BE173"/>
  <c r="BH380"/>
  <c r="BI380" s="1"/>
  <c r="BE177"/>
  <c r="BE140"/>
  <c r="BE219"/>
  <c r="BE220"/>
  <c r="BE198"/>
  <c r="BJ188"/>
  <c r="BJ179"/>
  <c r="BE218"/>
  <c r="BH360"/>
  <c r="BI360" s="1"/>
  <c r="BJ77"/>
  <c r="BE89"/>
  <c r="BJ115"/>
  <c r="BE223"/>
  <c r="BF267"/>
  <c r="BF380"/>
  <c r="BJ120"/>
  <c r="BJ167"/>
  <c r="BJ159"/>
  <c r="BJ171"/>
  <c r="BH464"/>
  <c r="BI464" s="1"/>
  <c r="BG464"/>
  <c r="AA464" s="1"/>
  <c r="BF464"/>
  <c r="BH364"/>
  <c r="BI364" s="1"/>
  <c r="BG364"/>
  <c r="AA364" s="1"/>
  <c r="BF364"/>
  <c r="BH463"/>
  <c r="BI463" s="1"/>
  <c r="BF463"/>
  <c r="BG463"/>
  <c r="AA463" s="1"/>
  <c r="BH383"/>
  <c r="BI383" s="1"/>
  <c r="BG383"/>
  <c r="AA383" s="1"/>
  <c r="BF383"/>
  <c r="BH345"/>
  <c r="BI345" s="1"/>
  <c r="BG345"/>
  <c r="AA345" s="1"/>
  <c r="BF345"/>
  <c r="BH312"/>
  <c r="BI312" s="1"/>
  <c r="BG312"/>
  <c r="AA312" s="1"/>
  <c r="BF312"/>
  <c r="BF448"/>
  <c r="BG448"/>
  <c r="AA448" s="1"/>
  <c r="BH448"/>
  <c r="BI448" s="1"/>
  <c r="BH328"/>
  <c r="BI328" s="1"/>
  <c r="BG328"/>
  <c r="AA328" s="1"/>
  <c r="BF328"/>
  <c r="BH438"/>
  <c r="BI438" s="1"/>
  <c r="BG438"/>
  <c r="AA438" s="1"/>
  <c r="BF438"/>
  <c r="BH425"/>
  <c r="BI425" s="1"/>
  <c r="BG425"/>
  <c r="AA425" s="1"/>
  <c r="BF425"/>
  <c r="BH362"/>
  <c r="BI362" s="1"/>
  <c r="BG362"/>
  <c r="AA362" s="1"/>
  <c r="BF362"/>
  <c r="BG494"/>
  <c r="AA494" s="1"/>
  <c r="BH494"/>
  <c r="BI494" s="1"/>
  <c r="BF494"/>
  <c r="BH475"/>
  <c r="BI475" s="1"/>
  <c r="BG475"/>
  <c r="AA475" s="1"/>
  <c r="BF475"/>
  <c r="BF497"/>
  <c r="BG497"/>
  <c r="AA497" s="1"/>
  <c r="BH497"/>
  <c r="BI497" s="1"/>
  <c r="BH440"/>
  <c r="BI440" s="1"/>
  <c r="BF440"/>
  <c r="BG440"/>
  <c r="AA440" s="1"/>
  <c r="BH409"/>
  <c r="BI409" s="1"/>
  <c r="BG409"/>
  <c r="AA409" s="1"/>
  <c r="BF409"/>
  <c r="BH321"/>
  <c r="BI321" s="1"/>
  <c r="BF321"/>
  <c r="BG321"/>
  <c r="AA321" s="1"/>
  <c r="BH450"/>
  <c r="BI450" s="1"/>
  <c r="BF450"/>
  <c r="BG450"/>
  <c r="AA450" s="1"/>
  <c r="BH365"/>
  <c r="BI365" s="1"/>
  <c r="BG365"/>
  <c r="AA365" s="1"/>
  <c r="BF365"/>
  <c r="BH334"/>
  <c r="BI334" s="1"/>
  <c r="BG334"/>
  <c r="AA334" s="1"/>
  <c r="BF334"/>
  <c r="BF501"/>
  <c r="BH501"/>
  <c r="BI501" s="1"/>
  <c r="BG501"/>
  <c r="AA501" s="1"/>
  <c r="BF493"/>
  <c r="BH493"/>
  <c r="BI493" s="1"/>
  <c r="BG493"/>
  <c r="AA493" s="1"/>
  <c r="BH329"/>
  <c r="BI329" s="1"/>
  <c r="BG329"/>
  <c r="AA329" s="1"/>
  <c r="BF329"/>
  <c r="BH337"/>
  <c r="BI337" s="1"/>
  <c r="BG337"/>
  <c r="AA337" s="1"/>
  <c r="BF337"/>
  <c r="BH368"/>
  <c r="BI368" s="1"/>
  <c r="BG368"/>
  <c r="AA368" s="1"/>
  <c r="BF368"/>
  <c r="BH410"/>
  <c r="BI410" s="1"/>
  <c r="BG410"/>
  <c r="AA410" s="1"/>
  <c r="BF410"/>
  <c r="BH398"/>
  <c r="BI398" s="1"/>
  <c r="BG398"/>
  <c r="AA398" s="1"/>
  <c r="BF398"/>
  <c r="BH492"/>
  <c r="BI492" s="1"/>
  <c r="BG492"/>
  <c r="AA492" s="1"/>
  <c r="BF492"/>
  <c r="BF509"/>
  <c r="BH509"/>
  <c r="BI509" s="1"/>
  <c r="BG509"/>
  <c r="AA509" s="1"/>
  <c r="BH457"/>
  <c r="BI457" s="1"/>
  <c r="BF457"/>
  <c r="BG457"/>
  <c r="AA457" s="1"/>
  <c r="BH310"/>
  <c r="BI310" s="1"/>
  <c r="BG310"/>
  <c r="AA310" s="1"/>
  <c r="BF310"/>
  <c r="BH342"/>
  <c r="BI342" s="1"/>
  <c r="BG342"/>
  <c r="AA342" s="1"/>
  <c r="BF342"/>
  <c r="BH347"/>
  <c r="BI347" s="1"/>
  <c r="BG347"/>
  <c r="AA347" s="1"/>
  <c r="BF347"/>
  <c r="BH500"/>
  <c r="BI500" s="1"/>
  <c r="BG500"/>
  <c r="AA500" s="1"/>
  <c r="BF500"/>
  <c r="BG430"/>
  <c r="AA430" s="1"/>
  <c r="BH430"/>
  <c r="BI430" s="1"/>
  <c r="BF430"/>
  <c r="BH376"/>
  <c r="BI376" s="1"/>
  <c r="BG376"/>
  <c r="AA376" s="1"/>
  <c r="BF376"/>
  <c r="BH412"/>
  <c r="BI412" s="1"/>
  <c r="BG412"/>
  <c r="AA412" s="1"/>
  <c r="BF412"/>
  <c r="BG311"/>
  <c r="AA311" s="1"/>
  <c r="BF311"/>
  <c r="BH311"/>
  <c r="BI311" s="1"/>
  <c r="BH435"/>
  <c r="BI435" s="1"/>
  <c r="BG435"/>
  <c r="AA435" s="1"/>
  <c r="BF435"/>
  <c r="BH471"/>
  <c r="BI471" s="1"/>
  <c r="BF471"/>
  <c r="BG471"/>
  <c r="AA471" s="1"/>
  <c r="BH387"/>
  <c r="BI387" s="1"/>
  <c r="BG387"/>
  <c r="AA387" s="1"/>
  <c r="BF387"/>
  <c r="BH327"/>
  <c r="BI327" s="1"/>
  <c r="BG327"/>
  <c r="AA327" s="1"/>
  <c r="BF327"/>
  <c r="BG432"/>
  <c r="AA432" s="1"/>
  <c r="BH432"/>
  <c r="BI432" s="1"/>
  <c r="BF432"/>
  <c r="BH393"/>
  <c r="BI393" s="1"/>
  <c r="BG393"/>
  <c r="AA393" s="1"/>
  <c r="BF393"/>
  <c r="BH460"/>
  <c r="BI460" s="1"/>
  <c r="BG460"/>
  <c r="AA460" s="1"/>
  <c r="BF460"/>
  <c r="BH416"/>
  <c r="BI416" s="1"/>
  <c r="BG416"/>
  <c r="AA416" s="1"/>
  <c r="BF416"/>
  <c r="BG495"/>
  <c r="AA495" s="1"/>
  <c r="BF495"/>
  <c r="BH495"/>
  <c r="BI495" s="1"/>
  <c r="BH453"/>
  <c r="BI453" s="1"/>
  <c r="BG453"/>
  <c r="AA453" s="1"/>
  <c r="BF453"/>
  <c r="BF467"/>
  <c r="BG467"/>
  <c r="AA467" s="1"/>
  <c r="BH467"/>
  <c r="BI467" s="1"/>
  <c r="BH434"/>
  <c r="BI434" s="1"/>
  <c r="BG434"/>
  <c r="AA434" s="1"/>
  <c r="BF434"/>
  <c r="BH320"/>
  <c r="BI320" s="1"/>
  <c r="BG320"/>
  <c r="AA320" s="1"/>
  <c r="BF320"/>
  <c r="BH366"/>
  <c r="BI366" s="1"/>
  <c r="BG366"/>
  <c r="AA366" s="1"/>
  <c r="BF366"/>
  <c r="BH330"/>
  <c r="BI330" s="1"/>
  <c r="BG330"/>
  <c r="AA330" s="1"/>
  <c r="BF330"/>
  <c r="BH456"/>
  <c r="BI456" s="1"/>
  <c r="BG456"/>
  <c r="AA456" s="1"/>
  <c r="BF456"/>
  <c r="BG474"/>
  <c r="AA474" s="1"/>
  <c r="BF474"/>
  <c r="BH474"/>
  <c r="BI474" s="1"/>
  <c r="BH462"/>
  <c r="BI462" s="1"/>
  <c r="BF462"/>
  <c r="BG462"/>
  <c r="AA462" s="1"/>
  <c r="BF489"/>
  <c r="BG489"/>
  <c r="AA489" s="1"/>
  <c r="BH489"/>
  <c r="BI489" s="1"/>
  <c r="BF469"/>
  <c r="BH469"/>
  <c r="BI469" s="1"/>
  <c r="BG469"/>
  <c r="AA469" s="1"/>
  <c r="BF465"/>
  <c r="BG465"/>
  <c r="AA465" s="1"/>
  <c r="BH465"/>
  <c r="BI465" s="1"/>
  <c r="BH411"/>
  <c r="BI411" s="1"/>
  <c r="BG411"/>
  <c r="AA411" s="1"/>
  <c r="BF411"/>
  <c r="BH306"/>
  <c r="BI306" s="1"/>
  <c r="BG306"/>
  <c r="AA306" s="1"/>
  <c r="BF306"/>
  <c r="BF491"/>
  <c r="BH491"/>
  <c r="BI491" s="1"/>
  <c r="BG491"/>
  <c r="AA491" s="1"/>
  <c r="BH488"/>
  <c r="BI488" s="1"/>
  <c r="BG488"/>
  <c r="AA488" s="1"/>
  <c r="BF488"/>
  <c r="BH324"/>
  <c r="BI324" s="1"/>
  <c r="BG324"/>
  <c r="AA324" s="1"/>
  <c r="BF324"/>
  <c r="BH339"/>
  <c r="BI339" s="1"/>
  <c r="BG339"/>
  <c r="AA339" s="1"/>
  <c r="BF339"/>
  <c r="BH394"/>
  <c r="BI394" s="1"/>
  <c r="BG394"/>
  <c r="AA394" s="1"/>
  <c r="BF394"/>
  <c r="BG307"/>
  <c r="AA307" s="1"/>
  <c r="BF307"/>
  <c r="BH307"/>
  <c r="BI307" s="1"/>
  <c r="BH504"/>
  <c r="BI504" s="1"/>
  <c r="BG504"/>
  <c r="AA504" s="1"/>
  <c r="BF504"/>
  <c r="BH419"/>
  <c r="BI419" s="1"/>
  <c r="BG419"/>
  <c r="AA419" s="1"/>
  <c r="BF419"/>
  <c r="BG381"/>
  <c r="AA381" s="1"/>
  <c r="BH381"/>
  <c r="BI381" s="1"/>
  <c r="BF381"/>
  <c r="BH338"/>
  <c r="BI338" s="1"/>
  <c r="BG338"/>
  <c r="AA338" s="1"/>
  <c r="BF338"/>
  <c r="BH326"/>
  <c r="BI326" s="1"/>
  <c r="BG326"/>
  <c r="AA326" s="1"/>
  <c r="BF326"/>
  <c r="BF472"/>
  <c r="BH472"/>
  <c r="BI472" s="1"/>
  <c r="BG472"/>
  <c r="AA472" s="1"/>
  <c r="BH391"/>
  <c r="BI391" s="1"/>
  <c r="BF391"/>
  <c r="BG391"/>
  <c r="AA391" s="1"/>
  <c r="BH322"/>
  <c r="BI322" s="1"/>
  <c r="BG322"/>
  <c r="AA322" s="1"/>
  <c r="BF322"/>
  <c r="BF476"/>
  <c r="BG476"/>
  <c r="AA476" s="1"/>
  <c r="BH476"/>
  <c r="BI476" s="1"/>
  <c r="BH415"/>
  <c r="BI415" s="1"/>
  <c r="BG415"/>
  <c r="AA415" s="1"/>
  <c r="BF415"/>
  <c r="BH346"/>
  <c r="BI346" s="1"/>
  <c r="BG346"/>
  <c r="AA346" s="1"/>
  <c r="BF346"/>
  <c r="BH481"/>
  <c r="BI481" s="1"/>
  <c r="BF481"/>
  <c r="BG481"/>
  <c r="AA481" s="1"/>
  <c r="BH424"/>
  <c r="BI424" s="1"/>
  <c r="BG424"/>
  <c r="AA424" s="1"/>
  <c r="BF424"/>
  <c r="BH390"/>
  <c r="BI390" s="1"/>
  <c r="BG390"/>
  <c r="AA390" s="1"/>
  <c r="BF390"/>
  <c r="BF382"/>
  <c r="BH382"/>
  <c r="BI382" s="1"/>
  <c r="BG382"/>
  <c r="AA382" s="1"/>
  <c r="BG478"/>
  <c r="AA478" s="1"/>
  <c r="BF478"/>
  <c r="BH478"/>
  <c r="BI478" s="1"/>
  <c r="BH408"/>
  <c r="BI408" s="1"/>
  <c r="BG408"/>
  <c r="AA408" s="1"/>
  <c r="BF408"/>
  <c r="BH367"/>
  <c r="BI367" s="1"/>
  <c r="BG367"/>
  <c r="AA367" s="1"/>
  <c r="BF367"/>
  <c r="BH361"/>
  <c r="BI361" s="1"/>
  <c r="BG361"/>
  <c r="AA361" s="1"/>
  <c r="BF361"/>
  <c r="BH507"/>
  <c r="BI507" s="1"/>
  <c r="BF507"/>
  <c r="BG507"/>
  <c r="AA507" s="1"/>
  <c r="BH452"/>
  <c r="BI452" s="1"/>
  <c r="BG452"/>
  <c r="AA452" s="1"/>
  <c r="BF452"/>
  <c r="BH422"/>
  <c r="BI422" s="1"/>
  <c r="BG422"/>
  <c r="AA422" s="1"/>
  <c r="BF422"/>
  <c r="BH316"/>
  <c r="BI316" s="1"/>
  <c r="BG316"/>
  <c r="AA316" s="1"/>
  <c r="BF316"/>
  <c r="BH437"/>
  <c r="BI437" s="1"/>
  <c r="BG437"/>
  <c r="AA437" s="1"/>
  <c r="BF437"/>
  <c r="BG449"/>
  <c r="AA449" s="1"/>
  <c r="BF449"/>
  <c r="BH449"/>
  <c r="BI449" s="1"/>
  <c r="BH363"/>
  <c r="BI363" s="1"/>
  <c r="BG363"/>
  <c r="AA363" s="1"/>
  <c r="BF363"/>
  <c r="BH405"/>
  <c r="BI405" s="1"/>
  <c r="BG405"/>
  <c r="AA405" s="1"/>
  <c r="BF405"/>
  <c r="BH351"/>
  <c r="BI351" s="1"/>
  <c r="BG351"/>
  <c r="AA351" s="1"/>
  <c r="BF351"/>
  <c r="BH407"/>
  <c r="BI407" s="1"/>
  <c r="BF407"/>
  <c r="BG407"/>
  <c r="AA407" s="1"/>
  <c r="BG470"/>
  <c r="AA470" s="1"/>
  <c r="BF470"/>
  <c r="BH470"/>
  <c r="BI470" s="1"/>
  <c r="BH314"/>
  <c r="BI314" s="1"/>
  <c r="BF314"/>
  <c r="BG314"/>
  <c r="AA314" s="1"/>
  <c r="BH355"/>
  <c r="BI355" s="1"/>
  <c r="BG355"/>
  <c r="AA355" s="1"/>
  <c r="BF355"/>
  <c r="BF505"/>
  <c r="BG505"/>
  <c r="AA505" s="1"/>
  <c r="BH505"/>
  <c r="BI505" s="1"/>
  <c r="BH357"/>
  <c r="BI357" s="1"/>
  <c r="BG357"/>
  <c r="AA357" s="1"/>
  <c r="BF357"/>
  <c r="BG506"/>
  <c r="AA506" s="1"/>
  <c r="BF506"/>
  <c r="BH506"/>
  <c r="BI506" s="1"/>
  <c r="BH420"/>
  <c r="BI420" s="1"/>
  <c r="BG420"/>
  <c r="AA420" s="1"/>
  <c r="BF420"/>
  <c r="BH451"/>
  <c r="BI451" s="1"/>
  <c r="BG451"/>
  <c r="AA451" s="1"/>
  <c r="BF451"/>
  <c r="BH308"/>
  <c r="BI308" s="1"/>
  <c r="BF308"/>
  <c r="BG308"/>
  <c r="AA308" s="1"/>
  <c r="BH344"/>
  <c r="BI344" s="1"/>
  <c r="BG344"/>
  <c r="AA344" s="1"/>
  <c r="BF344"/>
  <c r="BF304"/>
  <c r="BH304"/>
  <c r="BI304" s="1"/>
  <c r="BG304"/>
  <c r="AA304" s="1"/>
  <c r="BH418"/>
  <c r="BI418" s="1"/>
  <c r="BG418"/>
  <c r="AA418" s="1"/>
  <c r="BF418"/>
  <c r="BH459"/>
  <c r="BI459" s="1"/>
  <c r="BF459"/>
  <c r="BG459"/>
  <c r="AA459" s="1"/>
  <c r="BG385"/>
  <c r="AA385" s="1"/>
  <c r="BF385"/>
  <c r="BH385"/>
  <c r="BI385" s="1"/>
  <c r="BH458"/>
  <c r="BI458" s="1"/>
  <c r="BF458"/>
  <c r="BG458"/>
  <c r="AA458" s="1"/>
  <c r="BH426"/>
  <c r="BI426" s="1"/>
  <c r="BG426"/>
  <c r="AA426" s="1"/>
  <c r="BF426"/>
  <c r="BH402"/>
  <c r="BI402" s="1"/>
  <c r="BG402"/>
  <c r="AA402" s="1"/>
  <c r="BF402"/>
  <c r="BH305"/>
  <c r="BI305" s="1"/>
  <c r="BF305"/>
  <c r="BG305"/>
  <c r="AA305" s="1"/>
  <c r="BH340"/>
  <c r="BI340" s="1"/>
  <c r="BG340"/>
  <c r="AA340" s="1"/>
  <c r="BF340"/>
  <c r="BH315"/>
  <c r="BI315" s="1"/>
  <c r="BG315"/>
  <c r="AA315" s="1"/>
  <c r="BF315"/>
  <c r="BH353"/>
  <c r="BI353" s="1"/>
  <c r="BG353"/>
  <c r="AA353" s="1"/>
  <c r="BF353"/>
  <c r="BH395"/>
  <c r="BI395" s="1"/>
  <c r="BG395"/>
  <c r="AA395" s="1"/>
  <c r="BF395"/>
  <c r="BH354"/>
  <c r="BI354" s="1"/>
  <c r="BG354"/>
  <c r="AA354" s="1"/>
  <c r="BF354"/>
  <c r="BH417"/>
  <c r="BI417" s="1"/>
  <c r="BF417"/>
  <c r="BG417"/>
  <c r="AA417" s="1"/>
  <c r="BH455"/>
  <c r="BI455" s="1"/>
  <c r="BG455"/>
  <c r="AA455" s="1"/>
  <c r="BF455"/>
  <c r="BH401"/>
  <c r="BI401" s="1"/>
  <c r="BG401"/>
  <c r="AA401" s="1"/>
  <c r="BF401"/>
  <c r="BH436"/>
  <c r="BI436" s="1"/>
  <c r="BG436"/>
  <c r="AA436" s="1"/>
  <c r="BF436"/>
  <c r="BH323"/>
  <c r="BI323" s="1"/>
  <c r="BG323"/>
  <c r="AA323" s="1"/>
  <c r="BF323"/>
  <c r="BH356"/>
  <c r="BI356" s="1"/>
  <c r="BG356"/>
  <c r="AA356" s="1"/>
  <c r="BF356"/>
  <c r="BH399"/>
  <c r="BI399" s="1"/>
  <c r="BF399"/>
  <c r="BG399"/>
  <c r="AA399" s="1"/>
  <c r="BH392"/>
  <c r="BI392" s="1"/>
  <c r="BG392"/>
  <c r="AA392" s="1"/>
  <c r="BF392"/>
  <c r="BH388"/>
  <c r="BI388" s="1"/>
  <c r="BG388"/>
  <c r="AA388" s="1"/>
  <c r="BF388"/>
  <c r="BH483"/>
  <c r="BI483" s="1"/>
  <c r="BG483"/>
  <c r="AA483" s="1"/>
  <c r="BF483"/>
  <c r="BH350"/>
  <c r="BI350" s="1"/>
  <c r="BG350"/>
  <c r="AA350" s="1"/>
  <c r="BF350"/>
  <c r="BH318"/>
  <c r="BI318" s="1"/>
  <c r="BG318"/>
  <c r="AA318" s="1"/>
  <c r="BF318"/>
  <c r="BF292"/>
  <c r="BF283"/>
  <c r="BF282"/>
  <c r="BG278"/>
  <c r="AA278" s="1"/>
  <c r="BH292"/>
  <c r="BI292" s="1"/>
  <c r="BG283"/>
  <c r="AA283" s="1"/>
  <c r="BG282"/>
  <c r="AA282" s="1"/>
  <c r="BH275"/>
  <c r="BI275" s="1"/>
  <c r="BG275"/>
  <c r="AA275" s="1"/>
  <c r="BF275"/>
  <c r="BG264"/>
  <c r="AA264" s="1"/>
  <c r="BF264"/>
  <c r="BH264"/>
  <c r="BI264" s="1"/>
  <c r="BH293"/>
  <c r="BI293" s="1"/>
  <c r="BG293"/>
  <c r="AA293" s="1"/>
  <c r="BF293"/>
  <c r="BH255"/>
  <c r="BI255" s="1"/>
  <c r="BF255"/>
  <c r="BG255"/>
  <c r="AA255" s="1"/>
  <c r="BH291"/>
  <c r="BI291" s="1"/>
  <c r="BG291"/>
  <c r="AA291" s="1"/>
  <c r="BF291"/>
  <c r="BH251"/>
  <c r="BI251" s="1"/>
  <c r="BF251"/>
  <c r="BG251"/>
  <c r="AA251" s="1"/>
  <c r="BH249"/>
  <c r="BI249" s="1"/>
  <c r="BG249"/>
  <c r="AA249" s="1"/>
  <c r="BF249"/>
  <c r="BH239"/>
  <c r="BI239" s="1"/>
  <c r="BG239"/>
  <c r="AA239" s="1"/>
  <c r="BF239"/>
  <c r="BF262"/>
  <c r="BH262"/>
  <c r="BI262" s="1"/>
  <c r="BG262"/>
  <c r="AA262" s="1"/>
  <c r="BF244"/>
  <c r="BG244"/>
  <c r="AA244" s="1"/>
  <c r="BH244"/>
  <c r="BI244" s="1"/>
  <c r="BH273"/>
  <c r="BI273" s="1"/>
  <c r="BG273"/>
  <c r="AA273" s="1"/>
  <c r="BF273"/>
  <c r="BH235"/>
  <c r="BI235" s="1"/>
  <c r="BG235"/>
  <c r="AA235" s="1"/>
  <c r="BF235"/>
  <c r="BH287"/>
  <c r="BI287" s="1"/>
  <c r="BF287"/>
  <c r="BG287"/>
  <c r="AA287" s="1"/>
  <c r="BH238"/>
  <c r="BI238" s="1"/>
  <c r="BG238"/>
  <c r="AA238" s="1"/>
  <c r="BF238"/>
  <c r="BH242"/>
  <c r="BI242" s="1"/>
  <c r="BG242"/>
  <c r="AA242" s="1"/>
  <c r="BF242"/>
  <c r="BH277"/>
  <c r="BI277" s="1"/>
  <c r="BG277"/>
  <c r="AA277" s="1"/>
  <c r="BF277"/>
  <c r="BH253"/>
  <c r="BI253" s="1"/>
  <c r="BG253"/>
  <c r="AA253" s="1"/>
  <c r="BF253"/>
  <c r="BH233"/>
  <c r="BI233" s="1"/>
  <c r="BF233"/>
  <c r="BG233"/>
  <c r="AA233" s="1"/>
  <c r="BH241"/>
  <c r="BI241" s="1"/>
  <c r="BG241"/>
  <c r="AA241" s="1"/>
  <c r="BF241"/>
  <c r="BH232"/>
  <c r="BI232" s="1"/>
  <c r="BF232"/>
  <c r="BG232"/>
  <c r="AA232" s="1"/>
  <c r="BH252"/>
  <c r="BI252" s="1"/>
  <c r="BF252"/>
  <c r="BG252"/>
  <c r="AA252" s="1"/>
  <c r="BG268"/>
  <c r="AA268" s="1"/>
  <c r="BF268"/>
  <c r="BH268"/>
  <c r="BI268" s="1"/>
  <c r="BH247"/>
  <c r="BI247" s="1"/>
  <c r="BG247"/>
  <c r="AA247" s="1"/>
  <c r="BF247"/>
  <c r="BH237"/>
  <c r="BI237" s="1"/>
  <c r="BG237"/>
  <c r="AA237" s="1"/>
  <c r="BF237"/>
  <c r="BH294"/>
  <c r="BI294" s="1"/>
  <c r="BF294"/>
  <c r="BG294"/>
  <c r="AA294" s="1"/>
  <c r="BG260"/>
  <c r="AA260" s="1"/>
  <c r="BF260"/>
  <c r="BH260"/>
  <c r="BI260" s="1"/>
  <c r="BH280"/>
  <c r="BI280" s="1"/>
  <c r="BG280"/>
  <c r="AA280" s="1"/>
  <c r="BF280"/>
  <c r="BF258"/>
  <c r="BG258"/>
  <c r="AA258" s="1"/>
  <c r="BH258"/>
  <c r="BI258" s="1"/>
  <c r="BH240"/>
  <c r="BI240" s="1"/>
  <c r="BF240"/>
  <c r="BG240"/>
  <c r="AA240" s="1"/>
  <c r="BH250"/>
  <c r="BI250" s="1"/>
  <c r="BG250"/>
  <c r="AA250" s="1"/>
  <c r="BF250"/>
  <c r="BH285"/>
  <c r="BI285" s="1"/>
  <c r="BG285"/>
  <c r="AA285" s="1"/>
  <c r="BF285"/>
  <c r="BH296"/>
  <c r="BI296" s="1"/>
  <c r="BG296"/>
  <c r="AA296" s="1"/>
  <c r="BF296"/>
  <c r="BH243"/>
  <c r="BI243" s="1"/>
  <c r="BG243"/>
  <c r="AA243" s="1"/>
  <c r="BF243"/>
  <c r="BH236"/>
  <c r="BI236" s="1"/>
  <c r="BF236"/>
  <c r="BG236"/>
  <c r="AA236" s="1"/>
  <c r="BH257"/>
  <c r="BI257" s="1"/>
  <c r="BG257"/>
  <c r="AA257" s="1"/>
  <c r="BF257"/>
  <c r="BH281"/>
  <c r="BI281" s="1"/>
  <c r="BG281"/>
  <c r="AA281" s="1"/>
  <c r="BF281"/>
  <c r="BH248"/>
  <c r="BI248" s="1"/>
  <c r="BF248"/>
  <c r="BG248"/>
  <c r="AA248" s="1"/>
  <c r="BH295"/>
  <c r="BI295" s="1"/>
  <c r="BF295"/>
  <c r="BG295"/>
  <c r="AA295" s="1"/>
  <c r="BF254"/>
  <c r="BG254"/>
  <c r="AA254" s="1"/>
  <c r="BH254"/>
  <c r="BI254" s="1"/>
  <c r="BH261"/>
  <c r="BI261" s="1"/>
  <c r="BG261"/>
  <c r="AA261" s="1"/>
  <c r="BF261"/>
  <c r="BH234"/>
  <c r="BI234" s="1"/>
  <c r="BG234"/>
  <c r="AA234" s="1"/>
  <c r="BF234"/>
  <c r="BH288"/>
  <c r="BI288" s="1"/>
  <c r="BG288"/>
  <c r="AA288" s="1"/>
  <c r="BF288"/>
  <c r="BH289"/>
  <c r="BI289" s="1"/>
  <c r="BG289"/>
  <c r="AA289" s="1"/>
  <c r="BF289"/>
  <c r="BH269"/>
  <c r="BI269" s="1"/>
  <c r="BG269"/>
  <c r="AA269" s="1"/>
  <c r="BF269"/>
  <c r="BG256"/>
  <c r="AA256" s="1"/>
  <c r="BF256"/>
  <c r="BH256"/>
  <c r="BI256" s="1"/>
  <c r="BE182"/>
  <c r="BJ182"/>
  <c r="BE187"/>
  <c r="BJ183"/>
  <c r="BJ156"/>
  <c r="BJ209"/>
  <c r="BE186"/>
  <c r="BE162"/>
  <c r="BJ205"/>
  <c r="BJ170"/>
  <c r="BJ169"/>
  <c r="BJ172"/>
  <c r="BE213"/>
  <c r="BJ157"/>
  <c r="BJ217"/>
  <c r="BJ191"/>
  <c r="BE197"/>
  <c r="BJ86"/>
  <c r="BE97"/>
  <c r="BJ131"/>
  <c r="BJ116"/>
  <c r="BE147"/>
  <c r="BJ96"/>
  <c r="BE95"/>
  <c r="BE110"/>
  <c r="BE136"/>
  <c r="BE141"/>
  <c r="BE132"/>
  <c r="BJ129"/>
  <c r="BJ98"/>
  <c r="BE144"/>
  <c r="BJ119"/>
  <c r="BE143"/>
  <c r="BJ143"/>
  <c r="BJ132"/>
  <c r="BE92"/>
  <c r="BJ135"/>
  <c r="BE90"/>
  <c r="BE150"/>
  <c r="BE134"/>
  <c r="BJ138"/>
  <c r="BJ149"/>
  <c r="BE137"/>
  <c r="BE152"/>
  <c r="BJ90"/>
  <c r="BJ126"/>
  <c r="BJ111"/>
  <c r="BE125"/>
  <c r="BE193"/>
  <c r="AB193" s="1"/>
  <c r="BJ193"/>
  <c r="BE215"/>
  <c r="AB215" s="1"/>
  <c r="BJ215"/>
  <c r="BE194"/>
  <c r="AB194" s="1"/>
  <c r="BJ194"/>
  <c r="BE185"/>
  <c r="AB185" s="1"/>
  <c r="BJ185"/>
  <c r="BE189"/>
  <c r="AB189" s="1"/>
  <c r="BJ189"/>
  <c r="BE206"/>
  <c r="AB206" s="1"/>
  <c r="BJ206"/>
  <c r="BE180"/>
  <c r="AB180" s="1"/>
  <c r="BJ180"/>
  <c r="BE178"/>
  <c r="AB178" s="1"/>
  <c r="BJ178"/>
  <c r="BE190"/>
  <c r="AB190" s="1"/>
  <c r="BJ190"/>
  <c r="BJ174"/>
  <c r="BE174"/>
  <c r="AB174" s="1"/>
  <c r="BJ200"/>
  <c r="BE207"/>
  <c r="AB207" s="1"/>
  <c r="BJ212"/>
  <c r="BJ208"/>
  <c r="BJ186"/>
  <c r="BE183"/>
  <c r="AB183" s="1"/>
  <c r="BE191"/>
  <c r="AB191" s="1"/>
  <c r="BE205"/>
  <c r="AB205" s="1"/>
  <c r="BE171"/>
  <c r="AB171" s="1"/>
  <c r="BJ218"/>
  <c r="BE163"/>
  <c r="AB163" s="1"/>
  <c r="BJ163"/>
  <c r="BJ164"/>
  <c r="BE164"/>
  <c r="AB164" s="1"/>
  <c r="BJ219"/>
  <c r="BJ204"/>
  <c r="BE201"/>
  <c r="AB201" s="1"/>
  <c r="BJ176"/>
  <c r="BJ207"/>
  <c r="BJ187"/>
  <c r="BJ160"/>
  <c r="BJ220"/>
  <c r="BJ216"/>
  <c r="BJ213"/>
  <c r="BJ203"/>
  <c r="BJ214"/>
  <c r="BJ195"/>
  <c r="BE222"/>
  <c r="AB222" s="1"/>
  <c r="BE172"/>
  <c r="AB172" s="1"/>
  <c r="BE224"/>
  <c r="AB224" s="1"/>
  <c r="BJ173"/>
  <c r="BE209"/>
  <c r="AB209" s="1"/>
  <c r="BE170"/>
  <c r="AB170" s="1"/>
  <c r="BE211"/>
  <c r="AB211" s="1"/>
  <c r="BE175"/>
  <c r="AB175" s="1"/>
  <c r="BJ175"/>
  <c r="BJ162"/>
  <c r="BE166"/>
  <c r="AB166" s="1"/>
  <c r="BE168"/>
  <c r="AB168" s="1"/>
  <c r="BE167"/>
  <c r="AB167" s="1"/>
  <c r="BE181"/>
  <c r="AB181" s="1"/>
  <c r="BJ181"/>
  <c r="BJ198"/>
  <c r="BE169"/>
  <c r="AB169" s="1"/>
  <c r="BJ161"/>
  <c r="BE161"/>
  <c r="AB161" s="1"/>
  <c r="BJ177"/>
  <c r="BE179"/>
  <c r="AB179" s="1"/>
  <c r="BE217"/>
  <c r="AB217" s="1"/>
  <c r="BJ201"/>
  <c r="BJ223"/>
  <c r="BJ166"/>
  <c r="BJ168"/>
  <c r="BJ202"/>
  <c r="BJ221"/>
  <c r="BJ192"/>
  <c r="BE121"/>
  <c r="AB121" s="1"/>
  <c r="BJ121"/>
  <c r="BE145"/>
  <c r="AB145" s="1"/>
  <c r="BJ145"/>
  <c r="BE104"/>
  <c r="AB104" s="1"/>
  <c r="BJ104"/>
  <c r="BE114"/>
  <c r="AB114" s="1"/>
  <c r="BJ114"/>
  <c r="BE103"/>
  <c r="AB103" s="1"/>
  <c r="BJ103"/>
  <c r="BE88"/>
  <c r="AB88" s="1"/>
  <c r="BJ88"/>
  <c r="BE151"/>
  <c r="AB151" s="1"/>
  <c r="BJ151"/>
  <c r="BE122"/>
  <c r="AB122" s="1"/>
  <c r="BJ122"/>
  <c r="BE123"/>
  <c r="AB123" s="1"/>
  <c r="BJ123"/>
  <c r="BE101"/>
  <c r="AB101" s="1"/>
  <c r="BJ101"/>
  <c r="BE124"/>
  <c r="AB124" s="1"/>
  <c r="BJ124"/>
  <c r="BE107"/>
  <c r="AB107" s="1"/>
  <c r="BJ107"/>
  <c r="BE118"/>
  <c r="AB118" s="1"/>
  <c r="BJ118"/>
  <c r="BJ113"/>
  <c r="BE113"/>
  <c r="AB113" s="1"/>
  <c r="BE112"/>
  <c r="AB112" s="1"/>
  <c r="BJ112"/>
  <c r="BE117"/>
  <c r="AB117" s="1"/>
  <c r="BJ117"/>
  <c r="BE106"/>
  <c r="AB106" s="1"/>
  <c r="BJ106"/>
  <c r="BE109"/>
  <c r="AB109" s="1"/>
  <c r="BJ109"/>
  <c r="BE139"/>
  <c r="AB139" s="1"/>
  <c r="BJ139"/>
  <c r="BE94"/>
  <c r="AB94" s="1"/>
  <c r="BJ94"/>
  <c r="BJ146"/>
  <c r="BE133"/>
  <c r="AB133" s="1"/>
  <c r="BJ133"/>
  <c r="BJ134"/>
  <c r="BE111"/>
  <c r="AB111" s="1"/>
  <c r="BE135"/>
  <c r="AB135" s="1"/>
  <c r="BJ97"/>
  <c r="BE98"/>
  <c r="AB98" s="1"/>
  <c r="BJ110"/>
  <c r="BE130"/>
  <c r="AB130" s="1"/>
  <c r="BE100"/>
  <c r="AB100" s="1"/>
  <c r="BJ100"/>
  <c r="BE116"/>
  <c r="AB116" s="1"/>
  <c r="BJ140"/>
  <c r="BE105"/>
  <c r="AB105" s="1"/>
  <c r="BJ105"/>
  <c r="BE129"/>
  <c r="AB129" s="1"/>
  <c r="BE115"/>
  <c r="AB115" s="1"/>
  <c r="BJ141"/>
  <c r="BJ92"/>
  <c r="BJ128"/>
  <c r="BJ137"/>
  <c r="BJ152"/>
  <c r="BJ150"/>
  <c r="BE108"/>
  <c r="AB108" s="1"/>
  <c r="BJ108"/>
  <c r="BJ95"/>
  <c r="BE149"/>
  <c r="AB149" s="1"/>
  <c r="BE96"/>
  <c r="AB96" s="1"/>
  <c r="BE119"/>
  <c r="AB119" s="1"/>
  <c r="BJ89"/>
  <c r="BE131"/>
  <c r="AB131" s="1"/>
  <c r="BJ147"/>
  <c r="BE102"/>
  <c r="AB102" s="1"/>
  <c r="BJ102"/>
  <c r="BJ136"/>
  <c r="BJ142"/>
  <c r="BJ144"/>
  <c r="BE24"/>
  <c r="BE52"/>
  <c r="BE73"/>
  <c r="BE76"/>
  <c r="BE62"/>
  <c r="BE72"/>
  <c r="BE33"/>
  <c r="BE16"/>
  <c r="BE71"/>
  <c r="BE49"/>
  <c r="BE54"/>
  <c r="BE20"/>
  <c r="BJ58"/>
  <c r="BE80"/>
  <c r="BJ30"/>
  <c r="BE31"/>
  <c r="BE28"/>
  <c r="BE68"/>
  <c r="BE29"/>
  <c r="BE37"/>
  <c r="BE34"/>
  <c r="BE75"/>
  <c r="BE27"/>
  <c r="BE65"/>
  <c r="BE17"/>
  <c r="BE21"/>
  <c r="BE39"/>
  <c r="BE64"/>
  <c r="BE67"/>
  <c r="BE36"/>
  <c r="BE74"/>
  <c r="BE66"/>
  <c r="BE50"/>
  <c r="BE69"/>
  <c r="BE51"/>
  <c r="BE35"/>
  <c r="BE38"/>
  <c r="BE60"/>
  <c r="BE53"/>
  <c r="BE79"/>
  <c r="BE47"/>
  <c r="BE41"/>
  <c r="BE57"/>
  <c r="BE55"/>
  <c r="BE77"/>
  <c r="BE56"/>
  <c r="BE61"/>
  <c r="BE45"/>
  <c r="BE22"/>
  <c r="BE40"/>
  <c r="BJ46"/>
  <c r="BE59"/>
  <c r="BE44"/>
  <c r="BE43"/>
  <c r="BE63"/>
  <c r="BE48"/>
  <c r="BE23"/>
  <c r="BE78"/>
  <c r="BE58"/>
  <c r="BJ21"/>
  <c r="BJ53"/>
  <c r="BJ38"/>
  <c r="BJ54"/>
  <c r="BJ62"/>
  <c r="BH13"/>
  <c r="BI13" s="1"/>
  <c r="BF13"/>
  <c r="BJ34"/>
  <c r="BH14"/>
  <c r="BI14" s="1"/>
  <c r="BF14"/>
  <c r="BJ45"/>
  <c r="BJ69"/>
  <c r="BH30"/>
  <c r="BI30" s="1"/>
  <c r="BF30"/>
  <c r="BJ37"/>
  <c r="BH46"/>
  <c r="BI46" s="1"/>
  <c r="BF46"/>
  <c r="BJ78"/>
  <c r="BJ74"/>
  <c r="BJ66"/>
  <c r="BJ29"/>
  <c r="BJ64"/>
  <c r="BJ63"/>
  <c r="BJ51"/>
  <c r="BJ56"/>
  <c r="BJ41"/>
  <c r="BJ47"/>
  <c r="BJ16"/>
  <c r="BJ68"/>
  <c r="BJ20"/>
  <c r="BJ32"/>
  <c r="BJ76"/>
  <c r="BJ71"/>
  <c r="BJ12"/>
  <c r="BJ40"/>
  <c r="BJ35"/>
  <c r="BJ28"/>
  <c r="BJ60"/>
  <c r="BJ11"/>
  <c r="BJ72"/>
  <c r="BJ59"/>
  <c r="BJ15"/>
  <c r="BJ49"/>
  <c r="BJ17"/>
  <c r="BJ19"/>
  <c r="BJ79"/>
  <c r="BJ23"/>
  <c r="BJ48"/>
  <c r="BJ55"/>
  <c r="BJ67"/>
  <c r="BJ36"/>
  <c r="BJ65"/>
  <c r="BJ80"/>
  <c r="BJ44"/>
  <c r="BJ24"/>
  <c r="BJ25"/>
  <c r="BJ52"/>
  <c r="BJ57"/>
  <c r="BJ43"/>
  <c r="BJ33"/>
  <c r="BJ73"/>
  <c r="BJ39"/>
  <c r="BJ75"/>
  <c r="BJ27"/>
  <c r="BJ18"/>
  <c r="BJ26"/>
  <c r="BJ22"/>
  <c r="BJ31"/>
  <c r="BJ13"/>
  <c r="BA70"/>
  <c r="BD70" s="1"/>
  <c r="BE70" s="1"/>
  <c r="BJ42"/>
  <c r="BJ50"/>
  <c r="AW10"/>
  <c r="BJ61"/>
  <c r="AY10"/>
  <c r="BB10"/>
  <c r="AX10"/>
  <c r="BF503" l="1"/>
  <c r="AB503"/>
  <c r="BG439"/>
  <c r="AA439" s="1"/>
  <c r="AB439"/>
  <c r="BH429"/>
  <c r="BI429" s="1"/>
  <c r="AB429"/>
  <c r="BG386"/>
  <c r="AA386" s="1"/>
  <c r="AB386"/>
  <c r="BH403"/>
  <c r="BI403" s="1"/>
  <c r="AB403"/>
  <c r="BG341"/>
  <c r="AA341" s="1"/>
  <c r="AB341"/>
  <c r="BF245"/>
  <c r="AB245"/>
  <c r="BG276"/>
  <c r="AA276" s="1"/>
  <c r="AB276"/>
  <c r="BH197"/>
  <c r="BI197" s="1"/>
  <c r="AB197"/>
  <c r="BG213"/>
  <c r="AA213" s="1"/>
  <c r="AB213"/>
  <c r="BH182"/>
  <c r="BI182" s="1"/>
  <c r="AB182"/>
  <c r="BH219"/>
  <c r="BI219" s="1"/>
  <c r="AB219"/>
  <c r="BH173"/>
  <c r="BI173" s="1"/>
  <c r="AB173"/>
  <c r="BF212"/>
  <c r="AB212"/>
  <c r="BF204"/>
  <c r="AB204"/>
  <c r="BH195"/>
  <c r="BI195" s="1"/>
  <c r="AB195"/>
  <c r="BH196"/>
  <c r="BI196" s="1"/>
  <c r="AB196"/>
  <c r="BH176"/>
  <c r="BI176" s="1"/>
  <c r="AB176"/>
  <c r="BG162"/>
  <c r="AA162" s="1"/>
  <c r="AB162"/>
  <c r="BH216"/>
  <c r="BI216" s="1"/>
  <c r="AB216"/>
  <c r="BF208"/>
  <c r="AB208"/>
  <c r="BH203"/>
  <c r="BI203" s="1"/>
  <c r="AB203"/>
  <c r="BH199"/>
  <c r="BI199" s="1"/>
  <c r="AB199"/>
  <c r="BG214"/>
  <c r="AA214" s="1"/>
  <c r="AB214"/>
  <c r="BF188"/>
  <c r="AB188"/>
  <c r="BH186"/>
  <c r="BI186" s="1"/>
  <c r="AB186"/>
  <c r="BF187"/>
  <c r="AB187"/>
  <c r="BH223"/>
  <c r="BI223" s="1"/>
  <c r="AB223"/>
  <c r="BG198"/>
  <c r="AA198" s="1"/>
  <c r="AB198"/>
  <c r="BF177"/>
  <c r="AB177"/>
  <c r="BF192"/>
  <c r="AB192"/>
  <c r="BH202"/>
  <c r="BI202" s="1"/>
  <c r="AB202"/>
  <c r="BH218"/>
  <c r="BI218" s="1"/>
  <c r="AB218"/>
  <c r="BH220"/>
  <c r="BI220" s="1"/>
  <c r="AB220"/>
  <c r="BG160"/>
  <c r="AA160" s="1"/>
  <c r="AB160"/>
  <c r="BF221"/>
  <c r="AB221"/>
  <c r="BH200"/>
  <c r="BI200" s="1"/>
  <c r="AB200"/>
  <c r="BH184"/>
  <c r="BI184" s="1"/>
  <c r="AB184"/>
  <c r="BH134"/>
  <c r="BI134" s="1"/>
  <c r="AB134"/>
  <c r="BH95"/>
  <c r="BI95" s="1"/>
  <c r="AB95"/>
  <c r="BF143"/>
  <c r="AB143"/>
  <c r="BG110"/>
  <c r="AA110" s="1"/>
  <c r="AB110"/>
  <c r="BF89"/>
  <c r="AB89"/>
  <c r="BG132"/>
  <c r="AA132" s="1"/>
  <c r="AB132"/>
  <c r="BH140"/>
  <c r="BI140" s="1"/>
  <c r="AB140"/>
  <c r="BF126"/>
  <c r="AB126"/>
  <c r="BF146"/>
  <c r="AB146"/>
  <c r="BF148"/>
  <c r="AB148"/>
  <c r="BG138"/>
  <c r="AA138" s="1"/>
  <c r="AB138"/>
  <c r="BH137"/>
  <c r="BI137" s="1"/>
  <c r="AB137"/>
  <c r="BF150"/>
  <c r="AB150"/>
  <c r="BH144"/>
  <c r="BI144" s="1"/>
  <c r="AB144"/>
  <c r="BH141"/>
  <c r="BI141" s="1"/>
  <c r="AB141"/>
  <c r="BF97"/>
  <c r="AB97"/>
  <c r="BG128"/>
  <c r="AA128" s="1"/>
  <c r="AB128"/>
  <c r="BH120"/>
  <c r="BI120" s="1"/>
  <c r="AB120"/>
  <c r="BG91"/>
  <c r="AA91" s="1"/>
  <c r="AB91"/>
  <c r="BF125"/>
  <c r="AB125"/>
  <c r="BG152"/>
  <c r="AA152" s="1"/>
  <c r="AB152"/>
  <c r="BG92"/>
  <c r="AA92" s="1"/>
  <c r="AB92"/>
  <c r="BH90"/>
  <c r="BI90" s="1"/>
  <c r="AB90"/>
  <c r="BH136"/>
  <c r="BI136" s="1"/>
  <c r="AB136"/>
  <c r="BH147"/>
  <c r="BI147" s="1"/>
  <c r="AB147"/>
  <c r="BH142"/>
  <c r="BI142" s="1"/>
  <c r="AB142"/>
  <c r="BF99"/>
  <c r="AB99"/>
  <c r="BG44"/>
  <c r="AA44" s="1"/>
  <c r="AB44"/>
  <c r="BG47"/>
  <c r="AA47" s="1"/>
  <c r="AB47"/>
  <c r="BG67"/>
  <c r="AA67" s="1"/>
  <c r="AB67"/>
  <c r="BG48"/>
  <c r="AA48" s="1"/>
  <c r="AB48"/>
  <c r="BG58"/>
  <c r="AA58" s="1"/>
  <c r="AB58"/>
  <c r="BG63"/>
  <c r="AA63" s="1"/>
  <c r="AB63"/>
  <c r="BG61"/>
  <c r="AA61" s="1"/>
  <c r="AB61"/>
  <c r="BG57"/>
  <c r="AA57" s="1"/>
  <c r="AB57"/>
  <c r="BG53"/>
  <c r="AA53" s="1"/>
  <c r="AB53"/>
  <c r="BG51"/>
  <c r="AA51" s="1"/>
  <c r="AB51"/>
  <c r="BG74"/>
  <c r="AA74" s="1"/>
  <c r="AB74"/>
  <c r="BG39"/>
  <c r="AA39" s="1"/>
  <c r="AB39"/>
  <c r="BG27"/>
  <c r="AA27" s="1"/>
  <c r="AB27"/>
  <c r="BG29"/>
  <c r="AA29" s="1"/>
  <c r="AB29"/>
  <c r="BG54"/>
  <c r="AA54" s="1"/>
  <c r="AB54"/>
  <c r="BG33"/>
  <c r="AA33" s="1"/>
  <c r="AB33"/>
  <c r="BG73"/>
  <c r="AA73" s="1"/>
  <c r="AB73"/>
  <c r="BG42"/>
  <c r="AA42" s="1"/>
  <c r="AB42"/>
  <c r="BG70"/>
  <c r="AA70" s="1"/>
  <c r="AB70"/>
  <c r="BG23"/>
  <c r="AA23" s="1"/>
  <c r="AB23"/>
  <c r="BG77"/>
  <c r="AA77" s="1"/>
  <c r="AB77"/>
  <c r="BG38"/>
  <c r="AA38" s="1"/>
  <c r="AB38"/>
  <c r="BG78"/>
  <c r="AA78" s="1"/>
  <c r="AB78"/>
  <c r="BG43"/>
  <c r="AA43" s="1"/>
  <c r="AB43"/>
  <c r="BG40"/>
  <c r="AA40" s="1"/>
  <c r="AB40"/>
  <c r="BG56"/>
  <c r="AA56" s="1"/>
  <c r="AB56"/>
  <c r="BG41"/>
  <c r="AA41" s="1"/>
  <c r="AB41"/>
  <c r="BG60"/>
  <c r="AA60" s="1"/>
  <c r="AB60"/>
  <c r="BG69"/>
  <c r="AA69" s="1"/>
  <c r="AB69"/>
  <c r="BG36"/>
  <c r="AA36" s="1"/>
  <c r="AB36"/>
  <c r="BG21"/>
  <c r="AA21" s="1"/>
  <c r="AB21"/>
  <c r="BG75"/>
  <c r="AA75" s="1"/>
  <c r="AB75"/>
  <c r="BG68"/>
  <c r="AA68" s="1"/>
  <c r="AB68"/>
  <c r="BG80"/>
  <c r="AA80" s="1"/>
  <c r="AB80"/>
  <c r="BG49"/>
  <c r="AA49" s="1"/>
  <c r="AB49"/>
  <c r="BG72"/>
  <c r="AA72" s="1"/>
  <c r="AB72"/>
  <c r="BG52"/>
  <c r="AA52" s="1"/>
  <c r="AB52"/>
  <c r="BG25"/>
  <c r="AA25" s="1"/>
  <c r="AB25"/>
  <c r="BG32"/>
  <c r="AA32" s="1"/>
  <c r="AB32"/>
  <c r="BG17"/>
  <c r="AA17" s="1"/>
  <c r="AB17"/>
  <c r="BG34"/>
  <c r="AA34" s="1"/>
  <c r="AB34"/>
  <c r="BG28"/>
  <c r="AA28" s="1"/>
  <c r="AB28"/>
  <c r="BG71"/>
  <c r="AA71" s="1"/>
  <c r="AB71"/>
  <c r="BG62"/>
  <c r="AA62" s="1"/>
  <c r="AB62"/>
  <c r="BG24"/>
  <c r="AA24" s="1"/>
  <c r="AB24"/>
  <c r="BG22"/>
  <c r="AA22" s="1"/>
  <c r="AB22"/>
  <c r="BG50"/>
  <c r="AA50" s="1"/>
  <c r="AB50"/>
  <c r="BG59"/>
  <c r="AA59" s="1"/>
  <c r="AB59"/>
  <c r="BG45"/>
  <c r="AA45" s="1"/>
  <c r="AB45"/>
  <c r="BG55"/>
  <c r="AA55" s="1"/>
  <c r="AB55"/>
  <c r="BG79"/>
  <c r="AA79" s="1"/>
  <c r="AB79"/>
  <c r="BG35"/>
  <c r="AA35" s="1"/>
  <c r="AB35"/>
  <c r="BG66"/>
  <c r="AA66" s="1"/>
  <c r="AB66"/>
  <c r="BG64"/>
  <c r="AA64" s="1"/>
  <c r="AB64"/>
  <c r="BG65"/>
  <c r="AA65" s="1"/>
  <c r="AB65"/>
  <c r="BG37"/>
  <c r="AA37" s="1"/>
  <c r="AB37"/>
  <c r="BG31"/>
  <c r="AA31" s="1"/>
  <c r="AB31"/>
  <c r="BG20"/>
  <c r="AA20" s="1"/>
  <c r="AB20"/>
  <c r="BG16"/>
  <c r="AA16" s="1"/>
  <c r="AB16"/>
  <c r="BG76"/>
  <c r="AA76" s="1"/>
  <c r="AB76"/>
  <c r="BG19"/>
  <c r="AA19" s="1"/>
  <c r="AB19"/>
  <c r="BF439"/>
  <c r="BH386"/>
  <c r="BI386" s="1"/>
  <c r="BJ99"/>
  <c r="BH439"/>
  <c r="BI439" s="1"/>
  <c r="BF386"/>
  <c r="BF91"/>
  <c r="BH91"/>
  <c r="BI91" s="1"/>
  <c r="BH138"/>
  <c r="BI138" s="1"/>
  <c r="BJ148"/>
  <c r="BG146"/>
  <c r="AA146" s="1"/>
  <c r="BF138"/>
  <c r="BG126"/>
  <c r="AA126" s="1"/>
  <c r="BE210"/>
  <c r="BF429"/>
  <c r="BG429"/>
  <c r="AA429" s="1"/>
  <c r="BH146"/>
  <c r="BI146" s="1"/>
  <c r="BH126"/>
  <c r="BI126" s="1"/>
  <c r="BG202"/>
  <c r="AA202" s="1"/>
  <c r="BH188"/>
  <c r="BI188" s="1"/>
  <c r="BG188"/>
  <c r="AA188" s="1"/>
  <c r="BG503"/>
  <c r="AA503" s="1"/>
  <c r="BH192"/>
  <c r="BI192" s="1"/>
  <c r="BF202"/>
  <c r="BH341"/>
  <c r="BI341" s="1"/>
  <c r="BF341"/>
  <c r="BF214"/>
  <c r="BG90"/>
  <c r="AA90" s="1"/>
  <c r="BG184"/>
  <c r="AA184" s="1"/>
  <c r="BF120"/>
  <c r="BH214"/>
  <c r="BI214" s="1"/>
  <c r="BG200"/>
  <c r="AA200" s="1"/>
  <c r="BG120"/>
  <c r="AA120" s="1"/>
  <c r="BJ165"/>
  <c r="BF200"/>
  <c r="BF142"/>
  <c r="BG203"/>
  <c r="AA203" s="1"/>
  <c r="BF184"/>
  <c r="BF216"/>
  <c r="BF176"/>
  <c r="BG142"/>
  <c r="AA142" s="1"/>
  <c r="BG192"/>
  <c r="AA192" s="1"/>
  <c r="BG95"/>
  <c r="AA95" s="1"/>
  <c r="BF203"/>
  <c r="BG176"/>
  <c r="AA176" s="1"/>
  <c r="BF219"/>
  <c r="BG219"/>
  <c r="AA219" s="1"/>
  <c r="BH143"/>
  <c r="BI143" s="1"/>
  <c r="BF276"/>
  <c r="BH148"/>
  <c r="BI148" s="1"/>
  <c r="BH503"/>
  <c r="BI503" s="1"/>
  <c r="BG143"/>
  <c r="AA143" s="1"/>
  <c r="BJ199"/>
  <c r="BH93"/>
  <c r="BI93" s="1"/>
  <c r="BF93"/>
  <c r="BJ93"/>
  <c r="BG177"/>
  <c r="AA177" s="1"/>
  <c r="BF196"/>
  <c r="BF403"/>
  <c r="BJ127"/>
  <c r="BE127"/>
  <c r="AB127" s="1"/>
  <c r="BG140"/>
  <c r="AA140" s="1"/>
  <c r="BG148"/>
  <c r="AA148" s="1"/>
  <c r="BH177"/>
  <c r="BI177" s="1"/>
  <c r="BG196"/>
  <c r="AA196" s="1"/>
  <c r="BG403"/>
  <c r="AA403" s="1"/>
  <c r="BG199"/>
  <c r="AA199" s="1"/>
  <c r="BH276"/>
  <c r="BI276" s="1"/>
  <c r="BF199"/>
  <c r="BH89"/>
  <c r="BI89" s="1"/>
  <c r="BH110"/>
  <c r="BI110" s="1"/>
  <c r="BG221"/>
  <c r="AA221" s="1"/>
  <c r="BH221"/>
  <c r="BI221" s="1"/>
  <c r="BF95"/>
  <c r="BF128"/>
  <c r="BG195"/>
  <c r="AA195" s="1"/>
  <c r="BG212"/>
  <c r="AA212" s="1"/>
  <c r="BH245"/>
  <c r="BI245" s="1"/>
  <c r="BH128"/>
  <c r="BI128" s="1"/>
  <c r="BG99"/>
  <c r="AA99" s="1"/>
  <c r="BG208"/>
  <c r="AA208" s="1"/>
  <c r="BH212"/>
  <c r="BI212" s="1"/>
  <c r="BH99"/>
  <c r="BI99" s="1"/>
  <c r="BF218"/>
  <c r="BH208"/>
  <c r="BI208" s="1"/>
  <c r="BG245"/>
  <c r="AA245" s="1"/>
  <c r="BF195"/>
  <c r="BG218"/>
  <c r="AA218" s="1"/>
  <c r="BF90"/>
  <c r="BH204"/>
  <c r="BI204" s="1"/>
  <c r="BG97"/>
  <c r="AA97" s="1"/>
  <c r="BF140"/>
  <c r="BH97"/>
  <c r="BI97" s="1"/>
  <c r="BF136"/>
  <c r="BG187"/>
  <c r="AA187" s="1"/>
  <c r="BG136"/>
  <c r="AA136" s="1"/>
  <c r="BH187"/>
  <c r="BI187" s="1"/>
  <c r="BF160"/>
  <c r="BH160"/>
  <c r="BI160" s="1"/>
  <c r="BF182"/>
  <c r="BG89"/>
  <c r="AA89" s="1"/>
  <c r="BG216"/>
  <c r="AA216" s="1"/>
  <c r="BF42"/>
  <c r="BG93"/>
  <c r="AA93" s="1"/>
  <c r="BG204"/>
  <c r="AA204" s="1"/>
  <c r="BH42"/>
  <c r="BI42" s="1"/>
  <c r="BH162"/>
  <c r="BI162" s="1"/>
  <c r="BF197"/>
  <c r="BG173"/>
  <c r="AA173" s="1"/>
  <c r="BF223"/>
  <c r="BF173"/>
  <c r="BG223"/>
  <c r="AA223" s="1"/>
  <c r="BG197"/>
  <c r="AA197" s="1"/>
  <c r="BF186"/>
  <c r="BG220"/>
  <c r="AA220" s="1"/>
  <c r="BF198"/>
  <c r="BG182"/>
  <c r="AA182" s="1"/>
  <c r="BG186"/>
  <c r="AA186" s="1"/>
  <c r="BF220"/>
  <c r="BH198"/>
  <c r="BI198" s="1"/>
  <c r="BH61"/>
  <c r="BI61" s="1"/>
  <c r="BH213"/>
  <c r="BI213" s="1"/>
  <c r="BF213"/>
  <c r="BF162"/>
  <c r="BF141"/>
  <c r="BH132"/>
  <c r="BI132" s="1"/>
  <c r="BG141"/>
  <c r="AA141" s="1"/>
  <c r="BF147"/>
  <c r="BH92"/>
  <c r="BI92" s="1"/>
  <c r="BF144"/>
  <c r="BG144"/>
  <c r="AA144" s="1"/>
  <c r="BG150"/>
  <c r="AA150" s="1"/>
  <c r="BH150"/>
  <c r="BI150" s="1"/>
  <c r="BG147"/>
  <c r="AA147" s="1"/>
  <c r="BF92"/>
  <c r="BF110"/>
  <c r="BF132"/>
  <c r="BF137"/>
  <c r="BG137"/>
  <c r="AA137" s="1"/>
  <c r="BH152"/>
  <c r="BI152" s="1"/>
  <c r="BH125"/>
  <c r="BI125" s="1"/>
  <c r="BG134"/>
  <c r="AA134" s="1"/>
  <c r="BG125"/>
  <c r="AA125" s="1"/>
  <c r="BF152"/>
  <c r="BF134"/>
  <c r="BH201"/>
  <c r="BI201" s="1"/>
  <c r="BG201"/>
  <c r="AA201" s="1"/>
  <c r="BF201"/>
  <c r="BG189"/>
  <c r="AA189" s="1"/>
  <c r="BF189"/>
  <c r="BH189"/>
  <c r="BI189" s="1"/>
  <c r="BH174"/>
  <c r="BI174" s="1"/>
  <c r="BG174"/>
  <c r="AA174" s="1"/>
  <c r="BF174"/>
  <c r="BG185"/>
  <c r="AA185" s="1"/>
  <c r="BF185"/>
  <c r="BH185"/>
  <c r="BI185" s="1"/>
  <c r="BH217"/>
  <c r="BI217" s="1"/>
  <c r="BG217"/>
  <c r="AA217" s="1"/>
  <c r="BF217"/>
  <c r="BH168"/>
  <c r="BI168" s="1"/>
  <c r="BG168"/>
  <c r="AA168" s="1"/>
  <c r="BF168"/>
  <c r="BH207"/>
  <c r="BI207" s="1"/>
  <c r="BF207"/>
  <c r="BG207"/>
  <c r="AA207" s="1"/>
  <c r="BF191"/>
  <c r="BG191"/>
  <c r="AA191" s="1"/>
  <c r="BH191"/>
  <c r="BI191" s="1"/>
  <c r="BH206"/>
  <c r="BI206" s="1"/>
  <c r="BF206"/>
  <c r="BG206"/>
  <c r="AA206" s="1"/>
  <c r="BH167"/>
  <c r="BI167" s="1"/>
  <c r="BG167"/>
  <c r="AA167" s="1"/>
  <c r="BF167"/>
  <c r="BH175"/>
  <c r="BI175" s="1"/>
  <c r="BG175"/>
  <c r="AA175" s="1"/>
  <c r="BF175"/>
  <c r="BH172"/>
  <c r="BI172" s="1"/>
  <c r="BG172"/>
  <c r="AA172" s="1"/>
  <c r="BF172"/>
  <c r="BH163"/>
  <c r="BI163" s="1"/>
  <c r="BG163"/>
  <c r="AA163" s="1"/>
  <c r="BF163"/>
  <c r="BH171"/>
  <c r="BI171" s="1"/>
  <c r="BG171"/>
  <c r="AA171" s="1"/>
  <c r="BF171"/>
  <c r="BF183"/>
  <c r="BH183"/>
  <c r="BI183" s="1"/>
  <c r="BG183"/>
  <c r="AA183" s="1"/>
  <c r="BH194"/>
  <c r="BI194" s="1"/>
  <c r="BG194"/>
  <c r="AA194" s="1"/>
  <c r="BF194"/>
  <c r="BH165"/>
  <c r="BI165" s="1"/>
  <c r="BG165"/>
  <c r="AA165" s="1"/>
  <c r="BF165"/>
  <c r="BH161"/>
  <c r="BI161" s="1"/>
  <c r="BG161"/>
  <c r="AA161" s="1"/>
  <c r="BF161"/>
  <c r="BH166"/>
  <c r="BI166" s="1"/>
  <c r="BG166"/>
  <c r="AA166" s="1"/>
  <c r="BF166"/>
  <c r="BH164"/>
  <c r="BI164" s="1"/>
  <c r="BG164"/>
  <c r="AA164" s="1"/>
  <c r="BF164"/>
  <c r="BH180"/>
  <c r="BI180" s="1"/>
  <c r="BG180"/>
  <c r="AA180" s="1"/>
  <c r="BF180"/>
  <c r="BH181"/>
  <c r="BI181" s="1"/>
  <c r="BG181"/>
  <c r="AA181" s="1"/>
  <c r="BF181"/>
  <c r="BH211"/>
  <c r="BI211" s="1"/>
  <c r="BG211"/>
  <c r="AA211" s="1"/>
  <c r="BF211"/>
  <c r="BH209"/>
  <c r="BI209" s="1"/>
  <c r="BG209"/>
  <c r="AA209" s="1"/>
  <c r="BF209"/>
  <c r="BH222"/>
  <c r="BI222" s="1"/>
  <c r="BF222"/>
  <c r="BG222"/>
  <c r="AA222" s="1"/>
  <c r="BH205"/>
  <c r="BI205" s="1"/>
  <c r="BG205"/>
  <c r="AA205" s="1"/>
  <c r="BF205"/>
  <c r="BH190"/>
  <c r="BI190" s="1"/>
  <c r="BG190"/>
  <c r="AA190" s="1"/>
  <c r="BF190"/>
  <c r="BH178"/>
  <c r="BI178" s="1"/>
  <c r="BG178"/>
  <c r="AA178" s="1"/>
  <c r="BF178"/>
  <c r="BH169"/>
  <c r="BI169" s="1"/>
  <c r="BG169"/>
  <c r="AA169" s="1"/>
  <c r="BF169"/>
  <c r="BG193"/>
  <c r="AA193" s="1"/>
  <c r="BF193"/>
  <c r="BH193"/>
  <c r="BI193" s="1"/>
  <c r="BH224"/>
  <c r="BI224" s="1"/>
  <c r="BG224"/>
  <c r="AA224" s="1"/>
  <c r="BF224"/>
  <c r="BH179"/>
  <c r="BI179" s="1"/>
  <c r="BG179"/>
  <c r="AA179" s="1"/>
  <c r="BF179"/>
  <c r="BH170"/>
  <c r="BI170" s="1"/>
  <c r="BG170"/>
  <c r="AA170" s="1"/>
  <c r="BF170"/>
  <c r="BH215"/>
  <c r="BI215" s="1"/>
  <c r="BF215"/>
  <c r="BG215"/>
  <c r="AA215" s="1"/>
  <c r="BF119"/>
  <c r="BH119"/>
  <c r="BI119" s="1"/>
  <c r="BG119"/>
  <c r="AA119" s="1"/>
  <c r="BH112"/>
  <c r="BI112" s="1"/>
  <c r="BF112"/>
  <c r="BG112"/>
  <c r="AA112" s="1"/>
  <c r="BG113"/>
  <c r="AA113" s="1"/>
  <c r="BF113"/>
  <c r="BH113"/>
  <c r="BI113" s="1"/>
  <c r="BH101"/>
  <c r="BI101" s="1"/>
  <c r="BG101"/>
  <c r="AA101" s="1"/>
  <c r="BF101"/>
  <c r="BF96"/>
  <c r="BG96"/>
  <c r="AA96" s="1"/>
  <c r="BH96"/>
  <c r="BI96" s="1"/>
  <c r="BH118"/>
  <c r="BI118" s="1"/>
  <c r="BG118"/>
  <c r="AA118" s="1"/>
  <c r="BF118"/>
  <c r="BF123"/>
  <c r="BH123"/>
  <c r="BI123" s="1"/>
  <c r="BG123"/>
  <c r="AA123" s="1"/>
  <c r="BH106"/>
  <c r="BI106" s="1"/>
  <c r="BG106"/>
  <c r="AA106" s="1"/>
  <c r="BF106"/>
  <c r="BF111"/>
  <c r="BH111"/>
  <c r="BI111" s="1"/>
  <c r="BG111"/>
  <c r="AA111" s="1"/>
  <c r="BH108"/>
  <c r="BI108" s="1"/>
  <c r="BG108"/>
  <c r="AA108" s="1"/>
  <c r="BF108"/>
  <c r="BH129"/>
  <c r="BI129" s="1"/>
  <c r="BG129"/>
  <c r="AA129" s="1"/>
  <c r="BF129"/>
  <c r="BH104"/>
  <c r="BI104" s="1"/>
  <c r="BF104"/>
  <c r="BG104"/>
  <c r="AA104" s="1"/>
  <c r="BH149"/>
  <c r="BI149" s="1"/>
  <c r="BG149"/>
  <c r="AA149" s="1"/>
  <c r="BF149"/>
  <c r="BH105"/>
  <c r="BI105" s="1"/>
  <c r="BG105"/>
  <c r="AA105" s="1"/>
  <c r="BF105"/>
  <c r="BH130"/>
  <c r="BI130" s="1"/>
  <c r="BG130"/>
  <c r="AA130" s="1"/>
  <c r="BF130"/>
  <c r="BF88"/>
  <c r="BH88"/>
  <c r="BI88" s="1"/>
  <c r="BG88"/>
  <c r="AA88" s="1"/>
  <c r="BH145"/>
  <c r="BI145" s="1"/>
  <c r="BG145"/>
  <c r="AA145" s="1"/>
  <c r="BF145"/>
  <c r="BH124"/>
  <c r="BI124" s="1"/>
  <c r="BG124"/>
  <c r="AA124" s="1"/>
  <c r="BF124"/>
  <c r="BF100"/>
  <c r="BH100"/>
  <c r="BI100" s="1"/>
  <c r="BG100"/>
  <c r="AA100" s="1"/>
  <c r="BH133"/>
  <c r="BI133" s="1"/>
  <c r="BG133"/>
  <c r="AA133" s="1"/>
  <c r="BF133"/>
  <c r="BH114"/>
  <c r="BI114" s="1"/>
  <c r="BG114"/>
  <c r="AA114" s="1"/>
  <c r="BF114"/>
  <c r="BH139"/>
  <c r="BI139" s="1"/>
  <c r="BG139"/>
  <c r="AA139" s="1"/>
  <c r="BF139"/>
  <c r="BH102"/>
  <c r="BI102" s="1"/>
  <c r="BG102"/>
  <c r="AA102" s="1"/>
  <c r="BF102"/>
  <c r="BH131"/>
  <c r="BI131" s="1"/>
  <c r="BG131"/>
  <c r="AA131" s="1"/>
  <c r="BF131"/>
  <c r="BG117"/>
  <c r="AA117" s="1"/>
  <c r="BF117"/>
  <c r="BH117"/>
  <c r="BI117" s="1"/>
  <c r="BH107"/>
  <c r="BI107" s="1"/>
  <c r="BG107"/>
  <c r="AA107" s="1"/>
  <c r="BF107"/>
  <c r="BH122"/>
  <c r="BI122" s="1"/>
  <c r="BG122"/>
  <c r="AA122" s="1"/>
  <c r="BF122"/>
  <c r="BH135"/>
  <c r="BI135" s="1"/>
  <c r="BF135"/>
  <c r="BG135"/>
  <c r="AA135" s="1"/>
  <c r="BH151"/>
  <c r="BI151" s="1"/>
  <c r="BF151"/>
  <c r="BG151"/>
  <c r="AA151" s="1"/>
  <c r="BF115"/>
  <c r="BG115"/>
  <c r="AA115" s="1"/>
  <c r="BH115"/>
  <c r="BI115" s="1"/>
  <c r="BH116"/>
  <c r="BI116" s="1"/>
  <c r="BG116"/>
  <c r="AA116" s="1"/>
  <c r="BF116"/>
  <c r="BF98"/>
  <c r="BG98"/>
  <c r="AA98" s="1"/>
  <c r="BH98"/>
  <c r="BI98" s="1"/>
  <c r="BG94"/>
  <c r="AA94" s="1"/>
  <c r="BF94"/>
  <c r="BH94"/>
  <c r="BI94" s="1"/>
  <c r="BH109"/>
  <c r="BI109" s="1"/>
  <c r="BG109"/>
  <c r="AA109" s="1"/>
  <c r="BF109"/>
  <c r="BH103"/>
  <c r="BI103" s="1"/>
  <c r="BG103"/>
  <c r="AA103" s="1"/>
  <c r="BF103"/>
  <c r="BG121"/>
  <c r="AA121" s="1"/>
  <c r="BF121"/>
  <c r="BH121"/>
  <c r="BI121" s="1"/>
  <c r="BH78"/>
  <c r="BI78" s="1"/>
  <c r="BF78"/>
  <c r="BF61"/>
  <c r="BH22"/>
  <c r="BI22" s="1"/>
  <c r="BF22"/>
  <c r="BH21"/>
  <c r="BI21" s="1"/>
  <c r="BF21"/>
  <c r="BH29"/>
  <c r="BI29" s="1"/>
  <c r="BF29"/>
  <c r="BH66"/>
  <c r="BI66" s="1"/>
  <c r="BF66"/>
  <c r="BH39"/>
  <c r="BI39" s="1"/>
  <c r="BF39"/>
  <c r="BH57"/>
  <c r="BI57" s="1"/>
  <c r="BF57"/>
  <c r="BH44"/>
  <c r="BI44" s="1"/>
  <c r="BF44"/>
  <c r="BH67"/>
  <c r="BI67" s="1"/>
  <c r="BF67"/>
  <c r="BH79"/>
  <c r="BI79" s="1"/>
  <c r="BF79"/>
  <c r="BH15"/>
  <c r="BI15" s="1"/>
  <c r="BF15"/>
  <c r="BH60"/>
  <c r="BI60" s="1"/>
  <c r="BF60"/>
  <c r="BH12"/>
  <c r="BI12" s="1"/>
  <c r="BF12"/>
  <c r="BH20"/>
  <c r="BI20" s="1"/>
  <c r="BF20"/>
  <c r="BH41"/>
  <c r="BI41" s="1"/>
  <c r="BF41"/>
  <c r="BH64"/>
  <c r="BI64" s="1"/>
  <c r="BF64"/>
  <c r="BH69"/>
  <c r="BI69" s="1"/>
  <c r="BF69"/>
  <c r="BH53"/>
  <c r="BI53" s="1"/>
  <c r="BF53"/>
  <c r="BH18"/>
  <c r="BI18" s="1"/>
  <c r="BF18"/>
  <c r="BH58"/>
  <c r="BI58" s="1"/>
  <c r="BF58"/>
  <c r="BH52"/>
  <c r="BI52" s="1"/>
  <c r="BF52"/>
  <c r="BH19"/>
  <c r="BI19" s="1"/>
  <c r="BF19"/>
  <c r="BH28"/>
  <c r="BI28" s="1"/>
  <c r="BF28"/>
  <c r="BH56"/>
  <c r="BI56" s="1"/>
  <c r="BF56"/>
  <c r="BH33"/>
  <c r="BI33" s="1"/>
  <c r="BF33"/>
  <c r="BH65"/>
  <c r="BI65" s="1"/>
  <c r="BF65"/>
  <c r="BH48"/>
  <c r="BI48" s="1"/>
  <c r="BF48"/>
  <c r="BH72"/>
  <c r="BI72" s="1"/>
  <c r="BF72"/>
  <c r="BH35"/>
  <c r="BI35" s="1"/>
  <c r="BF35"/>
  <c r="BH16"/>
  <c r="BI16" s="1"/>
  <c r="BF16"/>
  <c r="BH51"/>
  <c r="BI51" s="1"/>
  <c r="BF51"/>
  <c r="BH50"/>
  <c r="BI50" s="1"/>
  <c r="BF50"/>
  <c r="BH45"/>
  <c r="BI45" s="1"/>
  <c r="BF45"/>
  <c r="BH73"/>
  <c r="BI73" s="1"/>
  <c r="BF73"/>
  <c r="BH55"/>
  <c r="BI55" s="1"/>
  <c r="BF55"/>
  <c r="BH71"/>
  <c r="BI71" s="1"/>
  <c r="BF71"/>
  <c r="BH62"/>
  <c r="BI62" s="1"/>
  <c r="BF62"/>
  <c r="BH74"/>
  <c r="BI74" s="1"/>
  <c r="BF74"/>
  <c r="BH27"/>
  <c r="BI27" s="1"/>
  <c r="BF27"/>
  <c r="BH25"/>
  <c r="BI25" s="1"/>
  <c r="BF25"/>
  <c r="BH17"/>
  <c r="BI17" s="1"/>
  <c r="BF17"/>
  <c r="BH76"/>
  <c r="BI76" s="1"/>
  <c r="BF76"/>
  <c r="BH37"/>
  <c r="BI37" s="1"/>
  <c r="BF37"/>
  <c r="BH38"/>
  <c r="BI38" s="1"/>
  <c r="BF38"/>
  <c r="BH26"/>
  <c r="BI26" s="1"/>
  <c r="BF26"/>
  <c r="BH80"/>
  <c r="BI80" s="1"/>
  <c r="BF80"/>
  <c r="BH59"/>
  <c r="BI59" s="1"/>
  <c r="BF59"/>
  <c r="BH68"/>
  <c r="BI68" s="1"/>
  <c r="BF68"/>
  <c r="BH31"/>
  <c r="BI31" s="1"/>
  <c r="BF31"/>
  <c r="BH34"/>
  <c r="BI34" s="1"/>
  <c r="BF34"/>
  <c r="BH54"/>
  <c r="BI54" s="1"/>
  <c r="BF54"/>
  <c r="BH75"/>
  <c r="BI75" s="1"/>
  <c r="BF75"/>
  <c r="BH43"/>
  <c r="BI43" s="1"/>
  <c r="BF43"/>
  <c r="BH24"/>
  <c r="BI24" s="1"/>
  <c r="BF24"/>
  <c r="BH36"/>
  <c r="BI36" s="1"/>
  <c r="BF36"/>
  <c r="BH23"/>
  <c r="BI23" s="1"/>
  <c r="BF23"/>
  <c r="BH49"/>
  <c r="BI49" s="1"/>
  <c r="BF49"/>
  <c r="BH11"/>
  <c r="BI11" s="1"/>
  <c r="BF11"/>
  <c r="BH40"/>
  <c r="BI40" s="1"/>
  <c r="BF40"/>
  <c r="BH32"/>
  <c r="BI32" s="1"/>
  <c r="BF32"/>
  <c r="BH47"/>
  <c r="BI47" s="1"/>
  <c r="BF47"/>
  <c r="BH63"/>
  <c r="BI63" s="1"/>
  <c r="BF63"/>
  <c r="BH77"/>
  <c r="BI77" s="1"/>
  <c r="BF77"/>
  <c r="BJ70"/>
  <c r="AZ10"/>
  <c r="BA10" s="1"/>
  <c r="BD10" s="1"/>
  <c r="BC10"/>
  <c r="BF210" l="1"/>
  <c r="AB210"/>
  <c r="BH210"/>
  <c r="BI210" s="1"/>
  <c r="BG210"/>
  <c r="AA210" s="1"/>
  <c r="BH127"/>
  <c r="BI127" s="1"/>
  <c r="BG127"/>
  <c r="AA127" s="1"/>
  <c r="BF127"/>
  <c r="BH70"/>
  <c r="BI70" s="1"/>
  <c r="BF70"/>
  <c r="BJ10"/>
  <c r="BF10" l="1"/>
  <c r="BH10"/>
  <c r="BI10" s="1"/>
</calcChain>
</file>

<file path=xl/comments1.xml><?xml version="1.0" encoding="utf-8"?>
<comments xmlns="http://schemas.openxmlformats.org/spreadsheetml/2006/main">
  <authors>
    <author>Daniel Kong</author>
  </authors>
  <commentList>
    <comment ref="E82" authorId="0">
      <text>
        <r>
          <rPr>
            <b/>
            <sz val="8"/>
            <color indexed="81"/>
            <rFont val="Tahoma"/>
            <family val="2"/>
          </rPr>
          <t>Daniel Kong:</t>
        </r>
        <r>
          <rPr>
            <sz val="8"/>
            <color indexed="81"/>
            <rFont val="Tahoma"/>
            <family val="2"/>
          </rPr>
          <t xml:space="preserve">
Salinity data not available hence MIROC-hires data used (Cooler&amp;Wetter future)</t>
        </r>
      </text>
    </comment>
  </commentList>
</comments>
</file>

<file path=xl/sharedStrings.xml><?xml version="1.0" encoding="utf-8"?>
<sst xmlns="http://schemas.openxmlformats.org/spreadsheetml/2006/main" count="1195" uniqueCount="209">
  <si>
    <r>
      <t>k</t>
    </r>
    <r>
      <rPr>
        <vertAlign val="subscript"/>
        <sz val="11"/>
        <color theme="1"/>
        <rFont val="Calibri"/>
        <family val="2"/>
        <scheme val="minor"/>
      </rPr>
      <t>water</t>
    </r>
  </si>
  <si>
    <t>Zone</t>
  </si>
  <si>
    <t>Heartwood</t>
  </si>
  <si>
    <t>Double-treated CC2+CR2</t>
  </si>
  <si>
    <t>HW1</t>
  </si>
  <si>
    <t>HW2</t>
  </si>
  <si>
    <t>HW3</t>
  </si>
  <si>
    <t>HW4</t>
  </si>
  <si>
    <r>
      <t>k</t>
    </r>
    <r>
      <rPr>
        <vertAlign val="subscript"/>
        <sz val="11"/>
        <color theme="1"/>
        <rFont val="Calibri"/>
        <family val="2"/>
        <scheme val="minor"/>
      </rPr>
      <t>wood</t>
    </r>
  </si>
  <si>
    <t>Material</t>
  </si>
  <si>
    <t>Class</t>
  </si>
  <si>
    <t>(ppt)</t>
  </si>
  <si>
    <t>Salinity</t>
  </si>
  <si>
    <r>
      <t>k</t>
    </r>
    <r>
      <rPr>
        <vertAlign val="subscript"/>
        <sz val="11"/>
        <color theme="1"/>
        <rFont val="Calibri"/>
        <family val="2"/>
        <scheme val="minor"/>
      </rPr>
      <t>sal</t>
    </r>
  </si>
  <si>
    <t>Water zone</t>
  </si>
  <si>
    <t>Exposed to strong wave or surf</t>
  </si>
  <si>
    <t>Calm or sheltered from wave</t>
  </si>
  <si>
    <r>
      <t>k</t>
    </r>
    <r>
      <rPr>
        <vertAlign val="subscript"/>
        <sz val="11"/>
        <color theme="1"/>
        <rFont val="Calibri"/>
        <family val="2"/>
        <scheme val="minor"/>
      </rPr>
      <t>shelter</t>
    </r>
  </si>
  <si>
    <t>Exposure</t>
  </si>
  <si>
    <t>EXP1</t>
  </si>
  <si>
    <t>EXP2</t>
  </si>
  <si>
    <t>Maintenance measure</t>
  </si>
  <si>
    <t>Floating collar</t>
  </si>
  <si>
    <t>None</t>
  </si>
  <si>
    <t>MTN1</t>
  </si>
  <si>
    <t>MTN2</t>
  </si>
  <si>
    <r>
      <t>k</t>
    </r>
    <r>
      <rPr>
        <vertAlign val="subscript"/>
        <sz val="11"/>
        <color theme="1"/>
        <rFont val="Calibri"/>
        <family val="2"/>
        <scheme val="minor"/>
      </rPr>
      <t>protect</t>
    </r>
  </si>
  <si>
    <t>Maintn</t>
  </si>
  <si>
    <t>Contact</t>
  </si>
  <si>
    <t>Contact with other timber member</t>
  </si>
  <si>
    <t>CNT1</t>
  </si>
  <si>
    <t>CNT2</t>
  </si>
  <si>
    <r>
      <t>k</t>
    </r>
    <r>
      <rPr>
        <vertAlign val="subscript"/>
        <sz val="11"/>
        <color theme="1"/>
        <rFont val="Calibri"/>
        <family val="2"/>
        <scheme val="minor"/>
      </rPr>
      <t>contact</t>
    </r>
  </si>
  <si>
    <r>
      <t>k</t>
    </r>
    <r>
      <rPr>
        <vertAlign val="subscript"/>
        <sz val="11"/>
        <color theme="1"/>
        <rFont val="Calibri"/>
        <family val="2"/>
        <scheme val="minor"/>
      </rPr>
      <t>0</t>
    </r>
  </si>
  <si>
    <t>r</t>
  </si>
  <si>
    <t>Attack rate of marine borer</t>
  </si>
  <si>
    <t>(°C)</t>
  </si>
  <si>
    <t>E</t>
  </si>
  <si>
    <t>A</t>
  </si>
  <si>
    <t>B</t>
  </si>
  <si>
    <t>C</t>
  </si>
  <si>
    <t>D</t>
  </si>
  <si>
    <t>F</t>
  </si>
  <si>
    <t>G</t>
  </si>
  <si>
    <t>Mean summer water temp</t>
  </si>
  <si>
    <t>Zones A-D</t>
  </si>
  <si>
    <t>Zones E-G</t>
  </si>
  <si>
    <t>Zones A-C</t>
  </si>
  <si>
    <t>Zones D-G</t>
  </si>
  <si>
    <t>Sapwood of softwood</t>
  </si>
  <si>
    <t>Creosote-treated 24%kg/kg</t>
  </si>
  <si>
    <t>Creosote-treated 40%kg/kg</t>
  </si>
  <si>
    <t>CCA-treated 0.6%kg/kg</t>
  </si>
  <si>
    <t>CCA-treated 1%kg/kg</t>
  </si>
  <si>
    <t>CCA-treated 2%kg/kg</t>
  </si>
  <si>
    <t>CCA-treated 5%kg/kg</t>
  </si>
  <si>
    <t>Sapwood of hardwood</t>
  </si>
  <si>
    <t>Class 1</t>
  </si>
  <si>
    <t>Class 2</t>
  </si>
  <si>
    <t>Class 3</t>
  </si>
  <si>
    <t>Class 4</t>
  </si>
  <si>
    <t>Untreated</t>
  </si>
  <si>
    <t>SPSU</t>
  </si>
  <si>
    <t>SPSCR1</t>
  </si>
  <si>
    <t>SPSCR2</t>
  </si>
  <si>
    <t>SPSCC1</t>
  </si>
  <si>
    <t>SPSCC2</t>
  </si>
  <si>
    <t>SPSCC3</t>
  </si>
  <si>
    <t>SPSCC4</t>
  </si>
  <si>
    <t>SPSDBT</t>
  </si>
  <si>
    <t>SPHU</t>
  </si>
  <si>
    <t>SPHCR1</t>
  </si>
  <si>
    <t>SPHCR2</t>
  </si>
  <si>
    <t>SPHCC2</t>
  </si>
  <si>
    <t>SPHCC1</t>
  </si>
  <si>
    <t>SPHCC3</t>
  </si>
  <si>
    <t>SPHDBT</t>
  </si>
  <si>
    <t>Creosote-treated 13%kg/kg</t>
  </si>
  <si>
    <t>Creosote-treated 22%kg/kg</t>
  </si>
  <si>
    <t>CCA-treated 0.7%kg/kg</t>
  </si>
  <si>
    <t>CCA-treated 1.2%kg/kg</t>
  </si>
  <si>
    <t>CCA-treated 2.4%kg/kg</t>
  </si>
  <si>
    <r>
      <t>k</t>
    </r>
    <r>
      <rPr>
        <vertAlign val="subscript"/>
        <sz val="11"/>
        <color theme="1"/>
        <rFont val="Calibri"/>
        <family val="2"/>
        <scheme val="minor"/>
      </rPr>
      <t>knot</t>
    </r>
  </si>
  <si>
    <t>Knot presence</t>
  </si>
  <si>
    <t>Having knots without protective plate</t>
  </si>
  <si>
    <t>Having knots with protective plate</t>
  </si>
  <si>
    <t>KNT1</t>
  </si>
  <si>
    <t>KNT3</t>
  </si>
  <si>
    <t>KNT2</t>
  </si>
  <si>
    <t>Knot</t>
  </si>
  <si>
    <t>Year</t>
  </si>
  <si>
    <t>A1FI</t>
  </si>
  <si>
    <t>11 - 25</t>
  </si>
  <si>
    <t>1 - 10</t>
  </si>
  <si>
    <t>26 - 35</t>
  </si>
  <si>
    <t>HW</t>
  </si>
  <si>
    <t>SW</t>
  </si>
  <si>
    <t>*Refer to AS5604-2005</t>
  </si>
  <si>
    <r>
      <t>k</t>
    </r>
    <r>
      <rPr>
        <vertAlign val="subscript"/>
        <sz val="11"/>
        <color theme="1"/>
        <rFont val="Calibri"/>
        <family val="2"/>
        <scheme val="minor"/>
      </rPr>
      <t>env</t>
    </r>
  </si>
  <si>
    <r>
      <t>k</t>
    </r>
    <r>
      <rPr>
        <vertAlign val="subscript"/>
        <sz val="11"/>
        <color theme="1"/>
        <rFont val="Calibri"/>
        <family val="2"/>
        <scheme val="minor"/>
      </rPr>
      <t>const</t>
    </r>
  </si>
  <si>
    <r>
      <t>r</t>
    </r>
    <r>
      <rPr>
        <vertAlign val="subscript"/>
        <sz val="11"/>
        <color theme="1"/>
        <rFont val="Calibri"/>
        <family val="2"/>
        <scheme val="minor"/>
      </rPr>
      <t>sap</t>
    </r>
  </si>
  <si>
    <r>
      <t>r</t>
    </r>
    <r>
      <rPr>
        <vertAlign val="subscript"/>
        <sz val="11"/>
        <color theme="1"/>
        <rFont val="Calibri"/>
        <family val="2"/>
        <scheme val="minor"/>
      </rPr>
      <t>heart</t>
    </r>
  </si>
  <si>
    <r>
      <t>t</t>
    </r>
    <r>
      <rPr>
        <vertAlign val="subscript"/>
        <sz val="11"/>
        <color theme="1"/>
        <rFont val="Calibri"/>
        <family val="2"/>
        <scheme val="minor"/>
      </rPr>
      <t>lag,heart</t>
    </r>
  </si>
  <si>
    <r>
      <t>t</t>
    </r>
    <r>
      <rPr>
        <vertAlign val="subscript"/>
        <sz val="11"/>
        <color theme="1"/>
        <rFont val="Calibri"/>
        <family val="2"/>
        <scheme val="minor"/>
      </rPr>
      <t>lag,sap</t>
    </r>
  </si>
  <si>
    <t>(mm/yr)</t>
  </si>
  <si>
    <r>
      <t>d</t>
    </r>
    <r>
      <rPr>
        <vertAlign val="subscript"/>
        <sz val="11"/>
        <color theme="1"/>
        <rFont val="Calibri"/>
        <family val="2"/>
        <scheme val="minor"/>
      </rPr>
      <t>sap</t>
    </r>
  </si>
  <si>
    <t>(yr)</t>
  </si>
  <si>
    <r>
      <t>t</t>
    </r>
    <r>
      <rPr>
        <vertAlign val="subscript"/>
        <sz val="11"/>
        <color theme="1"/>
        <rFont val="Calibri"/>
        <family val="2"/>
        <scheme val="minor"/>
      </rPr>
      <t>sap</t>
    </r>
  </si>
  <si>
    <t>(mm)</t>
  </si>
  <si>
    <r>
      <t>d</t>
    </r>
    <r>
      <rPr>
        <vertAlign val="subscript"/>
        <sz val="11"/>
        <color theme="1"/>
        <rFont val="Calibri"/>
        <family val="2"/>
        <scheme val="minor"/>
      </rPr>
      <t>mean</t>
    </r>
  </si>
  <si>
    <t>α</t>
  </si>
  <si>
    <r>
      <t>V</t>
    </r>
    <r>
      <rPr>
        <vertAlign val="subscript"/>
        <sz val="11"/>
        <color theme="1"/>
        <rFont val="Calibri"/>
        <family val="2"/>
        <scheme val="minor"/>
      </rPr>
      <t>d</t>
    </r>
  </si>
  <si>
    <t>coefficient of variation</t>
  </si>
  <si>
    <r>
      <t>d</t>
    </r>
    <r>
      <rPr>
        <vertAlign val="subscript"/>
        <sz val="11"/>
        <color theme="1"/>
        <rFont val="Calibri"/>
        <family val="2"/>
        <scheme val="minor"/>
      </rPr>
      <t>design</t>
    </r>
  </si>
  <si>
    <t>layer of sapwood</t>
  </si>
  <si>
    <r>
      <t>D</t>
    </r>
    <r>
      <rPr>
        <vertAlign val="subscript"/>
        <sz val="11"/>
        <color theme="1"/>
        <rFont val="Calibri"/>
        <family val="2"/>
        <scheme val="minor"/>
      </rPr>
      <t>design</t>
    </r>
  </si>
  <si>
    <r>
      <t>D</t>
    </r>
    <r>
      <rPr>
        <vertAlign val="subscript"/>
        <sz val="11"/>
        <color theme="1"/>
        <rFont val="Calibri"/>
        <family val="2"/>
        <scheme val="minor"/>
      </rPr>
      <t>o</t>
    </r>
  </si>
  <si>
    <t>initial diameter</t>
  </si>
  <si>
    <t>design diameter</t>
  </si>
  <si>
    <t>reliability factor</t>
  </si>
  <si>
    <r>
      <t>t</t>
    </r>
    <r>
      <rPr>
        <vertAlign val="subscript"/>
        <sz val="11"/>
        <color theme="1"/>
        <rFont val="Calibri"/>
        <family val="2"/>
        <scheme val="minor"/>
      </rPr>
      <t>replacement</t>
    </r>
  </si>
  <si>
    <r>
      <t>D</t>
    </r>
    <r>
      <rPr>
        <vertAlign val="subscript"/>
        <sz val="11"/>
        <color theme="1"/>
        <rFont val="Calibri"/>
        <family val="2"/>
        <scheme val="minor"/>
      </rPr>
      <t>crit</t>
    </r>
  </si>
  <si>
    <t>(g/l)</t>
  </si>
  <si>
    <t>MRI-CGCM2.3.2</t>
  </si>
  <si>
    <r>
      <t>k</t>
    </r>
    <r>
      <rPr>
        <vertAlign val="subscript"/>
        <sz val="11"/>
        <color theme="1"/>
        <rFont val="Calibri"/>
        <family val="2"/>
        <scheme val="minor"/>
      </rPr>
      <t>timber</t>
    </r>
    <r>
      <rPr>
        <sz val="11"/>
        <color theme="1"/>
        <rFont val="Calibri"/>
        <family val="2"/>
        <scheme val="minor"/>
      </rPr>
      <t xml:space="preserve"> HW</t>
    </r>
  </si>
  <si>
    <r>
      <t>k</t>
    </r>
    <r>
      <rPr>
        <vertAlign val="subscript"/>
        <sz val="11"/>
        <color theme="1"/>
        <rFont val="Calibri"/>
        <family val="2"/>
        <scheme val="minor"/>
      </rPr>
      <t>timber</t>
    </r>
    <r>
      <rPr>
        <sz val="11"/>
        <color theme="1"/>
        <rFont val="Calibri"/>
        <family val="2"/>
        <scheme val="minor"/>
      </rPr>
      <t xml:space="preserve"> SW</t>
    </r>
  </si>
  <si>
    <r>
      <t>D</t>
    </r>
    <r>
      <rPr>
        <vertAlign val="subscript"/>
        <sz val="11"/>
        <color theme="1"/>
        <rFont val="Calibri"/>
        <family val="2"/>
        <scheme val="minor"/>
      </rPr>
      <t>replace</t>
    </r>
  </si>
  <si>
    <r>
      <t>D</t>
    </r>
    <r>
      <rPr>
        <vertAlign val="subscript"/>
        <sz val="11"/>
        <color theme="1"/>
        <rFont val="Calibri"/>
        <family val="2"/>
        <scheme val="minor"/>
      </rPr>
      <t>t</t>
    </r>
  </si>
  <si>
    <t>Prob</t>
  </si>
  <si>
    <t>Year installed</t>
  </si>
  <si>
    <t>Scenario</t>
  </si>
  <si>
    <t>Model</t>
  </si>
  <si>
    <t>CSIRO Mk3.5</t>
  </si>
  <si>
    <t>A1B</t>
  </si>
  <si>
    <t>Base</t>
  </si>
  <si>
    <t>(Reference)</t>
  </si>
  <si>
    <t>Temp change</t>
  </si>
  <si>
    <t>RH change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</si>
  <si>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concentration</t>
    </r>
  </si>
  <si>
    <t>Source:ipcc-data.org/ddc_co2.html</t>
  </si>
  <si>
    <t>Projections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</si>
  <si>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</si>
  <si>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Mean temp</t>
  </si>
  <si>
    <t>Mean RH</t>
  </si>
  <si>
    <t>Summer Sea Temp</t>
  </si>
  <si>
    <t>°C</t>
  </si>
  <si>
    <t>%</t>
  </si>
  <si>
    <t>ppm</t>
  </si>
  <si>
    <t>Temp</t>
  </si>
  <si>
    <t>RH</t>
  </si>
  <si>
    <t>CO2</t>
  </si>
  <si>
    <t>g/l</t>
  </si>
  <si>
    <t>Start Year</t>
  </si>
  <si>
    <t>Asset Code</t>
  </si>
  <si>
    <t>Description</t>
  </si>
  <si>
    <t>PileA</t>
  </si>
  <si>
    <t>PileB</t>
  </si>
  <si>
    <t>Pile 32 @ Berth 201</t>
  </si>
  <si>
    <t>Pile 32 @ Berth 202</t>
  </si>
  <si>
    <t>MTN3</t>
  </si>
  <si>
    <t>CNT3</t>
  </si>
  <si>
    <t>KNT4</t>
  </si>
  <si>
    <t>Start Yr</t>
  </si>
  <si>
    <t>Type</t>
  </si>
  <si>
    <t>Turpentine Gum</t>
  </si>
  <si>
    <r>
      <t>t</t>
    </r>
    <r>
      <rPr>
        <vertAlign val="subscript"/>
        <sz val="11"/>
        <color theme="1"/>
        <rFont val="Calibri"/>
        <family val="2"/>
        <scheme val="minor"/>
      </rPr>
      <t>design</t>
    </r>
  </si>
  <si>
    <t>Gum</t>
  </si>
  <si>
    <t>1 degree grid centred on</t>
  </si>
  <si>
    <t>Baseline</t>
  </si>
  <si>
    <t>1975 - 2004</t>
  </si>
  <si>
    <t>Variables</t>
  </si>
  <si>
    <t>Annual</t>
  </si>
  <si>
    <t>DJF</t>
  </si>
  <si>
    <t>Temperature</t>
  </si>
  <si>
    <t>Rainfall</t>
  </si>
  <si>
    <t>Relative Humidity</t>
  </si>
  <si>
    <t>Sea surface salinity</t>
  </si>
  <si>
    <t>Sea surface temperature</t>
  </si>
  <si>
    <t>Port Kembla</t>
  </si>
  <si>
    <t>Model:</t>
  </si>
  <si>
    <t>Annual Surface Temp</t>
  </si>
  <si>
    <t>Annual Rainfall</t>
  </si>
  <si>
    <t>Annual Relative Humidity</t>
  </si>
  <si>
    <t>Annual Sea Surface Temp</t>
  </si>
  <si>
    <t>Annual Sea Surface Salinity</t>
  </si>
  <si>
    <t>Summer Sea Surface Temp</t>
  </si>
  <si>
    <t>Summer Sea Surface Salinity</t>
  </si>
  <si>
    <t>Rainfall change</t>
  </si>
  <si>
    <t>SST change</t>
  </si>
  <si>
    <t>SSS change</t>
  </si>
  <si>
    <t>Summer SST change</t>
  </si>
  <si>
    <t>Summer SSS change</t>
  </si>
  <si>
    <t>Mean rainfall</t>
  </si>
  <si>
    <t>Mean Sea Temp</t>
  </si>
  <si>
    <t>Mean Sea Salinity</t>
  </si>
  <si>
    <t>Summer Sea Salinity</t>
  </si>
  <si>
    <t>mm</t>
  </si>
  <si>
    <t>MIROC-Medres</t>
  </si>
  <si>
    <t>MIROC-Hires</t>
  </si>
  <si>
    <t>Most Likely</t>
  </si>
  <si>
    <t>Hotter &amp; Drier</t>
  </si>
  <si>
    <t>RESULTS TO PLOT</t>
  </si>
  <si>
    <t>Cooler &amp; Wetter</t>
  </si>
  <si>
    <t>Material Parameters For Timber Types</t>
  </si>
  <si>
    <t>Salinity Concentration Factors</t>
  </si>
  <si>
    <t>Shelter Parameter</t>
  </si>
  <si>
    <t>Protection Parameter</t>
  </si>
  <si>
    <t>Connection Parameter</t>
  </si>
  <si>
    <t>Knot Parameter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</si>
</sst>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0000"/>
    <numFmt numFmtId="166" formatCode="0.0000"/>
  </numFmts>
  <fonts count="15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9C650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EE0000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9" fontId="3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4" fillId="8" borderId="0" applyNumberFormat="0" applyBorder="0" applyAlignment="0" applyProtection="0"/>
    <xf numFmtId="0" fontId="5" fillId="5" borderId="0" applyNumberFormat="0" applyBorder="0" applyAlignment="0" applyProtection="0"/>
    <xf numFmtId="0" fontId="11" fillId="0" borderId="0"/>
    <xf numFmtId="0" fontId="3" fillId="0" borderId="0"/>
    <xf numFmtId="0" fontId="4" fillId="0" borderId="0"/>
    <xf numFmtId="9" fontId="3" fillId="0" borderId="0" applyFont="0" applyFill="0" applyBorder="0" applyAlignment="0" applyProtection="0"/>
  </cellStyleXfs>
  <cellXfs count="116">
    <xf numFmtId="0" fontId="0" fillId="0" borderId="0" xfId="0"/>
    <xf numFmtId="164" fontId="0" fillId="0" borderId="0" xfId="0" applyNumberFormat="1"/>
    <xf numFmtId="0" fontId="0" fillId="0" borderId="0" xfId="0" applyFill="1"/>
    <xf numFmtId="49" fontId="0" fillId="0" borderId="0" xfId="0" applyNumberFormat="1" applyAlignment="1">
      <alignment horizontal="right"/>
    </xf>
    <xf numFmtId="0" fontId="2" fillId="0" borderId="0" xfId="0" applyFont="1"/>
    <xf numFmtId="2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0" fillId="3" borderId="0" xfId="0" applyFill="1" applyAlignment="1">
      <alignment horizontal="center"/>
    </xf>
    <xf numFmtId="0" fontId="3" fillId="7" borderId="0" xfId="3" applyAlignment="1">
      <alignment horizontal="center"/>
    </xf>
    <xf numFmtId="0" fontId="3" fillId="6" borderId="0" xfId="2" applyAlignment="1">
      <alignment horizontal="center"/>
    </xf>
    <xf numFmtId="0" fontId="0" fillId="6" borderId="0" xfId="2" applyFont="1" applyAlignment="1">
      <alignment horizontal="center"/>
    </xf>
    <xf numFmtId="164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" fillId="9" borderId="0" xfId="4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6" fillId="0" borderId="0" xfId="0" applyFont="1"/>
    <xf numFmtId="164" fontId="9" fillId="0" borderId="0" xfId="0" applyNumberFormat="1" applyFont="1" applyAlignment="1">
      <alignment horizontal="center"/>
    </xf>
    <xf numFmtId="2" fontId="0" fillId="2" borderId="0" xfId="0" applyNumberFormat="1" applyFill="1"/>
    <xf numFmtId="0" fontId="10" fillId="0" borderId="0" xfId="0" applyFont="1"/>
    <xf numFmtId="166" fontId="0" fillId="0" borderId="0" xfId="0" applyNumberFormat="1" applyAlignment="1">
      <alignment horizontal="center"/>
    </xf>
    <xf numFmtId="0" fontId="0" fillId="0" borderId="5" xfId="0" applyBorder="1" applyAlignment="1">
      <alignment horizontal="center"/>
    </xf>
    <xf numFmtId="166" fontId="0" fillId="0" borderId="5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/>
    <xf numFmtId="0" fontId="0" fillId="0" borderId="0" xfId="0" applyFont="1"/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0" fillId="0" borderId="0" xfId="0" applyFill="1" applyAlignment="1">
      <alignment horizontal="center"/>
    </xf>
    <xf numFmtId="0" fontId="3" fillId="6" borderId="1" xfId="2" applyBorder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3" fillId="6" borderId="0" xfId="2"/>
    <xf numFmtId="0" fontId="0" fillId="11" borderId="1" xfId="0" applyFill="1" applyBorder="1"/>
    <xf numFmtId="0" fontId="0" fillId="9" borderId="0" xfId="4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/>
    <xf numFmtId="0" fontId="9" fillId="0" borderId="0" xfId="0" applyFont="1"/>
    <xf numFmtId="2" fontId="6" fillId="0" borderId="0" xfId="0" applyNumberFormat="1" applyFont="1"/>
    <xf numFmtId="2" fontId="9" fillId="2" borderId="0" xfId="0" applyNumberFormat="1" applyFont="1" applyFill="1"/>
    <xf numFmtId="0" fontId="0" fillId="12" borderId="0" xfId="0" applyFill="1"/>
    <xf numFmtId="0" fontId="0" fillId="3" borderId="1" xfId="0" applyFill="1" applyBorder="1" applyAlignment="1">
      <alignment horizontal="center" wrapText="1"/>
    </xf>
    <xf numFmtId="0" fontId="0" fillId="0" borderId="0" xfId="0" applyBorder="1"/>
    <xf numFmtId="0" fontId="0" fillId="0" borderId="5" xfId="0" applyBorder="1"/>
    <xf numFmtId="0" fontId="0" fillId="4" borderId="0" xfId="0" applyFill="1" applyAlignment="1">
      <alignment horizontal="left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0" fontId="4" fillId="4" borderId="0" xfId="5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7" borderId="0" xfId="3" applyFont="1" applyAlignment="1">
      <alignment horizontal="center"/>
    </xf>
    <xf numFmtId="0" fontId="0" fillId="0" borderId="0" xfId="0"/>
    <xf numFmtId="0" fontId="3" fillId="0" borderId="0" xfId="2" applyFill="1" applyAlignment="1">
      <alignment horizontal="center"/>
    </xf>
    <xf numFmtId="9" fontId="0" fillId="0" borderId="0" xfId="0" applyNumberFormat="1" applyAlignment="1">
      <alignment horizontal="center"/>
    </xf>
    <xf numFmtId="165" fontId="0" fillId="0" borderId="0" xfId="0" applyNumberFormat="1" applyFill="1" applyAlignment="1">
      <alignment horizontal="center"/>
    </xf>
    <xf numFmtId="9" fontId="0" fillId="4" borderId="0" xfId="0" applyNumberFormat="1" applyFill="1" applyAlignment="1">
      <alignment horizontal="center"/>
    </xf>
    <xf numFmtId="0" fontId="0" fillId="4" borderId="0" xfId="2" applyFont="1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2" applyFill="1" applyAlignment="1">
      <alignment horizontal="center"/>
    </xf>
    <xf numFmtId="0" fontId="3" fillId="4" borderId="0" xfId="4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7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 vertical="center" textRotation="90" wrapText="1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6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0" xfId="0"/>
    <xf numFmtId="0" fontId="7" fillId="0" borderId="0" xfId="0" applyFont="1"/>
  </cellXfs>
  <cellStyles count="11">
    <cellStyle name="20% - Accent2" xfId="3" builtinId="34"/>
    <cellStyle name="20% - Accent3 2" xfId="5"/>
    <cellStyle name="40% - Accent1" xfId="2" builtinId="31"/>
    <cellStyle name="40% - Accent3" xfId="4" builtinId="39"/>
    <cellStyle name="Neutral 2" xfId="6"/>
    <cellStyle name="Normal" xfId="0" builtinId="0"/>
    <cellStyle name="Normal 2" xfId="7"/>
    <cellStyle name="Normal 3" xfId="8"/>
    <cellStyle name="Normal 4" xfId="9"/>
    <cellStyle name="Percent" xfId="1" builtinId="5"/>
    <cellStyle name="Percent 2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MostLikely!$B$5:$B$9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1.7</c:v>
                </c:pt>
                <c:pt idx="4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MostLikely!$C$5:$C$9</c:f>
              <c:numCache>
                <c:formatCode>0.00</c:formatCode>
                <c:ptCount val="5"/>
                <c:pt idx="0">
                  <c:v>0</c:v>
                </c:pt>
                <c:pt idx="1">
                  <c:v>0.24</c:v>
                </c:pt>
                <c:pt idx="2">
                  <c:v>0.72</c:v>
                </c:pt>
                <c:pt idx="3">
                  <c:v>1.4</c:v>
                </c:pt>
                <c:pt idx="4">
                  <c:v>1.71</c:v>
                </c:pt>
              </c:numCache>
            </c:numRef>
          </c:yVal>
          <c:smooth val="1"/>
        </c:ser>
        <c:dLbls/>
        <c:axId val="36156928"/>
        <c:axId val="36158848"/>
      </c:scatterChart>
      <c:valAx>
        <c:axId val="3615692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6158848"/>
        <c:crosses val="autoZero"/>
        <c:crossBetween val="midCat"/>
      </c:valAx>
      <c:valAx>
        <c:axId val="36158848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615692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MostLikely!$F$5:$F$9</c:f>
              <c:numCache>
                <c:formatCode>0.00</c:formatCode>
                <c:ptCount val="5"/>
                <c:pt idx="0">
                  <c:v>0</c:v>
                </c:pt>
                <c:pt idx="1">
                  <c:v>-0.23333333333333331</c:v>
                </c:pt>
                <c:pt idx="2">
                  <c:v>-0.7</c:v>
                </c:pt>
                <c:pt idx="3">
                  <c:v>-1.8</c:v>
                </c:pt>
                <c:pt idx="4">
                  <c:v>-2.5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MostLikely!$G$5:$G$9</c:f>
              <c:numCache>
                <c:formatCode>0.00</c:formatCode>
                <c:ptCount val="5"/>
                <c:pt idx="0">
                  <c:v>0</c:v>
                </c:pt>
                <c:pt idx="1">
                  <c:v>-0.26666666666666666</c:v>
                </c:pt>
                <c:pt idx="2">
                  <c:v>-0.8</c:v>
                </c:pt>
                <c:pt idx="3" formatCode="General">
                  <c:v>-1.37</c:v>
                </c:pt>
                <c:pt idx="4">
                  <c:v>-1.8</c:v>
                </c:pt>
              </c:numCache>
            </c:numRef>
          </c:yVal>
          <c:smooth val="1"/>
        </c:ser>
        <c:dLbls/>
        <c:axId val="36209408"/>
        <c:axId val="36211328"/>
      </c:scatterChart>
      <c:valAx>
        <c:axId val="3620940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36211328"/>
        <c:crosses val="autoZero"/>
        <c:crossBetween val="midCat"/>
      </c:valAx>
      <c:valAx>
        <c:axId val="3621132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620940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MostLikely!$S$18:$S$98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16.411666666666665</c:v>
                </c:pt>
                <c:pt idx="2">
                  <c:v>16.423333333333332</c:v>
                </c:pt>
                <c:pt idx="3">
                  <c:v>16.434999999999999</c:v>
                </c:pt>
                <c:pt idx="4">
                  <c:v>16.446666666666665</c:v>
                </c:pt>
                <c:pt idx="5">
                  <c:v>16.458333333333332</c:v>
                </c:pt>
                <c:pt idx="6">
                  <c:v>16.47</c:v>
                </c:pt>
                <c:pt idx="7">
                  <c:v>16.481666666666666</c:v>
                </c:pt>
                <c:pt idx="8">
                  <c:v>16.493333333333332</c:v>
                </c:pt>
                <c:pt idx="9">
                  <c:v>16.504999999999999</c:v>
                </c:pt>
                <c:pt idx="10">
                  <c:v>16.516666666666666</c:v>
                </c:pt>
                <c:pt idx="11">
                  <c:v>16.528333333333332</c:v>
                </c:pt>
                <c:pt idx="12">
                  <c:v>16.54</c:v>
                </c:pt>
                <c:pt idx="13">
                  <c:v>16.551666666666666</c:v>
                </c:pt>
                <c:pt idx="14">
                  <c:v>16.563333333333333</c:v>
                </c:pt>
                <c:pt idx="15">
                  <c:v>16.574999999999999</c:v>
                </c:pt>
                <c:pt idx="16">
                  <c:v>16.586666666666666</c:v>
                </c:pt>
                <c:pt idx="17">
                  <c:v>16.598333333333333</c:v>
                </c:pt>
                <c:pt idx="18">
                  <c:v>16.61</c:v>
                </c:pt>
                <c:pt idx="19">
                  <c:v>16.621666666666666</c:v>
                </c:pt>
                <c:pt idx="20">
                  <c:v>16.633333333333333</c:v>
                </c:pt>
                <c:pt idx="21">
                  <c:v>16.656666666666666</c:v>
                </c:pt>
                <c:pt idx="22">
                  <c:v>16.68</c:v>
                </c:pt>
                <c:pt idx="23">
                  <c:v>16.703333333333333</c:v>
                </c:pt>
                <c:pt idx="24">
                  <c:v>16.726666666666667</c:v>
                </c:pt>
                <c:pt idx="25">
                  <c:v>16.75</c:v>
                </c:pt>
                <c:pt idx="26">
                  <c:v>16.773333333333333</c:v>
                </c:pt>
                <c:pt idx="27">
                  <c:v>16.796666666666667</c:v>
                </c:pt>
                <c:pt idx="28">
                  <c:v>16.819999999999997</c:v>
                </c:pt>
                <c:pt idx="29">
                  <c:v>16.84333333333333</c:v>
                </c:pt>
                <c:pt idx="30">
                  <c:v>16.866666666666664</c:v>
                </c:pt>
                <c:pt idx="31">
                  <c:v>16.889999999999997</c:v>
                </c:pt>
                <c:pt idx="32">
                  <c:v>16.91333333333333</c:v>
                </c:pt>
                <c:pt idx="33">
                  <c:v>16.936666666666664</c:v>
                </c:pt>
                <c:pt idx="34">
                  <c:v>16.959999999999997</c:v>
                </c:pt>
                <c:pt idx="35">
                  <c:v>16.983333333333331</c:v>
                </c:pt>
                <c:pt idx="36">
                  <c:v>17.006666666666664</c:v>
                </c:pt>
                <c:pt idx="37">
                  <c:v>17.029999999999998</c:v>
                </c:pt>
                <c:pt idx="38">
                  <c:v>17.053333333333331</c:v>
                </c:pt>
                <c:pt idx="39">
                  <c:v>17.076666666666664</c:v>
                </c:pt>
                <c:pt idx="40">
                  <c:v>17.099999999999998</c:v>
                </c:pt>
                <c:pt idx="41">
                  <c:v>17.149999999999999</c:v>
                </c:pt>
                <c:pt idx="42">
                  <c:v>17.2</c:v>
                </c:pt>
                <c:pt idx="43">
                  <c:v>17.25</c:v>
                </c:pt>
                <c:pt idx="44">
                  <c:v>17.299999999999997</c:v>
                </c:pt>
                <c:pt idx="45">
                  <c:v>17.349999999999998</c:v>
                </c:pt>
                <c:pt idx="46">
                  <c:v>17.399999999999999</c:v>
                </c:pt>
                <c:pt idx="47">
                  <c:v>17.45</c:v>
                </c:pt>
                <c:pt idx="48">
                  <c:v>17.5</c:v>
                </c:pt>
                <c:pt idx="49">
                  <c:v>17.549999999999997</c:v>
                </c:pt>
                <c:pt idx="50">
                  <c:v>17.599999999999998</c:v>
                </c:pt>
                <c:pt idx="51">
                  <c:v>17.649999999999999</c:v>
                </c:pt>
                <c:pt idx="52">
                  <c:v>17.7</c:v>
                </c:pt>
                <c:pt idx="53">
                  <c:v>17.75</c:v>
                </c:pt>
                <c:pt idx="54">
                  <c:v>17.8</c:v>
                </c:pt>
                <c:pt idx="55">
                  <c:v>17.849999999999998</c:v>
                </c:pt>
                <c:pt idx="56">
                  <c:v>17.899999999999999</c:v>
                </c:pt>
                <c:pt idx="57">
                  <c:v>17.95</c:v>
                </c:pt>
                <c:pt idx="58">
                  <c:v>18</c:v>
                </c:pt>
                <c:pt idx="59">
                  <c:v>18.05</c:v>
                </c:pt>
                <c:pt idx="60">
                  <c:v>18.099999999999998</c:v>
                </c:pt>
                <c:pt idx="61">
                  <c:v>18.13</c:v>
                </c:pt>
                <c:pt idx="62">
                  <c:v>18.16</c:v>
                </c:pt>
                <c:pt idx="63">
                  <c:v>18.189999999999998</c:v>
                </c:pt>
                <c:pt idx="64">
                  <c:v>18.22</c:v>
                </c:pt>
                <c:pt idx="65">
                  <c:v>18.25</c:v>
                </c:pt>
                <c:pt idx="66">
                  <c:v>18.279999999999998</c:v>
                </c:pt>
                <c:pt idx="67">
                  <c:v>18.309999999999999</c:v>
                </c:pt>
                <c:pt idx="68">
                  <c:v>18.34</c:v>
                </c:pt>
                <c:pt idx="69">
                  <c:v>18.369999999999997</c:v>
                </c:pt>
                <c:pt idx="70">
                  <c:v>18.399999999999999</c:v>
                </c:pt>
                <c:pt idx="71">
                  <c:v>18.43</c:v>
                </c:pt>
                <c:pt idx="72">
                  <c:v>18.459999999999997</c:v>
                </c:pt>
                <c:pt idx="73">
                  <c:v>18.489999999999998</c:v>
                </c:pt>
                <c:pt idx="74">
                  <c:v>18.519999999999996</c:v>
                </c:pt>
                <c:pt idx="75">
                  <c:v>18.549999999999997</c:v>
                </c:pt>
                <c:pt idx="76">
                  <c:v>18.579999999999998</c:v>
                </c:pt>
                <c:pt idx="77">
                  <c:v>18.609999999999996</c:v>
                </c:pt>
                <c:pt idx="78">
                  <c:v>18.639999999999997</c:v>
                </c:pt>
                <c:pt idx="79">
                  <c:v>18.669999999999998</c:v>
                </c:pt>
                <c:pt idx="80">
                  <c:v>18.7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MostLikely!$T$18:$T$98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16.411999999999999</c:v>
                </c:pt>
                <c:pt idx="2">
                  <c:v>16.423999999999999</c:v>
                </c:pt>
                <c:pt idx="3">
                  <c:v>16.436</c:v>
                </c:pt>
                <c:pt idx="4">
                  <c:v>16.447999999999997</c:v>
                </c:pt>
                <c:pt idx="5">
                  <c:v>16.459999999999997</c:v>
                </c:pt>
                <c:pt idx="6">
                  <c:v>16.471999999999998</c:v>
                </c:pt>
                <c:pt idx="7">
                  <c:v>16.483999999999998</c:v>
                </c:pt>
                <c:pt idx="8">
                  <c:v>16.495999999999999</c:v>
                </c:pt>
                <c:pt idx="9">
                  <c:v>16.507999999999999</c:v>
                </c:pt>
                <c:pt idx="10">
                  <c:v>16.52</c:v>
                </c:pt>
                <c:pt idx="11">
                  <c:v>16.532</c:v>
                </c:pt>
                <c:pt idx="12">
                  <c:v>16.543999999999997</c:v>
                </c:pt>
                <c:pt idx="13">
                  <c:v>16.555999999999997</c:v>
                </c:pt>
                <c:pt idx="14">
                  <c:v>16.567999999999998</c:v>
                </c:pt>
                <c:pt idx="15">
                  <c:v>16.579999999999998</c:v>
                </c:pt>
                <c:pt idx="16">
                  <c:v>16.591999999999999</c:v>
                </c:pt>
                <c:pt idx="17">
                  <c:v>16.603999999999999</c:v>
                </c:pt>
                <c:pt idx="18">
                  <c:v>16.616</c:v>
                </c:pt>
                <c:pt idx="19">
                  <c:v>16.628</c:v>
                </c:pt>
                <c:pt idx="20">
                  <c:v>16.639999999999997</c:v>
                </c:pt>
                <c:pt idx="21">
                  <c:v>16.663999999999998</c:v>
                </c:pt>
                <c:pt idx="22">
                  <c:v>16.687999999999999</c:v>
                </c:pt>
                <c:pt idx="23">
                  <c:v>16.712</c:v>
                </c:pt>
                <c:pt idx="24">
                  <c:v>16.735999999999997</c:v>
                </c:pt>
                <c:pt idx="25">
                  <c:v>16.759999999999998</c:v>
                </c:pt>
                <c:pt idx="26">
                  <c:v>16.783999999999999</c:v>
                </c:pt>
                <c:pt idx="27">
                  <c:v>16.808</c:v>
                </c:pt>
                <c:pt idx="28">
                  <c:v>16.831999999999997</c:v>
                </c:pt>
                <c:pt idx="29">
                  <c:v>16.855999999999998</c:v>
                </c:pt>
                <c:pt idx="30">
                  <c:v>16.88</c:v>
                </c:pt>
                <c:pt idx="31">
                  <c:v>16.904</c:v>
                </c:pt>
                <c:pt idx="32">
                  <c:v>16.927999999999997</c:v>
                </c:pt>
                <c:pt idx="33">
                  <c:v>16.951999999999998</c:v>
                </c:pt>
                <c:pt idx="34">
                  <c:v>16.975999999999999</c:v>
                </c:pt>
                <c:pt idx="35">
                  <c:v>17</c:v>
                </c:pt>
                <c:pt idx="36">
                  <c:v>17.023999999999997</c:v>
                </c:pt>
                <c:pt idx="37">
                  <c:v>17.047999999999998</c:v>
                </c:pt>
                <c:pt idx="38">
                  <c:v>17.071999999999999</c:v>
                </c:pt>
                <c:pt idx="39">
                  <c:v>17.096</c:v>
                </c:pt>
                <c:pt idx="40">
                  <c:v>17.119999999999997</c:v>
                </c:pt>
                <c:pt idx="41">
                  <c:v>17.154</c:v>
                </c:pt>
                <c:pt idx="42">
                  <c:v>17.187999999999999</c:v>
                </c:pt>
                <c:pt idx="43">
                  <c:v>17.221999999999998</c:v>
                </c:pt>
                <c:pt idx="44">
                  <c:v>17.256</c:v>
                </c:pt>
                <c:pt idx="45">
                  <c:v>17.29</c:v>
                </c:pt>
                <c:pt idx="46">
                  <c:v>17.323999999999998</c:v>
                </c:pt>
                <c:pt idx="47">
                  <c:v>17.357999999999997</c:v>
                </c:pt>
                <c:pt idx="48">
                  <c:v>17.391999999999999</c:v>
                </c:pt>
                <c:pt idx="49">
                  <c:v>17.425999999999998</c:v>
                </c:pt>
                <c:pt idx="50">
                  <c:v>17.459999999999997</c:v>
                </c:pt>
                <c:pt idx="51">
                  <c:v>17.494</c:v>
                </c:pt>
                <c:pt idx="52">
                  <c:v>17.527999999999999</c:v>
                </c:pt>
                <c:pt idx="53">
                  <c:v>17.561999999999998</c:v>
                </c:pt>
                <c:pt idx="54">
                  <c:v>17.596</c:v>
                </c:pt>
                <c:pt idx="55">
                  <c:v>17.63</c:v>
                </c:pt>
                <c:pt idx="56">
                  <c:v>17.663999999999998</c:v>
                </c:pt>
                <c:pt idx="57">
                  <c:v>17.698</c:v>
                </c:pt>
                <c:pt idx="58">
                  <c:v>17.731999999999999</c:v>
                </c:pt>
                <c:pt idx="59">
                  <c:v>17.765999999999998</c:v>
                </c:pt>
                <c:pt idx="60">
                  <c:v>17.799999999999997</c:v>
                </c:pt>
                <c:pt idx="61">
                  <c:v>17.8155</c:v>
                </c:pt>
                <c:pt idx="62">
                  <c:v>17.831</c:v>
                </c:pt>
                <c:pt idx="63">
                  <c:v>17.846499999999999</c:v>
                </c:pt>
                <c:pt idx="64">
                  <c:v>17.861999999999998</c:v>
                </c:pt>
                <c:pt idx="65">
                  <c:v>17.877499999999998</c:v>
                </c:pt>
                <c:pt idx="66">
                  <c:v>17.893000000000001</c:v>
                </c:pt>
                <c:pt idx="67">
                  <c:v>17.9085</c:v>
                </c:pt>
                <c:pt idx="68">
                  <c:v>17.923999999999999</c:v>
                </c:pt>
                <c:pt idx="69">
                  <c:v>17.939499999999999</c:v>
                </c:pt>
                <c:pt idx="70">
                  <c:v>17.954999999999998</c:v>
                </c:pt>
                <c:pt idx="71">
                  <c:v>17.970499999999998</c:v>
                </c:pt>
                <c:pt idx="72">
                  <c:v>17.986000000000001</c:v>
                </c:pt>
                <c:pt idx="73">
                  <c:v>18.0015</c:v>
                </c:pt>
                <c:pt idx="74">
                  <c:v>18.016999999999999</c:v>
                </c:pt>
                <c:pt idx="75">
                  <c:v>18.032499999999999</c:v>
                </c:pt>
                <c:pt idx="76">
                  <c:v>18.047999999999998</c:v>
                </c:pt>
                <c:pt idx="77">
                  <c:v>18.063500000000001</c:v>
                </c:pt>
                <c:pt idx="78">
                  <c:v>18.079000000000001</c:v>
                </c:pt>
                <c:pt idx="79">
                  <c:v>18.0945</c:v>
                </c:pt>
                <c:pt idx="80">
                  <c:v>18.11</c:v>
                </c:pt>
              </c:numCache>
            </c:numRef>
          </c:yVal>
          <c:smooth val="1"/>
        </c:ser>
        <c:dLbls/>
        <c:axId val="36341248"/>
        <c:axId val="36343168"/>
      </c:scatterChart>
      <c:valAx>
        <c:axId val="3634124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6343168"/>
        <c:crosses val="autoZero"/>
        <c:crossBetween val="midCat"/>
      </c:valAx>
      <c:valAx>
        <c:axId val="3634316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634124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5"/>
          <c:y val="8.2949475065616798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MostLikely!$W$18:$W$128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74.091354999999993</c:v>
                </c:pt>
                <c:pt idx="2">
                  <c:v>74.082709999999992</c:v>
                </c:pt>
                <c:pt idx="3">
                  <c:v>74.07406499999999</c:v>
                </c:pt>
                <c:pt idx="4">
                  <c:v>74.065419999999989</c:v>
                </c:pt>
                <c:pt idx="5">
                  <c:v>74.056774999999988</c:v>
                </c:pt>
                <c:pt idx="6">
                  <c:v>74.04813</c:v>
                </c:pt>
                <c:pt idx="7">
                  <c:v>74.039484999999999</c:v>
                </c:pt>
                <c:pt idx="8">
                  <c:v>74.030839999999998</c:v>
                </c:pt>
                <c:pt idx="9">
                  <c:v>74.022194999999996</c:v>
                </c:pt>
                <c:pt idx="10">
                  <c:v>74.013549999999995</c:v>
                </c:pt>
                <c:pt idx="11">
                  <c:v>74.004904999999994</c:v>
                </c:pt>
                <c:pt idx="12">
                  <c:v>73.996259999999992</c:v>
                </c:pt>
                <c:pt idx="13">
                  <c:v>73.987614999999991</c:v>
                </c:pt>
                <c:pt idx="14">
                  <c:v>73.97896999999999</c:v>
                </c:pt>
                <c:pt idx="15">
                  <c:v>73.970324999999988</c:v>
                </c:pt>
                <c:pt idx="16">
                  <c:v>73.961680000000001</c:v>
                </c:pt>
                <c:pt idx="17">
                  <c:v>73.953035</c:v>
                </c:pt>
                <c:pt idx="18">
                  <c:v>73.944389999999999</c:v>
                </c:pt>
                <c:pt idx="19">
                  <c:v>73.935744999999997</c:v>
                </c:pt>
                <c:pt idx="20">
                  <c:v>73.927099999999996</c:v>
                </c:pt>
                <c:pt idx="21">
                  <c:v>73.909809999999993</c:v>
                </c:pt>
                <c:pt idx="22">
                  <c:v>73.89251999999999</c:v>
                </c:pt>
                <c:pt idx="23">
                  <c:v>73.875229999999988</c:v>
                </c:pt>
                <c:pt idx="24">
                  <c:v>73.857939999999999</c:v>
                </c:pt>
                <c:pt idx="25">
                  <c:v>73.840649999999997</c:v>
                </c:pt>
                <c:pt idx="26">
                  <c:v>73.823359999999994</c:v>
                </c:pt>
                <c:pt idx="27">
                  <c:v>73.806069999999991</c:v>
                </c:pt>
                <c:pt idx="28">
                  <c:v>73.788779999999988</c:v>
                </c:pt>
                <c:pt idx="29">
                  <c:v>73.77149</c:v>
                </c:pt>
                <c:pt idx="30">
                  <c:v>73.754199999999997</c:v>
                </c:pt>
                <c:pt idx="31">
                  <c:v>73.736909999999995</c:v>
                </c:pt>
                <c:pt idx="32">
                  <c:v>73.719619999999992</c:v>
                </c:pt>
                <c:pt idx="33">
                  <c:v>73.702329999999989</c:v>
                </c:pt>
                <c:pt idx="34">
                  <c:v>73.685040000000001</c:v>
                </c:pt>
                <c:pt idx="35">
                  <c:v>73.667749999999998</c:v>
                </c:pt>
                <c:pt idx="36">
                  <c:v>73.650459999999995</c:v>
                </c:pt>
                <c:pt idx="37">
                  <c:v>73.633169999999993</c:v>
                </c:pt>
                <c:pt idx="38">
                  <c:v>73.61587999999999</c:v>
                </c:pt>
                <c:pt idx="39">
                  <c:v>73.598590000000002</c:v>
                </c:pt>
                <c:pt idx="40">
                  <c:v>73.581299999999999</c:v>
                </c:pt>
                <c:pt idx="41">
                  <c:v>73.540544999999995</c:v>
                </c:pt>
                <c:pt idx="42">
                  <c:v>73.49978999999999</c:v>
                </c:pt>
                <c:pt idx="43">
                  <c:v>73.459035</c:v>
                </c:pt>
                <c:pt idx="44">
                  <c:v>73.418279999999996</c:v>
                </c:pt>
                <c:pt idx="45">
                  <c:v>73.377524999999991</c:v>
                </c:pt>
                <c:pt idx="46">
                  <c:v>73.336770000000001</c:v>
                </c:pt>
                <c:pt idx="47">
                  <c:v>73.296014999999997</c:v>
                </c:pt>
                <c:pt idx="48">
                  <c:v>73.255259999999993</c:v>
                </c:pt>
                <c:pt idx="49">
                  <c:v>73.214504999999988</c:v>
                </c:pt>
                <c:pt idx="50">
                  <c:v>73.173749999999998</c:v>
                </c:pt>
                <c:pt idx="51">
                  <c:v>73.132994999999994</c:v>
                </c:pt>
                <c:pt idx="52">
                  <c:v>73.09223999999999</c:v>
                </c:pt>
                <c:pt idx="53">
                  <c:v>73.051485</c:v>
                </c:pt>
                <c:pt idx="54">
                  <c:v>73.010729999999995</c:v>
                </c:pt>
                <c:pt idx="55">
                  <c:v>72.969974999999991</c:v>
                </c:pt>
                <c:pt idx="56">
                  <c:v>72.929220000000001</c:v>
                </c:pt>
                <c:pt idx="57">
                  <c:v>72.888464999999997</c:v>
                </c:pt>
                <c:pt idx="58">
                  <c:v>72.847709999999992</c:v>
                </c:pt>
                <c:pt idx="59">
                  <c:v>72.806954999999988</c:v>
                </c:pt>
                <c:pt idx="60">
                  <c:v>72.766199999999998</c:v>
                </c:pt>
                <c:pt idx="61">
                  <c:v>72.740264999999994</c:v>
                </c:pt>
                <c:pt idx="62">
                  <c:v>72.71432999999999</c:v>
                </c:pt>
                <c:pt idx="63">
                  <c:v>72.688395</c:v>
                </c:pt>
                <c:pt idx="64">
                  <c:v>72.662459999999996</c:v>
                </c:pt>
                <c:pt idx="65">
                  <c:v>72.636524999999992</c:v>
                </c:pt>
                <c:pt idx="66">
                  <c:v>72.610589999999988</c:v>
                </c:pt>
                <c:pt idx="67">
                  <c:v>72.584654999999998</c:v>
                </c:pt>
                <c:pt idx="68">
                  <c:v>72.558719999999994</c:v>
                </c:pt>
                <c:pt idx="69">
                  <c:v>72.53278499999999</c:v>
                </c:pt>
                <c:pt idx="70">
                  <c:v>72.50685</c:v>
                </c:pt>
                <c:pt idx="71">
                  <c:v>72.480914999999996</c:v>
                </c:pt>
                <c:pt idx="72">
                  <c:v>72.454979999999992</c:v>
                </c:pt>
                <c:pt idx="73">
                  <c:v>72.429044999999988</c:v>
                </c:pt>
                <c:pt idx="74">
                  <c:v>72.403109999999998</c:v>
                </c:pt>
                <c:pt idx="75">
                  <c:v>72.377174999999994</c:v>
                </c:pt>
                <c:pt idx="76">
                  <c:v>72.35123999999999</c:v>
                </c:pt>
                <c:pt idx="77">
                  <c:v>72.325305</c:v>
                </c:pt>
                <c:pt idx="78">
                  <c:v>72.299369999999996</c:v>
                </c:pt>
                <c:pt idx="79">
                  <c:v>72.273434999999992</c:v>
                </c:pt>
                <c:pt idx="80">
                  <c:v>72.247499999999988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MostLikely!$X$18:$X$128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74.090119999999999</c:v>
                </c:pt>
                <c:pt idx="2">
                  <c:v>74.080239999999989</c:v>
                </c:pt>
                <c:pt idx="3">
                  <c:v>74.070359999999994</c:v>
                </c:pt>
                <c:pt idx="4">
                  <c:v>74.060479999999998</c:v>
                </c:pt>
                <c:pt idx="5">
                  <c:v>74.050599999999989</c:v>
                </c:pt>
                <c:pt idx="6">
                  <c:v>74.040719999999993</c:v>
                </c:pt>
                <c:pt idx="7">
                  <c:v>74.030839999999998</c:v>
                </c:pt>
                <c:pt idx="8">
                  <c:v>74.020959999999988</c:v>
                </c:pt>
                <c:pt idx="9">
                  <c:v>74.011079999999993</c:v>
                </c:pt>
                <c:pt idx="10">
                  <c:v>74.001199999999997</c:v>
                </c:pt>
                <c:pt idx="11">
                  <c:v>73.991319999999988</c:v>
                </c:pt>
                <c:pt idx="12">
                  <c:v>73.981439999999992</c:v>
                </c:pt>
                <c:pt idx="13">
                  <c:v>73.971559999999997</c:v>
                </c:pt>
                <c:pt idx="14">
                  <c:v>73.961680000000001</c:v>
                </c:pt>
                <c:pt idx="15">
                  <c:v>73.951799999999992</c:v>
                </c:pt>
                <c:pt idx="16">
                  <c:v>73.941919999999996</c:v>
                </c:pt>
                <c:pt idx="17">
                  <c:v>73.932040000000001</c:v>
                </c:pt>
                <c:pt idx="18">
                  <c:v>73.922159999999991</c:v>
                </c:pt>
                <c:pt idx="19">
                  <c:v>73.912279999999996</c:v>
                </c:pt>
                <c:pt idx="20">
                  <c:v>73.9024</c:v>
                </c:pt>
                <c:pt idx="21">
                  <c:v>73.882639999999995</c:v>
                </c:pt>
                <c:pt idx="22">
                  <c:v>73.86287999999999</c:v>
                </c:pt>
                <c:pt idx="23">
                  <c:v>73.843119999999999</c:v>
                </c:pt>
                <c:pt idx="24">
                  <c:v>73.823359999999994</c:v>
                </c:pt>
                <c:pt idx="25">
                  <c:v>73.803599999999989</c:v>
                </c:pt>
                <c:pt idx="26">
                  <c:v>73.783839999999998</c:v>
                </c:pt>
                <c:pt idx="27">
                  <c:v>73.764079999999993</c:v>
                </c:pt>
                <c:pt idx="28">
                  <c:v>73.744319999999988</c:v>
                </c:pt>
                <c:pt idx="29">
                  <c:v>73.724559999999997</c:v>
                </c:pt>
                <c:pt idx="30">
                  <c:v>73.704799999999992</c:v>
                </c:pt>
                <c:pt idx="31">
                  <c:v>73.685040000000001</c:v>
                </c:pt>
                <c:pt idx="32">
                  <c:v>73.665279999999996</c:v>
                </c:pt>
                <c:pt idx="33">
                  <c:v>73.645519999999991</c:v>
                </c:pt>
                <c:pt idx="34">
                  <c:v>73.62576</c:v>
                </c:pt>
                <c:pt idx="35">
                  <c:v>73.605999999999995</c:v>
                </c:pt>
                <c:pt idx="36">
                  <c:v>73.586239999999989</c:v>
                </c:pt>
                <c:pt idx="37">
                  <c:v>73.566479999999999</c:v>
                </c:pt>
                <c:pt idx="38">
                  <c:v>73.546719999999993</c:v>
                </c:pt>
                <c:pt idx="39">
                  <c:v>73.526959999999988</c:v>
                </c:pt>
                <c:pt idx="40">
                  <c:v>73.507199999999997</c:v>
                </c:pt>
                <c:pt idx="41">
                  <c:v>73.486081499999997</c:v>
                </c:pt>
                <c:pt idx="42">
                  <c:v>73.464962999999997</c:v>
                </c:pt>
                <c:pt idx="43">
                  <c:v>73.443844499999997</c:v>
                </c:pt>
                <c:pt idx="44">
                  <c:v>73.422725999999997</c:v>
                </c:pt>
                <c:pt idx="45">
                  <c:v>73.401607499999997</c:v>
                </c:pt>
                <c:pt idx="46">
                  <c:v>73.380488999999997</c:v>
                </c:pt>
                <c:pt idx="47">
                  <c:v>73.359370499999997</c:v>
                </c:pt>
                <c:pt idx="48">
                  <c:v>73.338251999999997</c:v>
                </c:pt>
                <c:pt idx="49">
                  <c:v>73.317133499999997</c:v>
                </c:pt>
                <c:pt idx="50">
                  <c:v>73.296014999999997</c:v>
                </c:pt>
                <c:pt idx="51">
                  <c:v>73.274896499999997</c:v>
                </c:pt>
                <c:pt idx="52">
                  <c:v>73.253777999999997</c:v>
                </c:pt>
                <c:pt idx="53">
                  <c:v>73.232659499999997</c:v>
                </c:pt>
                <c:pt idx="54">
                  <c:v>73.211540999999997</c:v>
                </c:pt>
                <c:pt idx="55">
                  <c:v>73.190422499999997</c:v>
                </c:pt>
                <c:pt idx="56">
                  <c:v>73.169303999999997</c:v>
                </c:pt>
                <c:pt idx="57">
                  <c:v>73.148185499999997</c:v>
                </c:pt>
                <c:pt idx="58">
                  <c:v>73.127066999999997</c:v>
                </c:pt>
                <c:pt idx="59">
                  <c:v>73.105948499999997</c:v>
                </c:pt>
                <c:pt idx="60">
                  <c:v>73.084829999999997</c:v>
                </c:pt>
                <c:pt idx="61">
                  <c:v>73.068898499999989</c:v>
                </c:pt>
                <c:pt idx="62">
                  <c:v>73.052966999999995</c:v>
                </c:pt>
                <c:pt idx="63">
                  <c:v>73.037035499999988</c:v>
                </c:pt>
                <c:pt idx="64">
                  <c:v>73.021103999999994</c:v>
                </c:pt>
                <c:pt idx="65">
                  <c:v>73.0051725</c:v>
                </c:pt>
                <c:pt idx="66">
                  <c:v>72.989240999999993</c:v>
                </c:pt>
                <c:pt idx="67">
                  <c:v>72.973309499999999</c:v>
                </c:pt>
                <c:pt idx="68">
                  <c:v>72.957377999999991</c:v>
                </c:pt>
                <c:pt idx="69">
                  <c:v>72.941446499999998</c:v>
                </c:pt>
                <c:pt idx="70">
                  <c:v>72.92551499999999</c:v>
                </c:pt>
                <c:pt idx="71">
                  <c:v>72.909583499999997</c:v>
                </c:pt>
                <c:pt idx="72">
                  <c:v>72.893651999999989</c:v>
                </c:pt>
                <c:pt idx="73">
                  <c:v>72.877720499999995</c:v>
                </c:pt>
                <c:pt idx="74">
                  <c:v>72.861788999999987</c:v>
                </c:pt>
                <c:pt idx="75">
                  <c:v>72.845857499999994</c:v>
                </c:pt>
                <c:pt idx="76">
                  <c:v>72.829926</c:v>
                </c:pt>
                <c:pt idx="77">
                  <c:v>72.813994499999993</c:v>
                </c:pt>
                <c:pt idx="78">
                  <c:v>72.798062999999999</c:v>
                </c:pt>
                <c:pt idx="79">
                  <c:v>72.782131499999991</c:v>
                </c:pt>
                <c:pt idx="80">
                  <c:v>72.766199999999998</c:v>
                </c:pt>
              </c:numCache>
            </c:numRef>
          </c:yVal>
          <c:smooth val="1"/>
        </c:ser>
        <c:dLbls/>
        <c:axId val="36414208"/>
        <c:axId val="36416128"/>
      </c:scatterChart>
      <c:valAx>
        <c:axId val="3641420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6416128"/>
        <c:crosses val="autoZero"/>
        <c:crossBetween val="midCat"/>
      </c:valAx>
      <c:valAx>
        <c:axId val="3641612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641420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5"/>
          <c:y val="0.56443095654709841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MostLikely!$B$18:$B$98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MostLikely!$C$18:$C$98</c:f>
              <c:numCache>
                <c:formatCode>0.0000</c:formatCode>
                <c:ptCount val="81"/>
                <c:pt idx="0">
                  <c:v>0</c:v>
                </c:pt>
                <c:pt idx="1">
                  <c:v>1.2E-2</c:v>
                </c:pt>
                <c:pt idx="2">
                  <c:v>2.4E-2</c:v>
                </c:pt>
                <c:pt idx="3">
                  <c:v>3.6000000000000004E-2</c:v>
                </c:pt>
                <c:pt idx="4">
                  <c:v>4.8000000000000001E-2</c:v>
                </c:pt>
                <c:pt idx="5">
                  <c:v>0.06</c:v>
                </c:pt>
                <c:pt idx="6">
                  <c:v>7.1999999999999995E-2</c:v>
                </c:pt>
                <c:pt idx="7">
                  <c:v>8.3999999999999991E-2</c:v>
                </c:pt>
                <c:pt idx="8">
                  <c:v>9.5999999999999988E-2</c:v>
                </c:pt>
                <c:pt idx="9">
                  <c:v>0.10799999999999998</c:v>
                </c:pt>
                <c:pt idx="10">
                  <c:v>0.11999999999999998</c:v>
                </c:pt>
                <c:pt idx="11">
                  <c:v>0.13199999999999998</c:v>
                </c:pt>
                <c:pt idx="12">
                  <c:v>0.14399999999999999</c:v>
                </c:pt>
                <c:pt idx="13">
                  <c:v>0.156</c:v>
                </c:pt>
                <c:pt idx="14">
                  <c:v>0.16800000000000001</c:v>
                </c:pt>
                <c:pt idx="15">
                  <c:v>0.18000000000000002</c:v>
                </c:pt>
                <c:pt idx="16">
                  <c:v>0.19200000000000003</c:v>
                </c:pt>
                <c:pt idx="17">
                  <c:v>0.20400000000000004</c:v>
                </c:pt>
                <c:pt idx="18">
                  <c:v>0.21600000000000005</c:v>
                </c:pt>
                <c:pt idx="19">
                  <c:v>0.22800000000000006</c:v>
                </c:pt>
                <c:pt idx="20">
                  <c:v>0.24</c:v>
                </c:pt>
                <c:pt idx="21">
                  <c:v>0.26400000000000001</c:v>
                </c:pt>
                <c:pt idx="22">
                  <c:v>0.28800000000000003</c:v>
                </c:pt>
                <c:pt idx="23">
                  <c:v>0.31200000000000006</c:v>
                </c:pt>
                <c:pt idx="24">
                  <c:v>0.33600000000000008</c:v>
                </c:pt>
                <c:pt idx="25">
                  <c:v>0.3600000000000001</c:v>
                </c:pt>
                <c:pt idx="26">
                  <c:v>0.38400000000000012</c:v>
                </c:pt>
                <c:pt idx="27">
                  <c:v>0.40800000000000014</c:v>
                </c:pt>
                <c:pt idx="28">
                  <c:v>0.43200000000000016</c:v>
                </c:pt>
                <c:pt idx="29">
                  <c:v>0.45600000000000018</c:v>
                </c:pt>
                <c:pt idx="30">
                  <c:v>0.4800000000000002</c:v>
                </c:pt>
                <c:pt idx="31">
                  <c:v>0.50400000000000023</c:v>
                </c:pt>
                <c:pt idx="32">
                  <c:v>0.52800000000000025</c:v>
                </c:pt>
                <c:pt idx="33">
                  <c:v>0.55200000000000027</c:v>
                </c:pt>
                <c:pt idx="34">
                  <c:v>0.57600000000000029</c:v>
                </c:pt>
                <c:pt idx="35">
                  <c:v>0.60000000000000031</c:v>
                </c:pt>
                <c:pt idx="36">
                  <c:v>0.62400000000000033</c:v>
                </c:pt>
                <c:pt idx="37">
                  <c:v>0.64800000000000035</c:v>
                </c:pt>
                <c:pt idx="38">
                  <c:v>0.67200000000000037</c:v>
                </c:pt>
                <c:pt idx="39">
                  <c:v>0.6960000000000004</c:v>
                </c:pt>
                <c:pt idx="40">
                  <c:v>0.72</c:v>
                </c:pt>
                <c:pt idx="41">
                  <c:v>0.754</c:v>
                </c:pt>
                <c:pt idx="42">
                  <c:v>0.78800000000000003</c:v>
                </c:pt>
                <c:pt idx="43">
                  <c:v>0.82200000000000006</c:v>
                </c:pt>
                <c:pt idx="44">
                  <c:v>0.85600000000000009</c:v>
                </c:pt>
                <c:pt idx="45">
                  <c:v>0.89000000000000012</c:v>
                </c:pt>
                <c:pt idx="46">
                  <c:v>0.92400000000000015</c:v>
                </c:pt>
                <c:pt idx="47">
                  <c:v>0.95800000000000018</c:v>
                </c:pt>
                <c:pt idx="48">
                  <c:v>0.99200000000000021</c:v>
                </c:pt>
                <c:pt idx="49">
                  <c:v>1.0260000000000002</c:v>
                </c:pt>
                <c:pt idx="50">
                  <c:v>1.0600000000000003</c:v>
                </c:pt>
                <c:pt idx="51">
                  <c:v>1.0940000000000003</c:v>
                </c:pt>
                <c:pt idx="52">
                  <c:v>1.1280000000000003</c:v>
                </c:pt>
                <c:pt idx="53">
                  <c:v>1.1620000000000004</c:v>
                </c:pt>
                <c:pt idx="54">
                  <c:v>1.1960000000000004</c:v>
                </c:pt>
                <c:pt idx="55">
                  <c:v>1.2300000000000004</c:v>
                </c:pt>
                <c:pt idx="56">
                  <c:v>1.2640000000000005</c:v>
                </c:pt>
                <c:pt idx="57">
                  <c:v>1.2980000000000005</c:v>
                </c:pt>
                <c:pt idx="58">
                  <c:v>1.3320000000000005</c:v>
                </c:pt>
                <c:pt idx="59">
                  <c:v>1.3660000000000005</c:v>
                </c:pt>
                <c:pt idx="60">
                  <c:v>1.4</c:v>
                </c:pt>
                <c:pt idx="61">
                  <c:v>1.4155</c:v>
                </c:pt>
                <c:pt idx="62">
                  <c:v>1.431</c:v>
                </c:pt>
                <c:pt idx="63">
                  <c:v>1.4465000000000001</c:v>
                </c:pt>
                <c:pt idx="64">
                  <c:v>1.4620000000000002</c:v>
                </c:pt>
                <c:pt idx="65">
                  <c:v>1.4775000000000003</c:v>
                </c:pt>
                <c:pt idx="66">
                  <c:v>1.4930000000000003</c:v>
                </c:pt>
                <c:pt idx="67">
                  <c:v>1.5085000000000004</c:v>
                </c:pt>
                <c:pt idx="68">
                  <c:v>1.5240000000000005</c:v>
                </c:pt>
                <c:pt idx="69">
                  <c:v>1.5395000000000005</c:v>
                </c:pt>
                <c:pt idx="70">
                  <c:v>1.5550000000000006</c:v>
                </c:pt>
                <c:pt idx="71">
                  <c:v>1.5705000000000007</c:v>
                </c:pt>
                <c:pt idx="72">
                  <c:v>1.5860000000000007</c:v>
                </c:pt>
                <c:pt idx="73">
                  <c:v>1.6015000000000008</c:v>
                </c:pt>
                <c:pt idx="74">
                  <c:v>1.6170000000000009</c:v>
                </c:pt>
                <c:pt idx="75">
                  <c:v>1.632500000000001</c:v>
                </c:pt>
                <c:pt idx="76">
                  <c:v>1.648000000000001</c:v>
                </c:pt>
                <c:pt idx="77">
                  <c:v>1.6635000000000011</c:v>
                </c:pt>
                <c:pt idx="78">
                  <c:v>1.6790000000000012</c:v>
                </c:pt>
                <c:pt idx="79">
                  <c:v>1.6945000000000012</c:v>
                </c:pt>
                <c:pt idx="80">
                  <c:v>1.71</c:v>
                </c:pt>
              </c:numCache>
            </c:numRef>
          </c:yVal>
          <c:smooth val="1"/>
        </c:ser>
        <c:dLbls/>
        <c:axId val="66512384"/>
        <c:axId val="66514304"/>
      </c:scatterChart>
      <c:valAx>
        <c:axId val="6651238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6514304"/>
        <c:crosses val="autoZero"/>
        <c:crossBetween val="midCat"/>
      </c:valAx>
      <c:valAx>
        <c:axId val="66514304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651238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MostLikely!$F$18:$F$98</c:f>
              <c:numCache>
                <c:formatCode>0.0000</c:formatCode>
                <c:ptCount val="81"/>
                <c:pt idx="0">
                  <c:v>0</c:v>
                </c:pt>
                <c:pt idx="1">
                  <c:v>-1.1666666666666665E-2</c:v>
                </c:pt>
                <c:pt idx="2">
                  <c:v>-2.3333333333333331E-2</c:v>
                </c:pt>
                <c:pt idx="3">
                  <c:v>-3.4999999999999996E-2</c:v>
                </c:pt>
                <c:pt idx="4">
                  <c:v>-4.6666666666666662E-2</c:v>
                </c:pt>
                <c:pt idx="5">
                  <c:v>-5.8333333333333327E-2</c:v>
                </c:pt>
                <c:pt idx="6">
                  <c:v>-6.9999999999999993E-2</c:v>
                </c:pt>
                <c:pt idx="7">
                  <c:v>-8.1666666666666665E-2</c:v>
                </c:pt>
                <c:pt idx="8">
                  <c:v>-9.3333333333333324E-2</c:v>
                </c:pt>
                <c:pt idx="9">
                  <c:v>-0.10499999999999998</c:v>
                </c:pt>
                <c:pt idx="10">
                  <c:v>-0.11666666666666664</c:v>
                </c:pt>
                <c:pt idx="11">
                  <c:v>-0.1283333333333333</c:v>
                </c:pt>
                <c:pt idx="12">
                  <c:v>-0.13999999999999996</c:v>
                </c:pt>
                <c:pt idx="13">
                  <c:v>-0.15166666666666662</c:v>
                </c:pt>
                <c:pt idx="14">
                  <c:v>-0.16333333333333327</c:v>
                </c:pt>
                <c:pt idx="15">
                  <c:v>-0.17499999999999993</c:v>
                </c:pt>
                <c:pt idx="16">
                  <c:v>-0.18666666666666659</c:v>
                </c:pt>
                <c:pt idx="17">
                  <c:v>-0.19833333333333325</c:v>
                </c:pt>
                <c:pt idx="18">
                  <c:v>-0.20999999999999991</c:v>
                </c:pt>
                <c:pt idx="19">
                  <c:v>-0.22166666666666657</c:v>
                </c:pt>
                <c:pt idx="20">
                  <c:v>-0.23333333333333331</c:v>
                </c:pt>
                <c:pt idx="21">
                  <c:v>-0.25666666666666665</c:v>
                </c:pt>
                <c:pt idx="22">
                  <c:v>-0.27999999999999997</c:v>
                </c:pt>
                <c:pt idx="23">
                  <c:v>-0.30333333333333329</c:v>
                </c:pt>
                <c:pt idx="24">
                  <c:v>-0.32666666666666661</c:v>
                </c:pt>
                <c:pt idx="25">
                  <c:v>-0.34999999999999992</c:v>
                </c:pt>
                <c:pt idx="26">
                  <c:v>-0.37333333333333324</c:v>
                </c:pt>
                <c:pt idx="27">
                  <c:v>-0.39666666666666656</c:v>
                </c:pt>
                <c:pt idx="28">
                  <c:v>-0.41999999999999987</c:v>
                </c:pt>
                <c:pt idx="29">
                  <c:v>-0.44333333333333319</c:v>
                </c:pt>
                <c:pt idx="30">
                  <c:v>-0.46666666666666651</c:v>
                </c:pt>
                <c:pt idx="31">
                  <c:v>-0.48999999999999982</c:v>
                </c:pt>
                <c:pt idx="32">
                  <c:v>-0.5133333333333332</c:v>
                </c:pt>
                <c:pt idx="33">
                  <c:v>-0.53666666666666651</c:v>
                </c:pt>
                <c:pt idx="34">
                  <c:v>-0.55999999999999983</c:v>
                </c:pt>
                <c:pt idx="35">
                  <c:v>-0.58333333333333315</c:v>
                </c:pt>
                <c:pt idx="36">
                  <c:v>-0.60666666666666647</c:v>
                </c:pt>
                <c:pt idx="37">
                  <c:v>-0.62999999999999978</c:v>
                </c:pt>
                <c:pt idx="38">
                  <c:v>-0.6533333333333331</c:v>
                </c:pt>
                <c:pt idx="39">
                  <c:v>-0.67666666666666642</c:v>
                </c:pt>
                <c:pt idx="40">
                  <c:v>-0.7</c:v>
                </c:pt>
                <c:pt idx="41">
                  <c:v>-0.755</c:v>
                </c:pt>
                <c:pt idx="42">
                  <c:v>-0.81</c:v>
                </c:pt>
                <c:pt idx="43">
                  <c:v>-0.8650000000000001</c:v>
                </c:pt>
                <c:pt idx="44">
                  <c:v>-0.92000000000000015</c:v>
                </c:pt>
                <c:pt idx="45">
                  <c:v>-0.9750000000000002</c:v>
                </c:pt>
                <c:pt idx="46">
                  <c:v>-1.0300000000000002</c:v>
                </c:pt>
                <c:pt idx="47">
                  <c:v>-1.0850000000000002</c:v>
                </c:pt>
                <c:pt idx="48">
                  <c:v>-1.1400000000000001</c:v>
                </c:pt>
                <c:pt idx="49">
                  <c:v>-1.1950000000000001</c:v>
                </c:pt>
                <c:pt idx="50">
                  <c:v>-1.25</c:v>
                </c:pt>
                <c:pt idx="51">
                  <c:v>-1.3049999999999999</c:v>
                </c:pt>
                <c:pt idx="52">
                  <c:v>-1.3599999999999999</c:v>
                </c:pt>
                <c:pt idx="53">
                  <c:v>-1.4149999999999998</c:v>
                </c:pt>
                <c:pt idx="54">
                  <c:v>-1.4699999999999998</c:v>
                </c:pt>
                <c:pt idx="55">
                  <c:v>-1.5249999999999997</c:v>
                </c:pt>
                <c:pt idx="56">
                  <c:v>-1.5799999999999996</c:v>
                </c:pt>
                <c:pt idx="57">
                  <c:v>-1.6349999999999996</c:v>
                </c:pt>
                <c:pt idx="58">
                  <c:v>-1.6899999999999995</c:v>
                </c:pt>
                <c:pt idx="59">
                  <c:v>-1.7449999999999994</c:v>
                </c:pt>
                <c:pt idx="60">
                  <c:v>-1.8</c:v>
                </c:pt>
                <c:pt idx="61">
                  <c:v>-1.835</c:v>
                </c:pt>
                <c:pt idx="62">
                  <c:v>-1.8699999999999999</c:v>
                </c:pt>
                <c:pt idx="63">
                  <c:v>-1.9049999999999998</c:v>
                </c:pt>
                <c:pt idx="64">
                  <c:v>-1.9399999999999997</c:v>
                </c:pt>
                <c:pt idx="65">
                  <c:v>-1.9749999999999996</c:v>
                </c:pt>
                <c:pt idx="66">
                  <c:v>-2.0099999999999998</c:v>
                </c:pt>
                <c:pt idx="67">
                  <c:v>-2.0449999999999999</c:v>
                </c:pt>
                <c:pt idx="68">
                  <c:v>-2.08</c:v>
                </c:pt>
                <c:pt idx="69">
                  <c:v>-2.1150000000000002</c:v>
                </c:pt>
                <c:pt idx="70">
                  <c:v>-2.1500000000000004</c:v>
                </c:pt>
                <c:pt idx="71">
                  <c:v>-2.1850000000000005</c:v>
                </c:pt>
                <c:pt idx="72">
                  <c:v>-2.2200000000000006</c:v>
                </c:pt>
                <c:pt idx="73">
                  <c:v>-2.2550000000000008</c:v>
                </c:pt>
                <c:pt idx="74">
                  <c:v>-2.2900000000000009</c:v>
                </c:pt>
                <c:pt idx="75">
                  <c:v>-2.3250000000000011</c:v>
                </c:pt>
                <c:pt idx="76">
                  <c:v>-2.3600000000000012</c:v>
                </c:pt>
                <c:pt idx="77">
                  <c:v>-2.3950000000000014</c:v>
                </c:pt>
                <c:pt idx="78">
                  <c:v>-2.4300000000000015</c:v>
                </c:pt>
                <c:pt idx="79">
                  <c:v>-2.4650000000000016</c:v>
                </c:pt>
                <c:pt idx="80">
                  <c:v>-2.5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MostLikely!$G$18:$G$98</c:f>
              <c:numCache>
                <c:formatCode>0.0000</c:formatCode>
                <c:ptCount val="81"/>
                <c:pt idx="0">
                  <c:v>0</c:v>
                </c:pt>
                <c:pt idx="1">
                  <c:v>-1.3333333333333332E-2</c:v>
                </c:pt>
                <c:pt idx="2">
                  <c:v>-2.6666666666666665E-2</c:v>
                </c:pt>
                <c:pt idx="3">
                  <c:v>-3.9999999999999994E-2</c:v>
                </c:pt>
                <c:pt idx="4">
                  <c:v>-5.333333333333333E-2</c:v>
                </c:pt>
                <c:pt idx="5">
                  <c:v>-6.6666666666666666E-2</c:v>
                </c:pt>
                <c:pt idx="6">
                  <c:v>-0.08</c:v>
                </c:pt>
                <c:pt idx="7">
                  <c:v>-9.3333333333333338E-2</c:v>
                </c:pt>
                <c:pt idx="8">
                  <c:v>-0.10666666666666667</c:v>
                </c:pt>
                <c:pt idx="9">
                  <c:v>-0.12000000000000001</c:v>
                </c:pt>
                <c:pt idx="10">
                  <c:v>-0.13333333333333333</c:v>
                </c:pt>
                <c:pt idx="11">
                  <c:v>-0.14666666666666667</c:v>
                </c:pt>
                <c:pt idx="12">
                  <c:v>-0.16</c:v>
                </c:pt>
                <c:pt idx="13">
                  <c:v>-0.17333333333333334</c:v>
                </c:pt>
                <c:pt idx="14">
                  <c:v>-0.18666666666666668</c:v>
                </c:pt>
                <c:pt idx="15">
                  <c:v>-0.2</c:v>
                </c:pt>
                <c:pt idx="16">
                  <c:v>-0.21333333333333335</c:v>
                </c:pt>
                <c:pt idx="17">
                  <c:v>-0.22666666666666668</c:v>
                </c:pt>
                <c:pt idx="18">
                  <c:v>-0.24000000000000002</c:v>
                </c:pt>
                <c:pt idx="19">
                  <c:v>-0.25333333333333335</c:v>
                </c:pt>
                <c:pt idx="20">
                  <c:v>-0.26666666666666666</c:v>
                </c:pt>
                <c:pt idx="21">
                  <c:v>-0.29333333333333333</c:v>
                </c:pt>
                <c:pt idx="22">
                  <c:v>-0.32</c:v>
                </c:pt>
                <c:pt idx="23">
                  <c:v>-0.34666666666666668</c:v>
                </c:pt>
                <c:pt idx="24">
                  <c:v>-0.37333333333333335</c:v>
                </c:pt>
                <c:pt idx="25">
                  <c:v>-0.4</c:v>
                </c:pt>
                <c:pt idx="26">
                  <c:v>-0.42666666666666669</c:v>
                </c:pt>
                <c:pt idx="27">
                  <c:v>-0.45333333333333337</c:v>
                </c:pt>
                <c:pt idx="28">
                  <c:v>-0.48000000000000004</c:v>
                </c:pt>
                <c:pt idx="29">
                  <c:v>-0.50666666666666671</c:v>
                </c:pt>
                <c:pt idx="30">
                  <c:v>-0.53333333333333344</c:v>
                </c:pt>
                <c:pt idx="31">
                  <c:v>-0.56000000000000005</c:v>
                </c:pt>
                <c:pt idx="32">
                  <c:v>-0.58666666666666667</c:v>
                </c:pt>
                <c:pt idx="33">
                  <c:v>-0.61333333333333329</c:v>
                </c:pt>
                <c:pt idx="34">
                  <c:v>-0.6399999999999999</c:v>
                </c:pt>
                <c:pt idx="35">
                  <c:v>-0.66666666666666652</c:v>
                </c:pt>
                <c:pt idx="36">
                  <c:v>-0.69333333333333313</c:v>
                </c:pt>
                <c:pt idx="37">
                  <c:v>-0.71999999999999975</c:v>
                </c:pt>
                <c:pt idx="38">
                  <c:v>-0.74666666666666637</c:v>
                </c:pt>
                <c:pt idx="39">
                  <c:v>-0.77333333333333298</c:v>
                </c:pt>
                <c:pt idx="40">
                  <c:v>-0.8</c:v>
                </c:pt>
                <c:pt idx="41">
                  <c:v>-0.82850000000000001</c:v>
                </c:pt>
                <c:pt idx="42">
                  <c:v>-0.85699999999999998</c:v>
                </c:pt>
                <c:pt idx="43">
                  <c:v>-0.88549999999999995</c:v>
                </c:pt>
                <c:pt idx="44">
                  <c:v>-0.91399999999999992</c:v>
                </c:pt>
                <c:pt idx="45">
                  <c:v>-0.94249999999999989</c:v>
                </c:pt>
                <c:pt idx="46">
                  <c:v>-0.97099999999999986</c:v>
                </c:pt>
                <c:pt idx="47">
                  <c:v>-0.99949999999999983</c:v>
                </c:pt>
                <c:pt idx="48">
                  <c:v>-1.0279999999999998</c:v>
                </c:pt>
                <c:pt idx="49">
                  <c:v>-1.0564999999999998</c:v>
                </c:pt>
                <c:pt idx="50">
                  <c:v>-1.0849999999999997</c:v>
                </c:pt>
                <c:pt idx="51">
                  <c:v>-1.1134999999999997</c:v>
                </c:pt>
                <c:pt idx="52">
                  <c:v>-1.1419999999999997</c:v>
                </c:pt>
                <c:pt idx="53">
                  <c:v>-1.1704999999999997</c:v>
                </c:pt>
                <c:pt idx="54">
                  <c:v>-1.1989999999999996</c:v>
                </c:pt>
                <c:pt idx="55">
                  <c:v>-1.2274999999999996</c:v>
                </c:pt>
                <c:pt idx="56">
                  <c:v>-1.2559999999999996</c:v>
                </c:pt>
                <c:pt idx="57">
                  <c:v>-1.2844999999999995</c:v>
                </c:pt>
                <c:pt idx="58">
                  <c:v>-1.3129999999999995</c:v>
                </c:pt>
                <c:pt idx="59">
                  <c:v>-1.3414999999999995</c:v>
                </c:pt>
                <c:pt idx="60">
                  <c:v>-1.37</c:v>
                </c:pt>
                <c:pt idx="61">
                  <c:v>-1.3915000000000002</c:v>
                </c:pt>
                <c:pt idx="62">
                  <c:v>-1.4130000000000003</c:v>
                </c:pt>
                <c:pt idx="63">
                  <c:v>-1.4345000000000003</c:v>
                </c:pt>
                <c:pt idx="64">
                  <c:v>-1.4560000000000004</c:v>
                </c:pt>
                <c:pt idx="65">
                  <c:v>-1.4775000000000005</c:v>
                </c:pt>
                <c:pt idx="66">
                  <c:v>-1.4990000000000006</c:v>
                </c:pt>
                <c:pt idx="67">
                  <c:v>-1.5205000000000006</c:v>
                </c:pt>
                <c:pt idx="68">
                  <c:v>-1.5420000000000007</c:v>
                </c:pt>
                <c:pt idx="69">
                  <c:v>-1.5635000000000008</c:v>
                </c:pt>
                <c:pt idx="70">
                  <c:v>-1.5850000000000009</c:v>
                </c:pt>
                <c:pt idx="71">
                  <c:v>-1.6065000000000009</c:v>
                </c:pt>
                <c:pt idx="72">
                  <c:v>-1.628000000000001</c:v>
                </c:pt>
                <c:pt idx="73">
                  <c:v>-1.6495000000000011</c:v>
                </c:pt>
                <c:pt idx="74">
                  <c:v>-1.6710000000000012</c:v>
                </c:pt>
                <c:pt idx="75">
                  <c:v>-1.6925000000000012</c:v>
                </c:pt>
                <c:pt idx="76">
                  <c:v>-1.7140000000000013</c:v>
                </c:pt>
                <c:pt idx="77">
                  <c:v>-1.7355000000000014</c:v>
                </c:pt>
                <c:pt idx="78">
                  <c:v>-1.7570000000000014</c:v>
                </c:pt>
                <c:pt idx="79">
                  <c:v>-1.7785000000000015</c:v>
                </c:pt>
                <c:pt idx="80">
                  <c:v>-1.8</c:v>
                </c:pt>
              </c:numCache>
            </c:numRef>
          </c:yVal>
          <c:smooth val="1"/>
        </c:ser>
        <c:dLbls/>
        <c:axId val="104986880"/>
        <c:axId val="112931200"/>
      </c:scatterChart>
      <c:valAx>
        <c:axId val="10498688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12931200"/>
        <c:crosses val="autoZero"/>
        <c:crossBetween val="midCat"/>
      </c:valAx>
      <c:valAx>
        <c:axId val="1129312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04986880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MostLikely!$D$5:$D$9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 formatCode="General">
                  <c:v>0.7</c:v>
                </c:pt>
                <c:pt idx="3" formatCode="General">
                  <c:v>1.7</c:v>
                </c:pt>
                <c:pt idx="4" formatCode="General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MostLikely!$E$5:$E$9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 formatCode="General">
                  <c:v>0.7</c:v>
                </c:pt>
                <c:pt idx="3" formatCode="General">
                  <c:v>1.4</c:v>
                </c:pt>
                <c:pt idx="4" formatCode="General">
                  <c:v>1.7</c:v>
                </c:pt>
              </c:numCache>
            </c:numRef>
          </c:yVal>
          <c:smooth val="1"/>
        </c:ser>
        <c:dLbls/>
        <c:axId val="114329088"/>
        <c:axId val="114331008"/>
      </c:scatterChart>
      <c:valAx>
        <c:axId val="11432908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14331008"/>
        <c:crosses val="autoZero"/>
        <c:crossBetween val="midCat"/>
      </c:valAx>
      <c:valAx>
        <c:axId val="1143310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432908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MostLikely!$U$18:$U$128</c:f>
              <c:numCache>
                <c:formatCode>0.00</c:formatCode>
                <c:ptCount val="111"/>
                <c:pt idx="0">
                  <c:v>1094</c:v>
                </c:pt>
                <c:pt idx="1">
                  <c:v>1094.1276333333333</c:v>
                </c:pt>
                <c:pt idx="2">
                  <c:v>1094.2552666666666</c:v>
                </c:pt>
                <c:pt idx="3">
                  <c:v>1094.3829000000001</c:v>
                </c:pt>
                <c:pt idx="4">
                  <c:v>1094.5105333333333</c:v>
                </c:pt>
                <c:pt idx="5">
                  <c:v>1094.6381666666666</c:v>
                </c:pt>
                <c:pt idx="6">
                  <c:v>1094.7657999999999</c:v>
                </c:pt>
                <c:pt idx="7">
                  <c:v>1094.8934333333334</c:v>
                </c:pt>
                <c:pt idx="8">
                  <c:v>1095.0210666666667</c:v>
                </c:pt>
                <c:pt idx="9">
                  <c:v>1095.1487</c:v>
                </c:pt>
                <c:pt idx="10">
                  <c:v>1095.2763333333332</c:v>
                </c:pt>
                <c:pt idx="11">
                  <c:v>1095.4039666666667</c:v>
                </c:pt>
                <c:pt idx="12">
                  <c:v>1095.5316</c:v>
                </c:pt>
                <c:pt idx="13">
                  <c:v>1095.6592333333333</c:v>
                </c:pt>
                <c:pt idx="14">
                  <c:v>1095.7868666666666</c:v>
                </c:pt>
                <c:pt idx="15">
                  <c:v>1095.9145000000001</c:v>
                </c:pt>
                <c:pt idx="16">
                  <c:v>1096.0421333333334</c:v>
                </c:pt>
                <c:pt idx="17">
                  <c:v>1096.1697666666666</c:v>
                </c:pt>
                <c:pt idx="18">
                  <c:v>1096.2973999999999</c:v>
                </c:pt>
                <c:pt idx="19">
                  <c:v>1096.4250333333334</c:v>
                </c:pt>
                <c:pt idx="20">
                  <c:v>1096.5526666666667</c:v>
                </c:pt>
                <c:pt idx="21">
                  <c:v>1096.8079333333333</c:v>
                </c:pt>
                <c:pt idx="22">
                  <c:v>1097.0632000000001</c:v>
                </c:pt>
                <c:pt idx="23">
                  <c:v>1097.3184666666666</c:v>
                </c:pt>
                <c:pt idx="24">
                  <c:v>1097.5737333333334</c:v>
                </c:pt>
                <c:pt idx="25">
                  <c:v>1097.829</c:v>
                </c:pt>
                <c:pt idx="26">
                  <c:v>1098.0842666666667</c:v>
                </c:pt>
                <c:pt idx="27">
                  <c:v>1098.3395333333333</c:v>
                </c:pt>
                <c:pt idx="28">
                  <c:v>1098.5948000000001</c:v>
                </c:pt>
                <c:pt idx="29">
                  <c:v>1098.8500666666666</c:v>
                </c:pt>
                <c:pt idx="30">
                  <c:v>1099.1053333333334</c:v>
                </c:pt>
                <c:pt idx="31">
                  <c:v>1099.3606</c:v>
                </c:pt>
                <c:pt idx="32">
                  <c:v>1099.6158666666668</c:v>
                </c:pt>
                <c:pt idx="33">
                  <c:v>1099.8711333333333</c:v>
                </c:pt>
                <c:pt idx="34">
                  <c:v>1100.1264000000001</c:v>
                </c:pt>
                <c:pt idx="35">
                  <c:v>1100.3816666666667</c:v>
                </c:pt>
                <c:pt idx="36">
                  <c:v>1100.6369333333332</c:v>
                </c:pt>
                <c:pt idx="37">
                  <c:v>1100.8922</c:v>
                </c:pt>
                <c:pt idx="38">
                  <c:v>1101.1474666666666</c:v>
                </c:pt>
                <c:pt idx="39">
                  <c:v>1101.4027333333333</c:v>
                </c:pt>
                <c:pt idx="40">
                  <c:v>1101.6579999999999</c:v>
                </c:pt>
                <c:pt idx="41">
                  <c:v>1102.2049999999999</c:v>
                </c:pt>
                <c:pt idx="42">
                  <c:v>1102.752</c:v>
                </c:pt>
                <c:pt idx="43">
                  <c:v>1103.299</c:v>
                </c:pt>
                <c:pt idx="44">
                  <c:v>1103.846</c:v>
                </c:pt>
                <c:pt idx="45">
                  <c:v>1104.393</c:v>
                </c:pt>
                <c:pt idx="46">
                  <c:v>1104.94</c:v>
                </c:pt>
                <c:pt idx="47">
                  <c:v>1105.4870000000001</c:v>
                </c:pt>
                <c:pt idx="48">
                  <c:v>1106.0340000000001</c:v>
                </c:pt>
                <c:pt idx="49">
                  <c:v>1106.5809999999999</c:v>
                </c:pt>
                <c:pt idx="50">
                  <c:v>1107.1279999999999</c:v>
                </c:pt>
                <c:pt idx="51">
                  <c:v>1107.675</c:v>
                </c:pt>
                <c:pt idx="52">
                  <c:v>1108.222</c:v>
                </c:pt>
                <c:pt idx="53">
                  <c:v>1108.769</c:v>
                </c:pt>
                <c:pt idx="54">
                  <c:v>1109.316</c:v>
                </c:pt>
                <c:pt idx="55">
                  <c:v>1109.8630000000001</c:v>
                </c:pt>
                <c:pt idx="56">
                  <c:v>1110.4100000000001</c:v>
                </c:pt>
                <c:pt idx="57">
                  <c:v>1110.9570000000001</c:v>
                </c:pt>
                <c:pt idx="58">
                  <c:v>1111.5039999999999</c:v>
                </c:pt>
                <c:pt idx="59">
                  <c:v>1112.0509999999999</c:v>
                </c:pt>
                <c:pt idx="60">
                  <c:v>1112.598</c:v>
                </c:pt>
                <c:pt idx="61">
                  <c:v>1112.9262000000001</c:v>
                </c:pt>
                <c:pt idx="62">
                  <c:v>1113.2544</c:v>
                </c:pt>
                <c:pt idx="63">
                  <c:v>1113.5826</c:v>
                </c:pt>
                <c:pt idx="64">
                  <c:v>1113.9108000000001</c:v>
                </c:pt>
                <c:pt idx="65">
                  <c:v>1114.239</c:v>
                </c:pt>
                <c:pt idx="66">
                  <c:v>1114.5672</c:v>
                </c:pt>
                <c:pt idx="67">
                  <c:v>1114.8954000000001</c:v>
                </c:pt>
                <c:pt idx="68">
                  <c:v>1115.2236</c:v>
                </c:pt>
                <c:pt idx="69">
                  <c:v>1115.5518</c:v>
                </c:pt>
                <c:pt idx="70">
                  <c:v>1115.8800000000001</c:v>
                </c:pt>
                <c:pt idx="71">
                  <c:v>1116.2082</c:v>
                </c:pt>
                <c:pt idx="72">
                  <c:v>1116.5364</c:v>
                </c:pt>
                <c:pt idx="73">
                  <c:v>1116.8645999999999</c:v>
                </c:pt>
                <c:pt idx="74">
                  <c:v>1117.1928</c:v>
                </c:pt>
                <c:pt idx="75">
                  <c:v>1117.521</c:v>
                </c:pt>
                <c:pt idx="76">
                  <c:v>1117.8491999999999</c:v>
                </c:pt>
                <c:pt idx="77">
                  <c:v>1118.1774</c:v>
                </c:pt>
                <c:pt idx="78">
                  <c:v>1118.5056</c:v>
                </c:pt>
                <c:pt idx="79">
                  <c:v>1118.8337999999999</c:v>
                </c:pt>
                <c:pt idx="80">
                  <c:v>1119.162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MostLikely!$V$18:$V$128</c:f>
              <c:numCache>
                <c:formatCode>0.00</c:formatCode>
                <c:ptCount val="111"/>
                <c:pt idx="0">
                  <c:v>1094</c:v>
                </c:pt>
                <c:pt idx="1">
                  <c:v>1094.1276333333333</c:v>
                </c:pt>
                <c:pt idx="2">
                  <c:v>1094.2552666666666</c:v>
                </c:pt>
                <c:pt idx="3">
                  <c:v>1094.3829000000001</c:v>
                </c:pt>
                <c:pt idx="4">
                  <c:v>1094.5105333333333</c:v>
                </c:pt>
                <c:pt idx="5">
                  <c:v>1094.6381666666666</c:v>
                </c:pt>
                <c:pt idx="6">
                  <c:v>1094.7657999999999</c:v>
                </c:pt>
                <c:pt idx="7">
                  <c:v>1094.8934333333334</c:v>
                </c:pt>
                <c:pt idx="8">
                  <c:v>1095.0210666666667</c:v>
                </c:pt>
                <c:pt idx="9">
                  <c:v>1095.1487</c:v>
                </c:pt>
                <c:pt idx="10">
                  <c:v>1095.2763333333332</c:v>
                </c:pt>
                <c:pt idx="11">
                  <c:v>1095.4039666666667</c:v>
                </c:pt>
                <c:pt idx="12">
                  <c:v>1095.5316</c:v>
                </c:pt>
                <c:pt idx="13">
                  <c:v>1095.6592333333333</c:v>
                </c:pt>
                <c:pt idx="14">
                  <c:v>1095.7868666666666</c:v>
                </c:pt>
                <c:pt idx="15">
                  <c:v>1095.9145000000001</c:v>
                </c:pt>
                <c:pt idx="16">
                  <c:v>1096.0421333333334</c:v>
                </c:pt>
                <c:pt idx="17">
                  <c:v>1096.1697666666666</c:v>
                </c:pt>
                <c:pt idx="18">
                  <c:v>1096.2973999999999</c:v>
                </c:pt>
                <c:pt idx="19">
                  <c:v>1096.4250333333334</c:v>
                </c:pt>
                <c:pt idx="20">
                  <c:v>1096.5526666666667</c:v>
                </c:pt>
                <c:pt idx="21">
                  <c:v>1096.8079333333333</c:v>
                </c:pt>
                <c:pt idx="22">
                  <c:v>1097.0632000000001</c:v>
                </c:pt>
                <c:pt idx="23">
                  <c:v>1097.3184666666666</c:v>
                </c:pt>
                <c:pt idx="24">
                  <c:v>1097.5737333333334</c:v>
                </c:pt>
                <c:pt idx="25">
                  <c:v>1097.829</c:v>
                </c:pt>
                <c:pt idx="26">
                  <c:v>1098.0842666666667</c:v>
                </c:pt>
                <c:pt idx="27">
                  <c:v>1098.3395333333333</c:v>
                </c:pt>
                <c:pt idx="28">
                  <c:v>1098.5948000000001</c:v>
                </c:pt>
                <c:pt idx="29">
                  <c:v>1098.8500666666666</c:v>
                </c:pt>
                <c:pt idx="30">
                  <c:v>1099.1053333333334</c:v>
                </c:pt>
                <c:pt idx="31">
                  <c:v>1099.3606</c:v>
                </c:pt>
                <c:pt idx="32">
                  <c:v>1099.6158666666668</c:v>
                </c:pt>
                <c:pt idx="33">
                  <c:v>1099.8711333333333</c:v>
                </c:pt>
                <c:pt idx="34">
                  <c:v>1100.1264000000001</c:v>
                </c:pt>
                <c:pt idx="35">
                  <c:v>1100.3816666666667</c:v>
                </c:pt>
                <c:pt idx="36">
                  <c:v>1100.6369333333332</c:v>
                </c:pt>
                <c:pt idx="37">
                  <c:v>1100.8922</c:v>
                </c:pt>
                <c:pt idx="38">
                  <c:v>1101.1474666666666</c:v>
                </c:pt>
                <c:pt idx="39">
                  <c:v>1101.4027333333333</c:v>
                </c:pt>
                <c:pt idx="40">
                  <c:v>1101.6579999999999</c:v>
                </c:pt>
                <c:pt idx="41">
                  <c:v>1102.0409</c:v>
                </c:pt>
                <c:pt idx="42">
                  <c:v>1102.4238</c:v>
                </c:pt>
                <c:pt idx="43">
                  <c:v>1102.8067000000001</c:v>
                </c:pt>
                <c:pt idx="44">
                  <c:v>1103.1895999999999</c:v>
                </c:pt>
                <c:pt idx="45">
                  <c:v>1103.5725</c:v>
                </c:pt>
                <c:pt idx="46">
                  <c:v>1103.9554000000001</c:v>
                </c:pt>
                <c:pt idx="47">
                  <c:v>1104.3382999999999</c:v>
                </c:pt>
                <c:pt idx="48">
                  <c:v>1104.7212</c:v>
                </c:pt>
                <c:pt idx="49">
                  <c:v>1105.1041</c:v>
                </c:pt>
                <c:pt idx="50">
                  <c:v>1105.4870000000001</c:v>
                </c:pt>
                <c:pt idx="51">
                  <c:v>1105.8698999999999</c:v>
                </c:pt>
                <c:pt idx="52">
                  <c:v>1106.2528</c:v>
                </c:pt>
                <c:pt idx="53">
                  <c:v>1106.6357</c:v>
                </c:pt>
                <c:pt idx="54">
                  <c:v>1107.0186000000001</c:v>
                </c:pt>
                <c:pt idx="55">
                  <c:v>1107.4014999999999</c:v>
                </c:pt>
                <c:pt idx="56">
                  <c:v>1107.7844</c:v>
                </c:pt>
                <c:pt idx="57">
                  <c:v>1108.1673000000001</c:v>
                </c:pt>
                <c:pt idx="58">
                  <c:v>1108.5501999999999</c:v>
                </c:pt>
                <c:pt idx="59">
                  <c:v>1108.9331</c:v>
                </c:pt>
                <c:pt idx="60">
                  <c:v>1109.316</c:v>
                </c:pt>
                <c:pt idx="61">
                  <c:v>1109.4801</c:v>
                </c:pt>
                <c:pt idx="62">
                  <c:v>1109.6442</c:v>
                </c:pt>
                <c:pt idx="63">
                  <c:v>1109.8082999999999</c:v>
                </c:pt>
                <c:pt idx="64">
                  <c:v>1109.9724000000001</c:v>
                </c:pt>
                <c:pt idx="65">
                  <c:v>1110.1365000000001</c:v>
                </c:pt>
                <c:pt idx="66">
                  <c:v>1110.3006</c:v>
                </c:pt>
                <c:pt idx="67">
                  <c:v>1110.4647</c:v>
                </c:pt>
                <c:pt idx="68">
                  <c:v>1110.6288</c:v>
                </c:pt>
                <c:pt idx="69">
                  <c:v>1110.7928999999999</c:v>
                </c:pt>
                <c:pt idx="70">
                  <c:v>1110.9569999999999</c:v>
                </c:pt>
                <c:pt idx="71">
                  <c:v>1111.1211000000001</c:v>
                </c:pt>
                <c:pt idx="72">
                  <c:v>1111.2852</c:v>
                </c:pt>
                <c:pt idx="73">
                  <c:v>1111.4493</c:v>
                </c:pt>
                <c:pt idx="74">
                  <c:v>1111.6134</c:v>
                </c:pt>
                <c:pt idx="75">
                  <c:v>1111.7774999999999</c:v>
                </c:pt>
                <c:pt idx="76">
                  <c:v>1111.9415999999999</c:v>
                </c:pt>
                <c:pt idx="77">
                  <c:v>1112.1057000000001</c:v>
                </c:pt>
                <c:pt idx="78">
                  <c:v>1112.2698</c:v>
                </c:pt>
                <c:pt idx="79">
                  <c:v>1112.4339</c:v>
                </c:pt>
                <c:pt idx="80">
                  <c:v>1112.598</c:v>
                </c:pt>
              </c:numCache>
            </c:numRef>
          </c:yVal>
          <c:smooth val="1"/>
        </c:ser>
        <c:dLbls/>
        <c:axId val="114410240"/>
        <c:axId val="114412160"/>
      </c:scatterChart>
      <c:valAx>
        <c:axId val="11441024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4412160"/>
        <c:crosses val="autoZero"/>
        <c:crossBetween val="midCat"/>
      </c:valAx>
      <c:valAx>
        <c:axId val="11441216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</c:title>
        <c:numFmt formatCode="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44102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4"/>
          <c:y val="9.2208734324876071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MostLikely!$D$18:$D$98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MostLikely!$E$18:$E$98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0.73499999999999999</c:v>
                </c:pt>
                <c:pt idx="42">
                  <c:v>0.77</c:v>
                </c:pt>
                <c:pt idx="43">
                  <c:v>0.80500000000000005</c:v>
                </c:pt>
                <c:pt idx="44">
                  <c:v>0.84000000000000008</c:v>
                </c:pt>
                <c:pt idx="45">
                  <c:v>0.87500000000000011</c:v>
                </c:pt>
                <c:pt idx="46">
                  <c:v>0.91000000000000014</c:v>
                </c:pt>
                <c:pt idx="47">
                  <c:v>0.94500000000000017</c:v>
                </c:pt>
                <c:pt idx="48">
                  <c:v>0.9800000000000002</c:v>
                </c:pt>
                <c:pt idx="49">
                  <c:v>1.0150000000000001</c:v>
                </c:pt>
                <c:pt idx="50">
                  <c:v>1.05</c:v>
                </c:pt>
                <c:pt idx="51">
                  <c:v>1.085</c:v>
                </c:pt>
                <c:pt idx="52">
                  <c:v>1.1199999999999999</c:v>
                </c:pt>
                <c:pt idx="53">
                  <c:v>1.1549999999999998</c:v>
                </c:pt>
                <c:pt idx="54">
                  <c:v>1.1899999999999997</c:v>
                </c:pt>
                <c:pt idx="55">
                  <c:v>1.2249999999999996</c:v>
                </c:pt>
                <c:pt idx="56">
                  <c:v>1.2599999999999996</c:v>
                </c:pt>
                <c:pt idx="57">
                  <c:v>1.2949999999999995</c:v>
                </c:pt>
                <c:pt idx="58">
                  <c:v>1.3299999999999994</c:v>
                </c:pt>
                <c:pt idx="59">
                  <c:v>1.3649999999999993</c:v>
                </c:pt>
                <c:pt idx="60">
                  <c:v>1.4</c:v>
                </c:pt>
                <c:pt idx="61">
                  <c:v>1.4149999999999998</c:v>
                </c:pt>
                <c:pt idx="62">
                  <c:v>1.4299999999999997</c:v>
                </c:pt>
                <c:pt idx="63">
                  <c:v>1.4449999999999996</c:v>
                </c:pt>
                <c:pt idx="64">
                  <c:v>1.4599999999999995</c:v>
                </c:pt>
                <c:pt idx="65">
                  <c:v>1.4749999999999994</c:v>
                </c:pt>
                <c:pt idx="66">
                  <c:v>1.4899999999999993</c:v>
                </c:pt>
                <c:pt idx="67">
                  <c:v>1.5049999999999992</c:v>
                </c:pt>
                <c:pt idx="68">
                  <c:v>1.5199999999999991</c:v>
                </c:pt>
                <c:pt idx="69">
                  <c:v>1.534999999999999</c:v>
                </c:pt>
                <c:pt idx="70">
                  <c:v>1.5499999999999989</c:v>
                </c:pt>
                <c:pt idx="71">
                  <c:v>1.5649999999999988</c:v>
                </c:pt>
                <c:pt idx="72">
                  <c:v>1.5799999999999987</c:v>
                </c:pt>
                <c:pt idx="73">
                  <c:v>1.5949999999999986</c:v>
                </c:pt>
                <c:pt idx="74">
                  <c:v>1.6099999999999985</c:v>
                </c:pt>
                <c:pt idx="75">
                  <c:v>1.6249999999999984</c:v>
                </c:pt>
                <c:pt idx="76">
                  <c:v>1.6399999999999983</c:v>
                </c:pt>
                <c:pt idx="77">
                  <c:v>1.6549999999999983</c:v>
                </c:pt>
                <c:pt idx="78">
                  <c:v>1.6699999999999982</c:v>
                </c:pt>
                <c:pt idx="79">
                  <c:v>1.6849999999999981</c:v>
                </c:pt>
                <c:pt idx="80">
                  <c:v>1.7</c:v>
                </c:pt>
              </c:numCache>
            </c:numRef>
          </c:yVal>
          <c:smooth val="1"/>
        </c:ser>
        <c:dLbls/>
        <c:axId val="114501120"/>
        <c:axId val="114503040"/>
      </c:scatterChart>
      <c:valAx>
        <c:axId val="11450112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14503040"/>
        <c:crosses val="autoZero"/>
        <c:crossBetween val="midCat"/>
      </c:valAx>
      <c:valAx>
        <c:axId val="1145030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4501120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MostLikely!$H$5:$H$9</c:f>
              <c:numCache>
                <c:formatCode>0.00</c:formatCode>
                <c:ptCount val="5"/>
                <c:pt idx="0">
                  <c:v>0</c:v>
                </c:pt>
                <c:pt idx="1">
                  <c:v>0.19666666666666666</c:v>
                </c:pt>
                <c:pt idx="2">
                  <c:v>0.59</c:v>
                </c:pt>
                <c:pt idx="3" formatCode="General">
                  <c:v>1.23</c:v>
                </c:pt>
                <c:pt idx="4">
                  <c:v>1.99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MostLikely!$I$5:$I$9</c:f>
              <c:numCache>
                <c:formatCode>0.00</c:formatCode>
                <c:ptCount val="5"/>
                <c:pt idx="0">
                  <c:v>0</c:v>
                </c:pt>
                <c:pt idx="1">
                  <c:v>0.20666666666666667</c:v>
                </c:pt>
                <c:pt idx="2">
                  <c:v>0.62</c:v>
                </c:pt>
                <c:pt idx="3" formatCode="General">
                  <c:v>1.05</c:v>
                </c:pt>
                <c:pt idx="4">
                  <c:v>1.47</c:v>
                </c:pt>
              </c:numCache>
            </c:numRef>
          </c:yVal>
          <c:smooth val="1"/>
        </c:ser>
        <c:dLbls/>
        <c:axId val="114561792"/>
        <c:axId val="114563712"/>
      </c:scatterChart>
      <c:valAx>
        <c:axId val="11456179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14563712"/>
        <c:crosses val="autoZero"/>
        <c:crossBetween val="midCat"/>
      </c:valAx>
      <c:valAx>
        <c:axId val="1145637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456179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19.309833333333334</c:v>
                </c:pt>
                <c:pt idx="2">
                  <c:v>19.319666666666667</c:v>
                </c:pt>
                <c:pt idx="3">
                  <c:v>19.329499999999999</c:v>
                </c:pt>
                <c:pt idx="4">
                  <c:v>19.339333333333332</c:v>
                </c:pt>
                <c:pt idx="5">
                  <c:v>19.349166666666669</c:v>
                </c:pt>
                <c:pt idx="6">
                  <c:v>19.359000000000002</c:v>
                </c:pt>
                <c:pt idx="7">
                  <c:v>19.368833333333335</c:v>
                </c:pt>
                <c:pt idx="8">
                  <c:v>19.378666666666668</c:v>
                </c:pt>
                <c:pt idx="9">
                  <c:v>19.388500000000001</c:v>
                </c:pt>
                <c:pt idx="10">
                  <c:v>19.398333333333333</c:v>
                </c:pt>
                <c:pt idx="11">
                  <c:v>19.408166666666666</c:v>
                </c:pt>
                <c:pt idx="12">
                  <c:v>19.417999999999999</c:v>
                </c:pt>
                <c:pt idx="13">
                  <c:v>19.427833333333336</c:v>
                </c:pt>
                <c:pt idx="14">
                  <c:v>19.437666666666669</c:v>
                </c:pt>
                <c:pt idx="15">
                  <c:v>19.447500000000002</c:v>
                </c:pt>
                <c:pt idx="16">
                  <c:v>19.457333333333334</c:v>
                </c:pt>
                <c:pt idx="17">
                  <c:v>19.467166666666667</c:v>
                </c:pt>
                <c:pt idx="18">
                  <c:v>19.477</c:v>
                </c:pt>
                <c:pt idx="19">
                  <c:v>19.486833333333333</c:v>
                </c:pt>
                <c:pt idx="20">
                  <c:v>19.496666666666666</c:v>
                </c:pt>
                <c:pt idx="21">
                  <c:v>19.516333333333336</c:v>
                </c:pt>
                <c:pt idx="22">
                  <c:v>19.536000000000001</c:v>
                </c:pt>
                <c:pt idx="23">
                  <c:v>19.555666666666667</c:v>
                </c:pt>
                <c:pt idx="24">
                  <c:v>19.575333333333333</c:v>
                </c:pt>
                <c:pt idx="25">
                  <c:v>19.595000000000002</c:v>
                </c:pt>
                <c:pt idx="26">
                  <c:v>19.614666666666668</c:v>
                </c:pt>
                <c:pt idx="27">
                  <c:v>19.634333333333334</c:v>
                </c:pt>
                <c:pt idx="28">
                  <c:v>19.654</c:v>
                </c:pt>
                <c:pt idx="29">
                  <c:v>19.673666666666666</c:v>
                </c:pt>
                <c:pt idx="30">
                  <c:v>19.693333333333335</c:v>
                </c:pt>
                <c:pt idx="31">
                  <c:v>19.713000000000001</c:v>
                </c:pt>
                <c:pt idx="32">
                  <c:v>19.732666666666667</c:v>
                </c:pt>
                <c:pt idx="33">
                  <c:v>19.752333333333333</c:v>
                </c:pt>
                <c:pt idx="34">
                  <c:v>19.772000000000002</c:v>
                </c:pt>
                <c:pt idx="35">
                  <c:v>19.791666666666668</c:v>
                </c:pt>
                <c:pt idx="36">
                  <c:v>19.811333333333334</c:v>
                </c:pt>
                <c:pt idx="37">
                  <c:v>19.831</c:v>
                </c:pt>
                <c:pt idx="38">
                  <c:v>19.850666666666669</c:v>
                </c:pt>
                <c:pt idx="39">
                  <c:v>19.870333333333335</c:v>
                </c:pt>
                <c:pt idx="40">
                  <c:v>19.89</c:v>
                </c:pt>
                <c:pt idx="41">
                  <c:v>19.922000000000001</c:v>
                </c:pt>
                <c:pt idx="42">
                  <c:v>19.954000000000001</c:v>
                </c:pt>
                <c:pt idx="43">
                  <c:v>19.986000000000001</c:v>
                </c:pt>
                <c:pt idx="44">
                  <c:v>20.018000000000001</c:v>
                </c:pt>
                <c:pt idx="45">
                  <c:v>20.05</c:v>
                </c:pt>
                <c:pt idx="46">
                  <c:v>20.082000000000001</c:v>
                </c:pt>
                <c:pt idx="47">
                  <c:v>20.114000000000001</c:v>
                </c:pt>
                <c:pt idx="48">
                  <c:v>20.146000000000001</c:v>
                </c:pt>
                <c:pt idx="49">
                  <c:v>20.178000000000001</c:v>
                </c:pt>
                <c:pt idx="50">
                  <c:v>20.21</c:v>
                </c:pt>
                <c:pt idx="51">
                  <c:v>20.242000000000001</c:v>
                </c:pt>
                <c:pt idx="52">
                  <c:v>20.274000000000001</c:v>
                </c:pt>
                <c:pt idx="53">
                  <c:v>20.306000000000001</c:v>
                </c:pt>
                <c:pt idx="54">
                  <c:v>20.338000000000001</c:v>
                </c:pt>
                <c:pt idx="55">
                  <c:v>20.37</c:v>
                </c:pt>
                <c:pt idx="56">
                  <c:v>20.402000000000001</c:v>
                </c:pt>
                <c:pt idx="57">
                  <c:v>20.434000000000001</c:v>
                </c:pt>
                <c:pt idx="58">
                  <c:v>20.466000000000001</c:v>
                </c:pt>
                <c:pt idx="59">
                  <c:v>20.498000000000001</c:v>
                </c:pt>
                <c:pt idx="60">
                  <c:v>20.53</c:v>
                </c:pt>
                <c:pt idx="61">
                  <c:v>20.568000000000001</c:v>
                </c:pt>
                <c:pt idx="62">
                  <c:v>20.606000000000002</c:v>
                </c:pt>
                <c:pt idx="63">
                  <c:v>20.644000000000002</c:v>
                </c:pt>
                <c:pt idx="64">
                  <c:v>20.682000000000002</c:v>
                </c:pt>
                <c:pt idx="65">
                  <c:v>20.720000000000002</c:v>
                </c:pt>
                <c:pt idx="66">
                  <c:v>20.758000000000003</c:v>
                </c:pt>
                <c:pt idx="67">
                  <c:v>20.795999999999999</c:v>
                </c:pt>
                <c:pt idx="68">
                  <c:v>20.834</c:v>
                </c:pt>
                <c:pt idx="69">
                  <c:v>20.872</c:v>
                </c:pt>
                <c:pt idx="70">
                  <c:v>20.91</c:v>
                </c:pt>
                <c:pt idx="71">
                  <c:v>20.948</c:v>
                </c:pt>
                <c:pt idx="72">
                  <c:v>20.986000000000001</c:v>
                </c:pt>
                <c:pt idx="73">
                  <c:v>21.024000000000001</c:v>
                </c:pt>
                <c:pt idx="74">
                  <c:v>21.062000000000001</c:v>
                </c:pt>
                <c:pt idx="75">
                  <c:v>21.1</c:v>
                </c:pt>
                <c:pt idx="76">
                  <c:v>21.138000000000002</c:v>
                </c:pt>
                <c:pt idx="77">
                  <c:v>21.176000000000002</c:v>
                </c:pt>
                <c:pt idx="78">
                  <c:v>21.214000000000002</c:v>
                </c:pt>
                <c:pt idx="79">
                  <c:v>21.252000000000002</c:v>
                </c:pt>
                <c:pt idx="80">
                  <c:v>21.29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19.310333333333332</c:v>
                </c:pt>
                <c:pt idx="2">
                  <c:v>19.320666666666668</c:v>
                </c:pt>
                <c:pt idx="3">
                  <c:v>19.331</c:v>
                </c:pt>
                <c:pt idx="4">
                  <c:v>19.341333333333335</c:v>
                </c:pt>
                <c:pt idx="5">
                  <c:v>19.351666666666667</c:v>
                </c:pt>
                <c:pt idx="6">
                  <c:v>19.362000000000002</c:v>
                </c:pt>
                <c:pt idx="7">
                  <c:v>19.372333333333334</c:v>
                </c:pt>
                <c:pt idx="8">
                  <c:v>19.382666666666669</c:v>
                </c:pt>
                <c:pt idx="9">
                  <c:v>19.393000000000001</c:v>
                </c:pt>
                <c:pt idx="10">
                  <c:v>19.403333333333332</c:v>
                </c:pt>
                <c:pt idx="11">
                  <c:v>19.413666666666668</c:v>
                </c:pt>
                <c:pt idx="12">
                  <c:v>19.423999999999999</c:v>
                </c:pt>
                <c:pt idx="13">
                  <c:v>19.434333333333335</c:v>
                </c:pt>
                <c:pt idx="14">
                  <c:v>19.444666666666667</c:v>
                </c:pt>
                <c:pt idx="15">
                  <c:v>19.455000000000002</c:v>
                </c:pt>
                <c:pt idx="16">
                  <c:v>19.465333333333334</c:v>
                </c:pt>
                <c:pt idx="17">
                  <c:v>19.475666666666669</c:v>
                </c:pt>
                <c:pt idx="18">
                  <c:v>19.486000000000001</c:v>
                </c:pt>
                <c:pt idx="19">
                  <c:v>19.496333333333332</c:v>
                </c:pt>
                <c:pt idx="20">
                  <c:v>19.506666666666668</c:v>
                </c:pt>
                <c:pt idx="21">
                  <c:v>19.527333333333335</c:v>
                </c:pt>
                <c:pt idx="22">
                  <c:v>19.548000000000002</c:v>
                </c:pt>
                <c:pt idx="23">
                  <c:v>19.568666666666669</c:v>
                </c:pt>
                <c:pt idx="24">
                  <c:v>19.589333333333332</c:v>
                </c:pt>
                <c:pt idx="25">
                  <c:v>19.61</c:v>
                </c:pt>
                <c:pt idx="26">
                  <c:v>19.630666666666666</c:v>
                </c:pt>
                <c:pt idx="27">
                  <c:v>19.651333333333334</c:v>
                </c:pt>
                <c:pt idx="28">
                  <c:v>19.672000000000001</c:v>
                </c:pt>
                <c:pt idx="29">
                  <c:v>19.692666666666668</c:v>
                </c:pt>
                <c:pt idx="30">
                  <c:v>19.713333333333335</c:v>
                </c:pt>
                <c:pt idx="31">
                  <c:v>19.734000000000002</c:v>
                </c:pt>
                <c:pt idx="32">
                  <c:v>19.754666666666669</c:v>
                </c:pt>
                <c:pt idx="33">
                  <c:v>19.775333333333332</c:v>
                </c:pt>
                <c:pt idx="34">
                  <c:v>19.795999999999999</c:v>
                </c:pt>
                <c:pt idx="35">
                  <c:v>19.816666666666666</c:v>
                </c:pt>
                <c:pt idx="36">
                  <c:v>19.837333333333333</c:v>
                </c:pt>
                <c:pt idx="37">
                  <c:v>19.858000000000001</c:v>
                </c:pt>
                <c:pt idx="38">
                  <c:v>19.878666666666668</c:v>
                </c:pt>
                <c:pt idx="39">
                  <c:v>19.899333333333335</c:v>
                </c:pt>
                <c:pt idx="40">
                  <c:v>19.920000000000002</c:v>
                </c:pt>
                <c:pt idx="41">
                  <c:v>19.941500000000001</c:v>
                </c:pt>
                <c:pt idx="42">
                  <c:v>19.963000000000001</c:v>
                </c:pt>
                <c:pt idx="43">
                  <c:v>19.984500000000001</c:v>
                </c:pt>
                <c:pt idx="44">
                  <c:v>20.006</c:v>
                </c:pt>
                <c:pt idx="45">
                  <c:v>20.0275</c:v>
                </c:pt>
                <c:pt idx="46">
                  <c:v>20.048999999999999</c:v>
                </c:pt>
                <c:pt idx="47">
                  <c:v>20.070499999999999</c:v>
                </c:pt>
                <c:pt idx="48">
                  <c:v>20.091999999999999</c:v>
                </c:pt>
                <c:pt idx="49">
                  <c:v>20.113500000000002</c:v>
                </c:pt>
                <c:pt idx="50">
                  <c:v>20.135000000000002</c:v>
                </c:pt>
                <c:pt idx="51">
                  <c:v>20.156500000000001</c:v>
                </c:pt>
                <c:pt idx="52">
                  <c:v>20.178000000000001</c:v>
                </c:pt>
                <c:pt idx="53">
                  <c:v>20.1995</c:v>
                </c:pt>
                <c:pt idx="54">
                  <c:v>20.221</c:v>
                </c:pt>
                <c:pt idx="55">
                  <c:v>20.2425</c:v>
                </c:pt>
                <c:pt idx="56">
                  <c:v>20.263999999999999</c:v>
                </c:pt>
                <c:pt idx="57">
                  <c:v>20.285499999999999</c:v>
                </c:pt>
                <c:pt idx="58">
                  <c:v>20.306999999999999</c:v>
                </c:pt>
                <c:pt idx="59">
                  <c:v>20.328500000000002</c:v>
                </c:pt>
                <c:pt idx="60">
                  <c:v>20.350000000000001</c:v>
                </c:pt>
                <c:pt idx="61">
                  <c:v>20.371000000000002</c:v>
                </c:pt>
                <c:pt idx="62">
                  <c:v>20.391999999999999</c:v>
                </c:pt>
                <c:pt idx="63">
                  <c:v>20.413</c:v>
                </c:pt>
                <c:pt idx="64">
                  <c:v>20.434000000000001</c:v>
                </c:pt>
                <c:pt idx="65">
                  <c:v>20.455000000000002</c:v>
                </c:pt>
                <c:pt idx="66">
                  <c:v>20.475999999999999</c:v>
                </c:pt>
                <c:pt idx="67">
                  <c:v>20.497</c:v>
                </c:pt>
                <c:pt idx="68">
                  <c:v>20.518000000000001</c:v>
                </c:pt>
                <c:pt idx="69">
                  <c:v>20.539000000000001</c:v>
                </c:pt>
                <c:pt idx="70">
                  <c:v>20.56</c:v>
                </c:pt>
                <c:pt idx="71">
                  <c:v>20.581</c:v>
                </c:pt>
                <c:pt idx="72">
                  <c:v>20.602</c:v>
                </c:pt>
                <c:pt idx="73">
                  <c:v>20.623000000000001</c:v>
                </c:pt>
                <c:pt idx="74">
                  <c:v>20.643999999999998</c:v>
                </c:pt>
                <c:pt idx="75">
                  <c:v>20.664999999999999</c:v>
                </c:pt>
                <c:pt idx="76">
                  <c:v>20.686</c:v>
                </c:pt>
                <c:pt idx="77">
                  <c:v>20.707000000000001</c:v>
                </c:pt>
                <c:pt idx="78">
                  <c:v>20.727999999999998</c:v>
                </c:pt>
                <c:pt idx="79">
                  <c:v>20.748999999999999</c:v>
                </c:pt>
                <c:pt idx="80">
                  <c:v>20.77</c:v>
                </c:pt>
              </c:numCache>
            </c:numRef>
          </c:yVal>
          <c:smooth val="1"/>
        </c:ser>
        <c:dLbls/>
        <c:axId val="114607616"/>
        <c:axId val="114609536"/>
      </c:scatterChart>
      <c:valAx>
        <c:axId val="114607616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14609536"/>
        <c:crosses val="autoZero"/>
        <c:crossBetween val="midCat"/>
      </c:valAx>
      <c:valAx>
        <c:axId val="114609536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460761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MostLikely!$H$18:$H$98</c:f>
              <c:numCache>
                <c:formatCode>0.0000</c:formatCode>
                <c:ptCount val="81"/>
                <c:pt idx="0">
                  <c:v>0</c:v>
                </c:pt>
                <c:pt idx="1">
                  <c:v>9.8333333333333328E-3</c:v>
                </c:pt>
                <c:pt idx="2">
                  <c:v>1.9666666666666666E-2</c:v>
                </c:pt>
                <c:pt idx="3">
                  <c:v>2.9499999999999998E-2</c:v>
                </c:pt>
                <c:pt idx="4">
                  <c:v>3.9333333333333331E-2</c:v>
                </c:pt>
                <c:pt idx="5">
                  <c:v>4.9166666666666664E-2</c:v>
                </c:pt>
                <c:pt idx="6">
                  <c:v>5.8999999999999997E-2</c:v>
                </c:pt>
                <c:pt idx="7">
                  <c:v>6.883333333333333E-2</c:v>
                </c:pt>
                <c:pt idx="8">
                  <c:v>7.8666666666666663E-2</c:v>
                </c:pt>
                <c:pt idx="9">
                  <c:v>8.8499999999999995E-2</c:v>
                </c:pt>
                <c:pt idx="10">
                  <c:v>9.8333333333333328E-2</c:v>
                </c:pt>
                <c:pt idx="11">
                  <c:v>0.10816666666666666</c:v>
                </c:pt>
                <c:pt idx="12">
                  <c:v>0.11799999999999999</c:v>
                </c:pt>
                <c:pt idx="13">
                  <c:v>0.12783333333333333</c:v>
                </c:pt>
                <c:pt idx="14">
                  <c:v>0.13766666666666666</c:v>
                </c:pt>
                <c:pt idx="15">
                  <c:v>0.14749999999999999</c:v>
                </c:pt>
                <c:pt idx="16">
                  <c:v>0.15733333333333333</c:v>
                </c:pt>
                <c:pt idx="17">
                  <c:v>0.16716666666666666</c:v>
                </c:pt>
                <c:pt idx="18">
                  <c:v>0.17699999999999999</c:v>
                </c:pt>
                <c:pt idx="19">
                  <c:v>0.18683333333333332</c:v>
                </c:pt>
                <c:pt idx="20">
                  <c:v>0.19666666666666666</c:v>
                </c:pt>
                <c:pt idx="21">
                  <c:v>0.21633333333333332</c:v>
                </c:pt>
                <c:pt idx="22">
                  <c:v>0.23599999999999999</c:v>
                </c:pt>
                <c:pt idx="23">
                  <c:v>0.25566666666666665</c:v>
                </c:pt>
                <c:pt idx="24">
                  <c:v>0.27533333333333332</c:v>
                </c:pt>
                <c:pt idx="25">
                  <c:v>0.29499999999999998</c:v>
                </c:pt>
                <c:pt idx="26">
                  <c:v>0.31466666666666665</c:v>
                </c:pt>
                <c:pt idx="27">
                  <c:v>0.33433333333333332</c:v>
                </c:pt>
                <c:pt idx="28">
                  <c:v>0.35399999999999998</c:v>
                </c:pt>
                <c:pt idx="29">
                  <c:v>0.37366666666666665</c:v>
                </c:pt>
                <c:pt idx="30">
                  <c:v>0.39333333333333331</c:v>
                </c:pt>
                <c:pt idx="31">
                  <c:v>0.41299999999999998</c:v>
                </c:pt>
                <c:pt idx="32">
                  <c:v>0.43266666666666664</c:v>
                </c:pt>
                <c:pt idx="33">
                  <c:v>0.45233333333333331</c:v>
                </c:pt>
                <c:pt idx="34">
                  <c:v>0.47199999999999998</c:v>
                </c:pt>
                <c:pt idx="35">
                  <c:v>0.49166666666666664</c:v>
                </c:pt>
                <c:pt idx="36">
                  <c:v>0.51133333333333331</c:v>
                </c:pt>
                <c:pt idx="37">
                  <c:v>0.53099999999999992</c:v>
                </c:pt>
                <c:pt idx="38">
                  <c:v>0.55066666666666664</c:v>
                </c:pt>
                <c:pt idx="39">
                  <c:v>0.57033333333333336</c:v>
                </c:pt>
                <c:pt idx="40">
                  <c:v>0.59</c:v>
                </c:pt>
                <c:pt idx="41">
                  <c:v>0.622</c:v>
                </c:pt>
                <c:pt idx="42">
                  <c:v>0.65400000000000003</c:v>
                </c:pt>
                <c:pt idx="43">
                  <c:v>0.68600000000000005</c:v>
                </c:pt>
                <c:pt idx="44">
                  <c:v>0.71800000000000008</c:v>
                </c:pt>
                <c:pt idx="45">
                  <c:v>0.75000000000000011</c:v>
                </c:pt>
                <c:pt idx="46">
                  <c:v>0.78200000000000014</c:v>
                </c:pt>
                <c:pt idx="47">
                  <c:v>0.81400000000000017</c:v>
                </c:pt>
                <c:pt idx="48">
                  <c:v>0.8460000000000002</c:v>
                </c:pt>
                <c:pt idx="49">
                  <c:v>0.87800000000000022</c:v>
                </c:pt>
                <c:pt idx="50">
                  <c:v>0.91000000000000025</c:v>
                </c:pt>
                <c:pt idx="51">
                  <c:v>0.94200000000000028</c:v>
                </c:pt>
                <c:pt idx="52">
                  <c:v>0.97400000000000031</c:v>
                </c:pt>
                <c:pt idx="53">
                  <c:v>1.0060000000000002</c:v>
                </c:pt>
                <c:pt idx="54">
                  <c:v>1.0380000000000003</c:v>
                </c:pt>
                <c:pt idx="55">
                  <c:v>1.0700000000000003</c:v>
                </c:pt>
                <c:pt idx="56">
                  <c:v>1.1020000000000003</c:v>
                </c:pt>
                <c:pt idx="57">
                  <c:v>1.1340000000000003</c:v>
                </c:pt>
                <c:pt idx="58">
                  <c:v>1.1660000000000004</c:v>
                </c:pt>
                <c:pt idx="59">
                  <c:v>1.1980000000000004</c:v>
                </c:pt>
                <c:pt idx="60">
                  <c:v>1.23</c:v>
                </c:pt>
                <c:pt idx="61">
                  <c:v>1.268</c:v>
                </c:pt>
                <c:pt idx="62">
                  <c:v>1.306</c:v>
                </c:pt>
                <c:pt idx="63">
                  <c:v>1.3440000000000001</c:v>
                </c:pt>
                <c:pt idx="64">
                  <c:v>1.3820000000000001</c:v>
                </c:pt>
                <c:pt idx="65">
                  <c:v>1.4200000000000002</c:v>
                </c:pt>
                <c:pt idx="66">
                  <c:v>1.4580000000000002</c:v>
                </c:pt>
                <c:pt idx="67">
                  <c:v>1.4960000000000002</c:v>
                </c:pt>
                <c:pt idx="68">
                  <c:v>1.5340000000000003</c:v>
                </c:pt>
                <c:pt idx="69">
                  <c:v>1.5720000000000003</c:v>
                </c:pt>
                <c:pt idx="70">
                  <c:v>1.6100000000000003</c:v>
                </c:pt>
                <c:pt idx="71">
                  <c:v>1.6480000000000004</c:v>
                </c:pt>
                <c:pt idx="72">
                  <c:v>1.6860000000000004</c:v>
                </c:pt>
                <c:pt idx="73">
                  <c:v>1.7240000000000004</c:v>
                </c:pt>
                <c:pt idx="74">
                  <c:v>1.7620000000000005</c:v>
                </c:pt>
                <c:pt idx="75">
                  <c:v>1.8000000000000005</c:v>
                </c:pt>
                <c:pt idx="76">
                  <c:v>1.8380000000000005</c:v>
                </c:pt>
                <c:pt idx="77">
                  <c:v>1.8760000000000006</c:v>
                </c:pt>
                <c:pt idx="78">
                  <c:v>1.9140000000000006</c:v>
                </c:pt>
                <c:pt idx="79">
                  <c:v>1.9520000000000006</c:v>
                </c:pt>
                <c:pt idx="80">
                  <c:v>1.99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MostLikely!$I$18:$I$98</c:f>
              <c:numCache>
                <c:formatCode>0.0000</c:formatCode>
                <c:ptCount val="81"/>
                <c:pt idx="0">
                  <c:v>0</c:v>
                </c:pt>
                <c:pt idx="1">
                  <c:v>1.0333333333333333E-2</c:v>
                </c:pt>
                <c:pt idx="2">
                  <c:v>2.0666666666666667E-2</c:v>
                </c:pt>
                <c:pt idx="3">
                  <c:v>3.1E-2</c:v>
                </c:pt>
                <c:pt idx="4">
                  <c:v>4.1333333333333333E-2</c:v>
                </c:pt>
                <c:pt idx="5">
                  <c:v>5.1666666666666666E-2</c:v>
                </c:pt>
                <c:pt idx="6">
                  <c:v>6.2E-2</c:v>
                </c:pt>
                <c:pt idx="7">
                  <c:v>7.2333333333333333E-2</c:v>
                </c:pt>
                <c:pt idx="8">
                  <c:v>8.2666666666666666E-2</c:v>
                </c:pt>
                <c:pt idx="9">
                  <c:v>9.2999999999999999E-2</c:v>
                </c:pt>
                <c:pt idx="10">
                  <c:v>0.10333333333333333</c:v>
                </c:pt>
                <c:pt idx="11">
                  <c:v>0.11366666666666667</c:v>
                </c:pt>
                <c:pt idx="12">
                  <c:v>0.124</c:v>
                </c:pt>
                <c:pt idx="13">
                  <c:v>0.13433333333333333</c:v>
                </c:pt>
                <c:pt idx="14">
                  <c:v>0.14466666666666667</c:v>
                </c:pt>
                <c:pt idx="15">
                  <c:v>0.155</c:v>
                </c:pt>
                <c:pt idx="16">
                  <c:v>0.16533333333333333</c:v>
                </c:pt>
                <c:pt idx="17">
                  <c:v>0.17566666666666667</c:v>
                </c:pt>
                <c:pt idx="18">
                  <c:v>0.186</c:v>
                </c:pt>
                <c:pt idx="19">
                  <c:v>0.19633333333333333</c:v>
                </c:pt>
                <c:pt idx="20">
                  <c:v>0.20666666666666667</c:v>
                </c:pt>
                <c:pt idx="21">
                  <c:v>0.22733333333333333</c:v>
                </c:pt>
                <c:pt idx="22">
                  <c:v>0.248</c:v>
                </c:pt>
                <c:pt idx="23">
                  <c:v>0.26866666666666666</c:v>
                </c:pt>
                <c:pt idx="24">
                  <c:v>0.28933333333333333</c:v>
                </c:pt>
                <c:pt idx="25">
                  <c:v>0.31</c:v>
                </c:pt>
                <c:pt idx="26">
                  <c:v>0.33066666666666666</c:v>
                </c:pt>
                <c:pt idx="27">
                  <c:v>0.35133333333333333</c:v>
                </c:pt>
                <c:pt idx="28">
                  <c:v>0.372</c:v>
                </c:pt>
                <c:pt idx="29">
                  <c:v>0.39266666666666666</c:v>
                </c:pt>
                <c:pt idx="30">
                  <c:v>0.41333333333333333</c:v>
                </c:pt>
                <c:pt idx="31">
                  <c:v>0.434</c:v>
                </c:pt>
                <c:pt idx="32">
                  <c:v>0.45466666666666666</c:v>
                </c:pt>
                <c:pt idx="33">
                  <c:v>0.47533333333333333</c:v>
                </c:pt>
                <c:pt idx="34">
                  <c:v>0.496</c:v>
                </c:pt>
                <c:pt idx="35">
                  <c:v>0.51666666666666661</c:v>
                </c:pt>
                <c:pt idx="36">
                  <c:v>0.53733333333333322</c:v>
                </c:pt>
                <c:pt idx="37">
                  <c:v>0.55799999999999983</c:v>
                </c:pt>
                <c:pt idx="38">
                  <c:v>0.57866666666666644</c:v>
                </c:pt>
                <c:pt idx="39">
                  <c:v>0.59933333333333305</c:v>
                </c:pt>
                <c:pt idx="40">
                  <c:v>0.62</c:v>
                </c:pt>
                <c:pt idx="41">
                  <c:v>0.64149999999999996</c:v>
                </c:pt>
                <c:pt idx="42">
                  <c:v>0.66299999999999992</c:v>
                </c:pt>
                <c:pt idx="43">
                  <c:v>0.68449999999999989</c:v>
                </c:pt>
                <c:pt idx="44">
                  <c:v>0.70599999999999985</c:v>
                </c:pt>
                <c:pt idx="45">
                  <c:v>0.72749999999999981</c:v>
                </c:pt>
                <c:pt idx="46">
                  <c:v>0.74899999999999978</c:v>
                </c:pt>
                <c:pt idx="47">
                  <c:v>0.77049999999999974</c:v>
                </c:pt>
                <c:pt idx="48">
                  <c:v>0.7919999999999997</c:v>
                </c:pt>
                <c:pt idx="49">
                  <c:v>0.81349999999999967</c:v>
                </c:pt>
                <c:pt idx="50">
                  <c:v>0.83499999999999963</c:v>
                </c:pt>
                <c:pt idx="51">
                  <c:v>0.85649999999999959</c:v>
                </c:pt>
                <c:pt idx="52">
                  <c:v>0.87799999999999956</c:v>
                </c:pt>
                <c:pt idx="53">
                  <c:v>0.89949999999999952</c:v>
                </c:pt>
                <c:pt idx="54">
                  <c:v>0.92099999999999949</c:v>
                </c:pt>
                <c:pt idx="55">
                  <c:v>0.94249999999999945</c:v>
                </c:pt>
                <c:pt idx="56">
                  <c:v>0.96399999999999941</c:v>
                </c:pt>
                <c:pt idx="57">
                  <c:v>0.98549999999999938</c:v>
                </c:pt>
                <c:pt idx="58">
                  <c:v>1.0069999999999995</c:v>
                </c:pt>
                <c:pt idx="59">
                  <c:v>1.0284999999999995</c:v>
                </c:pt>
                <c:pt idx="60">
                  <c:v>1.05</c:v>
                </c:pt>
                <c:pt idx="61">
                  <c:v>1.071</c:v>
                </c:pt>
                <c:pt idx="62">
                  <c:v>1.0919999999999999</c:v>
                </c:pt>
                <c:pt idx="63">
                  <c:v>1.1129999999999998</c:v>
                </c:pt>
                <c:pt idx="64">
                  <c:v>1.1339999999999997</c:v>
                </c:pt>
                <c:pt idx="65">
                  <c:v>1.1549999999999996</c:v>
                </c:pt>
                <c:pt idx="66">
                  <c:v>1.1759999999999995</c:v>
                </c:pt>
                <c:pt idx="67">
                  <c:v>1.1969999999999994</c:v>
                </c:pt>
                <c:pt idx="68">
                  <c:v>1.2179999999999993</c:v>
                </c:pt>
                <c:pt idx="69">
                  <c:v>1.2389999999999992</c:v>
                </c:pt>
                <c:pt idx="70">
                  <c:v>1.2599999999999991</c:v>
                </c:pt>
                <c:pt idx="71">
                  <c:v>1.280999999999999</c:v>
                </c:pt>
                <c:pt idx="72">
                  <c:v>1.3019999999999989</c:v>
                </c:pt>
                <c:pt idx="73">
                  <c:v>1.3229999999999988</c:v>
                </c:pt>
                <c:pt idx="74">
                  <c:v>1.3439999999999988</c:v>
                </c:pt>
                <c:pt idx="75">
                  <c:v>1.3649999999999987</c:v>
                </c:pt>
                <c:pt idx="76">
                  <c:v>1.3859999999999986</c:v>
                </c:pt>
                <c:pt idx="77">
                  <c:v>1.4069999999999985</c:v>
                </c:pt>
                <c:pt idx="78">
                  <c:v>1.4279999999999984</c:v>
                </c:pt>
                <c:pt idx="79">
                  <c:v>1.4489999999999983</c:v>
                </c:pt>
                <c:pt idx="80">
                  <c:v>1.47</c:v>
                </c:pt>
              </c:numCache>
            </c:numRef>
          </c:yVal>
          <c:smooth val="1"/>
        </c:ser>
        <c:dLbls/>
        <c:axId val="123853056"/>
        <c:axId val="36446592"/>
      </c:scatterChart>
      <c:valAx>
        <c:axId val="12385305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36446592"/>
        <c:crosses val="autoZero"/>
        <c:crossBetween val="midCat"/>
      </c:valAx>
      <c:valAx>
        <c:axId val="364465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385305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MostLikely!$K$5:$K$9</c:f>
              <c:numCache>
                <c:formatCode>0.00</c:formatCode>
                <c:ptCount val="5"/>
              </c:numCache>
            </c:numRef>
          </c:yVal>
          <c:smooth val="1"/>
        </c:ser>
        <c:dLbls/>
        <c:axId val="36464128"/>
        <c:axId val="36466048"/>
      </c:scatterChart>
      <c:valAx>
        <c:axId val="3646412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36466048"/>
        <c:crosses val="autoZero"/>
        <c:crossBetween val="midCat"/>
      </c:valAx>
      <c:valAx>
        <c:axId val="364660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646412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MostLikely!$AB$18:$AB$98</c:f>
              <c:numCache>
                <c:formatCode>0.00</c:formatCode>
                <c:ptCount val="81"/>
              </c:numCache>
            </c:numRef>
          </c:yVal>
          <c:smooth val="1"/>
        </c:ser>
        <c:dLbls/>
        <c:axId val="112802432"/>
        <c:axId val="112812800"/>
      </c:scatterChart>
      <c:valAx>
        <c:axId val="112802432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12812800"/>
        <c:crosses val="autoZero"/>
        <c:crossBetween val="midCat"/>
      </c:valAx>
      <c:valAx>
        <c:axId val="11281280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80243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/>
        <c:axId val="123682816"/>
        <c:axId val="123684736"/>
      </c:scatterChart>
      <c:valAx>
        <c:axId val="12368281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3684736"/>
        <c:crosses val="autoZero"/>
        <c:crossBetween val="midCat"/>
      </c:valAx>
      <c:valAx>
        <c:axId val="1236847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368281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MostLikely!$L$5:$L$9</c:f>
              <c:numCache>
                <c:formatCode>0.00</c:formatCode>
                <c:ptCount val="5"/>
                <c:pt idx="0">
                  <c:v>0</c:v>
                </c:pt>
                <c:pt idx="1">
                  <c:v>0.19781283333333258</c:v>
                </c:pt>
                <c:pt idx="2">
                  <c:v>0.59343849999999776</c:v>
                </c:pt>
                <c:pt idx="3">
                  <c:v>1.2327420999999994</c:v>
                </c:pt>
                <c:pt idx="4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MostLikely!$M$5:$M$9</c:f>
              <c:numCache>
                <c:formatCode>0.00</c:formatCode>
                <c:ptCount val="5"/>
                <c:pt idx="0">
                  <c:v>0</c:v>
                </c:pt>
                <c:pt idx="1">
                  <c:v>0.20882103333333291</c:v>
                </c:pt>
                <c:pt idx="2">
                  <c:v>0.62646309999999872</c:v>
                </c:pt>
                <c:pt idx="3">
                  <c:v>1.0540587999999964</c:v>
                </c:pt>
                <c:pt idx="4">
                  <c:v>1.4705744000000003</c:v>
                </c:pt>
              </c:numCache>
            </c:numRef>
          </c:yVal>
          <c:smooth val="1"/>
        </c:ser>
        <c:dLbls/>
        <c:axId val="123714560"/>
        <c:axId val="123729024"/>
      </c:scatterChart>
      <c:valAx>
        <c:axId val="12371456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123729024"/>
        <c:crosses val="autoZero"/>
        <c:crossBetween val="midCat"/>
      </c:valAx>
      <c:valAx>
        <c:axId val="12372902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23714560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21.509890641666665</c:v>
                </c:pt>
                <c:pt idx="2">
                  <c:v>21.519781283333334</c:v>
                </c:pt>
                <c:pt idx="3">
                  <c:v>21.529671924999999</c:v>
                </c:pt>
                <c:pt idx="4">
                  <c:v>21.539562566666667</c:v>
                </c:pt>
                <c:pt idx="5">
                  <c:v>21.549453208333333</c:v>
                </c:pt>
                <c:pt idx="6">
                  <c:v>21.559343850000001</c:v>
                </c:pt>
                <c:pt idx="7">
                  <c:v>21.569234491666666</c:v>
                </c:pt>
                <c:pt idx="8">
                  <c:v>21.579125133333331</c:v>
                </c:pt>
                <c:pt idx="9">
                  <c:v>21.589015775</c:v>
                </c:pt>
                <c:pt idx="10">
                  <c:v>21.598906416666665</c:v>
                </c:pt>
                <c:pt idx="11">
                  <c:v>21.608797058333334</c:v>
                </c:pt>
                <c:pt idx="12">
                  <c:v>21.618687699999999</c:v>
                </c:pt>
                <c:pt idx="13">
                  <c:v>21.628578341666667</c:v>
                </c:pt>
                <c:pt idx="14">
                  <c:v>21.638468983333333</c:v>
                </c:pt>
                <c:pt idx="15">
                  <c:v>21.648359624999998</c:v>
                </c:pt>
                <c:pt idx="16">
                  <c:v>21.658250266666666</c:v>
                </c:pt>
                <c:pt idx="17">
                  <c:v>21.668140908333331</c:v>
                </c:pt>
                <c:pt idx="18">
                  <c:v>21.67803155</c:v>
                </c:pt>
                <c:pt idx="19">
                  <c:v>21.687922191666665</c:v>
                </c:pt>
                <c:pt idx="20">
                  <c:v>21.697812833333334</c:v>
                </c:pt>
                <c:pt idx="21">
                  <c:v>21.717594116666668</c:v>
                </c:pt>
                <c:pt idx="22">
                  <c:v>21.737375399999998</c:v>
                </c:pt>
                <c:pt idx="23">
                  <c:v>21.757156683333331</c:v>
                </c:pt>
                <c:pt idx="24">
                  <c:v>21.776937966666665</c:v>
                </c:pt>
                <c:pt idx="25">
                  <c:v>21.796719249999999</c:v>
                </c:pt>
                <c:pt idx="26">
                  <c:v>21.816500533333333</c:v>
                </c:pt>
                <c:pt idx="27">
                  <c:v>21.836281816666666</c:v>
                </c:pt>
                <c:pt idx="28">
                  <c:v>21.8560631</c:v>
                </c:pt>
                <c:pt idx="29">
                  <c:v>21.87584438333333</c:v>
                </c:pt>
                <c:pt idx="30">
                  <c:v>21.895625666666664</c:v>
                </c:pt>
                <c:pt idx="31">
                  <c:v>21.915406949999998</c:v>
                </c:pt>
                <c:pt idx="32">
                  <c:v>21.935188233333331</c:v>
                </c:pt>
                <c:pt idx="33">
                  <c:v>21.954969516666665</c:v>
                </c:pt>
                <c:pt idx="34">
                  <c:v>21.974750799999999</c:v>
                </c:pt>
                <c:pt idx="35">
                  <c:v>21.994532083333333</c:v>
                </c:pt>
                <c:pt idx="36">
                  <c:v>22.014313366666666</c:v>
                </c:pt>
                <c:pt idx="37">
                  <c:v>22.03409465</c:v>
                </c:pt>
                <c:pt idx="38">
                  <c:v>22.05387593333333</c:v>
                </c:pt>
                <c:pt idx="39">
                  <c:v>22.073657216666664</c:v>
                </c:pt>
                <c:pt idx="40">
                  <c:v>22.093438499999998</c:v>
                </c:pt>
                <c:pt idx="41">
                  <c:v>22.125403679999998</c:v>
                </c:pt>
                <c:pt idx="42">
                  <c:v>22.157368859999998</c:v>
                </c:pt>
                <c:pt idx="43">
                  <c:v>22.189334039999999</c:v>
                </c:pt>
                <c:pt idx="44">
                  <c:v>22.221299219999999</c:v>
                </c:pt>
                <c:pt idx="45">
                  <c:v>22.253264399999999</c:v>
                </c:pt>
                <c:pt idx="46">
                  <c:v>22.285229579999999</c:v>
                </c:pt>
                <c:pt idx="47">
                  <c:v>22.31719476</c:v>
                </c:pt>
                <c:pt idx="48">
                  <c:v>22.34915994</c:v>
                </c:pt>
                <c:pt idx="49">
                  <c:v>22.381125119999997</c:v>
                </c:pt>
                <c:pt idx="50">
                  <c:v>22.413090299999997</c:v>
                </c:pt>
                <c:pt idx="51">
                  <c:v>22.445055479999997</c:v>
                </c:pt>
                <c:pt idx="52">
                  <c:v>22.477020659999997</c:v>
                </c:pt>
                <c:pt idx="53">
                  <c:v>22.508985839999998</c:v>
                </c:pt>
                <c:pt idx="54">
                  <c:v>22.540951019999998</c:v>
                </c:pt>
                <c:pt idx="55">
                  <c:v>22.572916199999998</c:v>
                </c:pt>
                <c:pt idx="56">
                  <c:v>22.604881379999998</c:v>
                </c:pt>
                <c:pt idx="57">
                  <c:v>22.636846559999999</c:v>
                </c:pt>
                <c:pt idx="58">
                  <c:v>22.668811739999999</c:v>
                </c:pt>
                <c:pt idx="59">
                  <c:v>22.700776919999999</c:v>
                </c:pt>
                <c:pt idx="60">
                  <c:v>22.732742099999999</c:v>
                </c:pt>
                <c:pt idx="61">
                  <c:v>22.770643440000001</c:v>
                </c:pt>
                <c:pt idx="62">
                  <c:v>22.808544779999998</c:v>
                </c:pt>
                <c:pt idx="63">
                  <c:v>22.84644612</c:v>
                </c:pt>
                <c:pt idx="64">
                  <c:v>22.884347460000001</c:v>
                </c:pt>
                <c:pt idx="65">
                  <c:v>22.922248799999998</c:v>
                </c:pt>
                <c:pt idx="66">
                  <c:v>22.96015014</c:v>
                </c:pt>
                <c:pt idx="67">
                  <c:v>22.998051479999997</c:v>
                </c:pt>
                <c:pt idx="68">
                  <c:v>23.035952819999999</c:v>
                </c:pt>
                <c:pt idx="69">
                  <c:v>23.07385416</c:v>
                </c:pt>
                <c:pt idx="70">
                  <c:v>23.111755499999997</c:v>
                </c:pt>
                <c:pt idx="71">
                  <c:v>23.149656839999999</c:v>
                </c:pt>
                <c:pt idx="72">
                  <c:v>23.187558179999996</c:v>
                </c:pt>
                <c:pt idx="73">
                  <c:v>23.225459519999998</c:v>
                </c:pt>
                <c:pt idx="74">
                  <c:v>23.263360859999999</c:v>
                </c:pt>
                <c:pt idx="75">
                  <c:v>23.301262199999996</c:v>
                </c:pt>
                <c:pt idx="76">
                  <c:v>23.339163539999998</c:v>
                </c:pt>
                <c:pt idx="77">
                  <c:v>23.377064879999999</c:v>
                </c:pt>
                <c:pt idx="78">
                  <c:v>23.414966219999997</c:v>
                </c:pt>
                <c:pt idx="79">
                  <c:v>23.452867559999998</c:v>
                </c:pt>
                <c:pt idx="80">
                  <c:v>23.490768899999999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21.510441051666668</c:v>
                </c:pt>
                <c:pt idx="2">
                  <c:v>21.520882103333335</c:v>
                </c:pt>
                <c:pt idx="3">
                  <c:v>21.531323154999999</c:v>
                </c:pt>
                <c:pt idx="4">
                  <c:v>21.541764206666667</c:v>
                </c:pt>
                <c:pt idx="5">
                  <c:v>21.552205258333334</c:v>
                </c:pt>
                <c:pt idx="6">
                  <c:v>21.562646309999998</c:v>
                </c:pt>
                <c:pt idx="7">
                  <c:v>21.573087361666666</c:v>
                </c:pt>
                <c:pt idx="8">
                  <c:v>21.583528413333333</c:v>
                </c:pt>
                <c:pt idx="9">
                  <c:v>21.593969465000001</c:v>
                </c:pt>
                <c:pt idx="10">
                  <c:v>21.604410516666668</c:v>
                </c:pt>
                <c:pt idx="11">
                  <c:v>21.614851568333332</c:v>
                </c:pt>
                <c:pt idx="12">
                  <c:v>21.62529262</c:v>
                </c:pt>
                <c:pt idx="13">
                  <c:v>21.635733671666667</c:v>
                </c:pt>
                <c:pt idx="14">
                  <c:v>21.646174723333331</c:v>
                </c:pt>
                <c:pt idx="15">
                  <c:v>21.656615774999999</c:v>
                </c:pt>
                <c:pt idx="16">
                  <c:v>21.667056826666666</c:v>
                </c:pt>
                <c:pt idx="17">
                  <c:v>21.677497878333334</c:v>
                </c:pt>
                <c:pt idx="18">
                  <c:v>21.687938930000001</c:v>
                </c:pt>
                <c:pt idx="19">
                  <c:v>21.698379981666665</c:v>
                </c:pt>
                <c:pt idx="20">
                  <c:v>21.708821033333333</c:v>
                </c:pt>
                <c:pt idx="21">
                  <c:v>21.729703136666664</c:v>
                </c:pt>
                <c:pt idx="22">
                  <c:v>21.750585239999999</c:v>
                </c:pt>
                <c:pt idx="23">
                  <c:v>21.771467343333335</c:v>
                </c:pt>
                <c:pt idx="24">
                  <c:v>21.792349446666666</c:v>
                </c:pt>
                <c:pt idx="25">
                  <c:v>21.813231549999998</c:v>
                </c:pt>
                <c:pt idx="26">
                  <c:v>21.834113653333333</c:v>
                </c:pt>
                <c:pt idx="27">
                  <c:v>21.854995756666668</c:v>
                </c:pt>
                <c:pt idx="28">
                  <c:v>21.875877859999999</c:v>
                </c:pt>
                <c:pt idx="29">
                  <c:v>21.896759963333331</c:v>
                </c:pt>
                <c:pt idx="30">
                  <c:v>21.917642066666666</c:v>
                </c:pt>
                <c:pt idx="31">
                  <c:v>21.938524170000001</c:v>
                </c:pt>
                <c:pt idx="32">
                  <c:v>21.959406273333332</c:v>
                </c:pt>
                <c:pt idx="33">
                  <c:v>21.980288376666664</c:v>
                </c:pt>
                <c:pt idx="34">
                  <c:v>22.001170479999999</c:v>
                </c:pt>
                <c:pt idx="35">
                  <c:v>22.022052583333334</c:v>
                </c:pt>
                <c:pt idx="36">
                  <c:v>22.042934686666666</c:v>
                </c:pt>
                <c:pt idx="37">
                  <c:v>22.063816789999997</c:v>
                </c:pt>
                <c:pt idx="38">
                  <c:v>22.084698893333332</c:v>
                </c:pt>
                <c:pt idx="39">
                  <c:v>22.105580996666667</c:v>
                </c:pt>
                <c:pt idx="40">
                  <c:v>22.126463099999999</c:v>
                </c:pt>
                <c:pt idx="41">
                  <c:v>22.147842884999999</c:v>
                </c:pt>
                <c:pt idx="42">
                  <c:v>22.16922267</c:v>
                </c:pt>
                <c:pt idx="43">
                  <c:v>22.190602454999997</c:v>
                </c:pt>
                <c:pt idx="44">
                  <c:v>22.211982239999998</c:v>
                </c:pt>
                <c:pt idx="45">
                  <c:v>22.233362024999998</c:v>
                </c:pt>
                <c:pt idx="46">
                  <c:v>22.254741809999999</c:v>
                </c:pt>
                <c:pt idx="47">
                  <c:v>22.276121594999999</c:v>
                </c:pt>
                <c:pt idx="48">
                  <c:v>22.29750138</c:v>
                </c:pt>
                <c:pt idx="49">
                  <c:v>22.318881164999997</c:v>
                </c:pt>
                <c:pt idx="50">
                  <c:v>22.340260949999998</c:v>
                </c:pt>
                <c:pt idx="51">
                  <c:v>22.361640734999998</c:v>
                </c:pt>
                <c:pt idx="52">
                  <c:v>22.383020519999999</c:v>
                </c:pt>
                <c:pt idx="53">
                  <c:v>22.404400304999999</c:v>
                </c:pt>
                <c:pt idx="54">
                  <c:v>22.425780089999996</c:v>
                </c:pt>
                <c:pt idx="55">
                  <c:v>22.447159874999997</c:v>
                </c:pt>
                <c:pt idx="56">
                  <c:v>22.468539659999998</c:v>
                </c:pt>
                <c:pt idx="57">
                  <c:v>22.489919444999998</c:v>
                </c:pt>
                <c:pt idx="58">
                  <c:v>22.511299229999999</c:v>
                </c:pt>
                <c:pt idx="59">
                  <c:v>22.532679014999996</c:v>
                </c:pt>
                <c:pt idx="60">
                  <c:v>22.554058799999996</c:v>
                </c:pt>
                <c:pt idx="61">
                  <c:v>22.574884579999996</c:v>
                </c:pt>
                <c:pt idx="62">
                  <c:v>22.595710359999998</c:v>
                </c:pt>
                <c:pt idx="63">
                  <c:v>22.616536139999997</c:v>
                </c:pt>
                <c:pt idx="64">
                  <c:v>22.637361919999996</c:v>
                </c:pt>
                <c:pt idx="65">
                  <c:v>22.658187699999999</c:v>
                </c:pt>
                <c:pt idx="66">
                  <c:v>22.679013479999998</c:v>
                </c:pt>
                <c:pt idx="67">
                  <c:v>22.699839259999997</c:v>
                </c:pt>
                <c:pt idx="68">
                  <c:v>22.72066504</c:v>
                </c:pt>
                <c:pt idx="69">
                  <c:v>22.741490819999999</c:v>
                </c:pt>
                <c:pt idx="70">
                  <c:v>22.762316599999998</c:v>
                </c:pt>
                <c:pt idx="71">
                  <c:v>22.783142379999997</c:v>
                </c:pt>
                <c:pt idx="72">
                  <c:v>22.80396816</c:v>
                </c:pt>
                <c:pt idx="73">
                  <c:v>22.824793939999999</c:v>
                </c:pt>
                <c:pt idx="74">
                  <c:v>22.845619719999998</c:v>
                </c:pt>
                <c:pt idx="75">
                  <c:v>22.866445500000001</c:v>
                </c:pt>
                <c:pt idx="76">
                  <c:v>22.88727128</c:v>
                </c:pt>
                <c:pt idx="77">
                  <c:v>22.908097059999999</c:v>
                </c:pt>
                <c:pt idx="78">
                  <c:v>22.928922840000002</c:v>
                </c:pt>
                <c:pt idx="79">
                  <c:v>22.949748620000001</c:v>
                </c:pt>
                <c:pt idx="80">
                  <c:v>22.9705744</c:v>
                </c:pt>
              </c:numCache>
            </c:numRef>
          </c:yVal>
          <c:smooth val="1"/>
        </c:ser>
        <c:dLbls/>
        <c:axId val="5389696"/>
        <c:axId val="5412352"/>
      </c:scatterChart>
      <c:valAx>
        <c:axId val="5389696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5412352"/>
        <c:crosses val="autoZero"/>
        <c:crossBetween val="midCat"/>
      </c:valAx>
      <c:valAx>
        <c:axId val="541235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538969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MostLikely!$L$18:$L$98</c:f>
              <c:numCache>
                <c:formatCode>0.0000</c:formatCode>
                <c:ptCount val="81"/>
                <c:pt idx="0">
                  <c:v>0</c:v>
                </c:pt>
                <c:pt idx="1">
                  <c:v>9.8906416666666285E-3</c:v>
                </c:pt>
                <c:pt idx="2">
                  <c:v>1.9781283333333257E-2</c:v>
                </c:pt>
                <c:pt idx="3">
                  <c:v>2.9671924999999884E-2</c:v>
                </c:pt>
                <c:pt idx="4">
                  <c:v>3.9562566666666514E-2</c:v>
                </c:pt>
                <c:pt idx="5">
                  <c:v>4.9453208333333144E-2</c:v>
                </c:pt>
                <c:pt idx="6">
                  <c:v>5.9343849999999775E-2</c:v>
                </c:pt>
                <c:pt idx="7">
                  <c:v>6.9234491666666398E-2</c:v>
                </c:pt>
                <c:pt idx="8">
                  <c:v>7.9125133333333028E-2</c:v>
                </c:pt>
                <c:pt idx="9">
                  <c:v>8.9015774999999658E-2</c:v>
                </c:pt>
                <c:pt idx="10">
                  <c:v>9.8906416666666289E-2</c:v>
                </c:pt>
                <c:pt idx="11">
                  <c:v>0.10879705833333292</c:v>
                </c:pt>
                <c:pt idx="12">
                  <c:v>0.11868769999999955</c:v>
                </c:pt>
                <c:pt idx="13">
                  <c:v>0.12857834166666618</c:v>
                </c:pt>
                <c:pt idx="14">
                  <c:v>0.1384689833333328</c:v>
                </c:pt>
                <c:pt idx="15">
                  <c:v>0.14835962499999941</c:v>
                </c:pt>
                <c:pt idx="16">
                  <c:v>0.15825026666666603</c:v>
                </c:pt>
                <c:pt idx="17">
                  <c:v>0.16814090833333264</c:v>
                </c:pt>
                <c:pt idx="18">
                  <c:v>0.17803154999999926</c:v>
                </c:pt>
                <c:pt idx="19">
                  <c:v>0.18792219166666588</c:v>
                </c:pt>
                <c:pt idx="20">
                  <c:v>0.19781283333333258</c:v>
                </c:pt>
                <c:pt idx="21">
                  <c:v>0.21759411666666584</c:v>
                </c:pt>
                <c:pt idx="22">
                  <c:v>0.2373753999999991</c:v>
                </c:pt>
                <c:pt idx="23">
                  <c:v>0.25715668333333236</c:v>
                </c:pt>
                <c:pt idx="24">
                  <c:v>0.27693796666666559</c:v>
                </c:pt>
                <c:pt idx="25">
                  <c:v>0.29671924999999888</c:v>
                </c:pt>
                <c:pt idx="26">
                  <c:v>0.31650053333333217</c:v>
                </c:pt>
                <c:pt idx="27">
                  <c:v>0.33628181666666546</c:v>
                </c:pt>
                <c:pt idx="28">
                  <c:v>0.35606309999999874</c:v>
                </c:pt>
                <c:pt idx="29">
                  <c:v>0.37584438333333203</c:v>
                </c:pt>
                <c:pt idx="30">
                  <c:v>0.39562566666666532</c:v>
                </c:pt>
                <c:pt idx="31">
                  <c:v>0.41540694999999861</c:v>
                </c:pt>
                <c:pt idx="32">
                  <c:v>0.4351882333333319</c:v>
                </c:pt>
                <c:pt idx="33">
                  <c:v>0.45496951666666519</c:v>
                </c:pt>
                <c:pt idx="34">
                  <c:v>0.47475079999999847</c:v>
                </c:pt>
                <c:pt idx="35">
                  <c:v>0.49453208333333176</c:v>
                </c:pt>
                <c:pt idx="36">
                  <c:v>0.51431336666666505</c:v>
                </c:pt>
                <c:pt idx="37">
                  <c:v>0.53409464999999834</c:v>
                </c:pt>
                <c:pt idx="38">
                  <c:v>0.55387593333333163</c:v>
                </c:pt>
                <c:pt idx="39">
                  <c:v>0.57365721666666492</c:v>
                </c:pt>
                <c:pt idx="40">
                  <c:v>0.59343849999999776</c:v>
                </c:pt>
                <c:pt idx="41">
                  <c:v>0.6254036799999978</c:v>
                </c:pt>
                <c:pt idx="42">
                  <c:v>0.65736885999999783</c:v>
                </c:pt>
                <c:pt idx="43">
                  <c:v>0.68933403999999787</c:v>
                </c:pt>
                <c:pt idx="44">
                  <c:v>0.72129921999999791</c:v>
                </c:pt>
                <c:pt idx="45">
                  <c:v>0.75326439999999795</c:v>
                </c:pt>
                <c:pt idx="46">
                  <c:v>0.78522957999999798</c:v>
                </c:pt>
                <c:pt idx="47">
                  <c:v>0.81719475999999802</c:v>
                </c:pt>
                <c:pt idx="48">
                  <c:v>0.84915993999999806</c:v>
                </c:pt>
                <c:pt idx="49">
                  <c:v>0.8811251199999981</c:v>
                </c:pt>
                <c:pt idx="50">
                  <c:v>0.91309029999999813</c:v>
                </c:pt>
                <c:pt idx="51">
                  <c:v>0.94505547999999817</c:v>
                </c:pt>
                <c:pt idx="52">
                  <c:v>0.97702065999999821</c:v>
                </c:pt>
                <c:pt idx="53">
                  <c:v>1.0089858399999982</c:v>
                </c:pt>
                <c:pt idx="54">
                  <c:v>1.0409510199999983</c:v>
                </c:pt>
                <c:pt idx="55">
                  <c:v>1.0729161999999983</c:v>
                </c:pt>
                <c:pt idx="56">
                  <c:v>1.1048813799999984</c:v>
                </c:pt>
                <c:pt idx="57">
                  <c:v>1.1368465599999984</c:v>
                </c:pt>
                <c:pt idx="58">
                  <c:v>1.1688117399999984</c:v>
                </c:pt>
                <c:pt idx="59">
                  <c:v>1.2007769199999985</c:v>
                </c:pt>
                <c:pt idx="60">
                  <c:v>1.2327420999999994</c:v>
                </c:pt>
                <c:pt idx="61">
                  <c:v>1.2706434399999993</c:v>
                </c:pt>
                <c:pt idx="62">
                  <c:v>1.3085447799999992</c:v>
                </c:pt>
                <c:pt idx="63">
                  <c:v>1.3464461199999991</c:v>
                </c:pt>
                <c:pt idx="64">
                  <c:v>1.384347459999999</c:v>
                </c:pt>
                <c:pt idx="65">
                  <c:v>1.4222487999999989</c:v>
                </c:pt>
                <c:pt idx="66">
                  <c:v>1.4601501399999988</c:v>
                </c:pt>
                <c:pt idx="67">
                  <c:v>1.4980514799999987</c:v>
                </c:pt>
                <c:pt idx="68">
                  <c:v>1.5359528199999986</c:v>
                </c:pt>
                <c:pt idx="69">
                  <c:v>1.5738541599999984</c:v>
                </c:pt>
                <c:pt idx="70">
                  <c:v>1.6117554999999983</c:v>
                </c:pt>
                <c:pt idx="71">
                  <c:v>1.6496568399999982</c:v>
                </c:pt>
                <c:pt idx="72">
                  <c:v>1.6875581799999981</c:v>
                </c:pt>
                <c:pt idx="73">
                  <c:v>1.725459519999998</c:v>
                </c:pt>
                <c:pt idx="74">
                  <c:v>1.7633608599999979</c:v>
                </c:pt>
                <c:pt idx="75">
                  <c:v>1.8012621999999978</c:v>
                </c:pt>
                <c:pt idx="76">
                  <c:v>1.8391635399999977</c:v>
                </c:pt>
                <c:pt idx="77">
                  <c:v>1.8770648799999976</c:v>
                </c:pt>
                <c:pt idx="78">
                  <c:v>1.9149662199999975</c:v>
                </c:pt>
                <c:pt idx="79">
                  <c:v>1.9528675599999974</c:v>
                </c:pt>
                <c:pt idx="80">
                  <c:v>1.9907688999999991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MostLikely!$M$18:$M$98</c:f>
              <c:numCache>
                <c:formatCode>0.0000</c:formatCode>
                <c:ptCount val="81"/>
                <c:pt idx="0">
                  <c:v>0</c:v>
                </c:pt>
                <c:pt idx="1">
                  <c:v>1.0441051666666645E-2</c:v>
                </c:pt>
                <c:pt idx="2">
                  <c:v>2.0882103333333291E-2</c:v>
                </c:pt>
                <c:pt idx="3">
                  <c:v>3.1323154999999936E-2</c:v>
                </c:pt>
                <c:pt idx="4">
                  <c:v>4.1764206666666581E-2</c:v>
                </c:pt>
                <c:pt idx="5">
                  <c:v>5.2205258333333227E-2</c:v>
                </c:pt>
                <c:pt idx="6">
                  <c:v>6.2646309999999872E-2</c:v>
                </c:pt>
                <c:pt idx="7">
                  <c:v>7.3087361666666517E-2</c:v>
                </c:pt>
                <c:pt idx="8">
                  <c:v>8.3528413333333162E-2</c:v>
                </c:pt>
                <c:pt idx="9">
                  <c:v>9.3969464999999808E-2</c:v>
                </c:pt>
                <c:pt idx="10">
                  <c:v>0.10441051666666645</c:v>
                </c:pt>
                <c:pt idx="11">
                  <c:v>0.1148515683333331</c:v>
                </c:pt>
                <c:pt idx="12">
                  <c:v>0.12529261999999974</c:v>
                </c:pt>
                <c:pt idx="13">
                  <c:v>0.13573367166666639</c:v>
                </c:pt>
                <c:pt idx="14">
                  <c:v>0.14617472333333303</c:v>
                </c:pt>
                <c:pt idx="15">
                  <c:v>0.15661577499999968</c:v>
                </c:pt>
                <c:pt idx="16">
                  <c:v>0.16705682666666632</c:v>
                </c:pt>
                <c:pt idx="17">
                  <c:v>0.17749787833333297</c:v>
                </c:pt>
                <c:pt idx="18">
                  <c:v>0.18793892999999962</c:v>
                </c:pt>
                <c:pt idx="19">
                  <c:v>0.19837998166666626</c:v>
                </c:pt>
                <c:pt idx="20">
                  <c:v>0.20882103333333291</c:v>
                </c:pt>
                <c:pt idx="21">
                  <c:v>0.2297031366666662</c:v>
                </c:pt>
                <c:pt idx="22">
                  <c:v>0.25058523999999949</c:v>
                </c:pt>
                <c:pt idx="23">
                  <c:v>0.27146734333333278</c:v>
                </c:pt>
                <c:pt idx="24">
                  <c:v>0.29234944666666607</c:v>
                </c:pt>
                <c:pt idx="25">
                  <c:v>0.31323154999999936</c:v>
                </c:pt>
                <c:pt idx="26">
                  <c:v>0.33411365333333265</c:v>
                </c:pt>
                <c:pt idx="27">
                  <c:v>0.35499575666666594</c:v>
                </c:pt>
                <c:pt idx="28">
                  <c:v>0.37587785999999923</c:v>
                </c:pt>
                <c:pt idx="29">
                  <c:v>0.39675996333333252</c:v>
                </c:pt>
                <c:pt idx="30">
                  <c:v>0.41764206666666581</c:v>
                </c:pt>
                <c:pt idx="31">
                  <c:v>0.4385241699999991</c:v>
                </c:pt>
                <c:pt idx="32">
                  <c:v>0.45940627333333239</c:v>
                </c:pt>
                <c:pt idx="33">
                  <c:v>0.48028837666666568</c:v>
                </c:pt>
                <c:pt idx="34">
                  <c:v>0.50117047999999897</c:v>
                </c:pt>
                <c:pt idx="35">
                  <c:v>0.52205258333333227</c:v>
                </c:pt>
                <c:pt idx="36">
                  <c:v>0.54293468666666556</c:v>
                </c:pt>
                <c:pt idx="37">
                  <c:v>0.56381678999999885</c:v>
                </c:pt>
                <c:pt idx="38">
                  <c:v>0.58469889333333214</c:v>
                </c:pt>
                <c:pt idx="39">
                  <c:v>0.60558099666666543</c:v>
                </c:pt>
                <c:pt idx="40">
                  <c:v>0.62646309999999872</c:v>
                </c:pt>
                <c:pt idx="41">
                  <c:v>0.64784288499999865</c:v>
                </c:pt>
                <c:pt idx="42">
                  <c:v>0.66922266999999858</c:v>
                </c:pt>
                <c:pt idx="43">
                  <c:v>0.69060245499999851</c:v>
                </c:pt>
                <c:pt idx="44">
                  <c:v>0.71198223999999843</c:v>
                </c:pt>
                <c:pt idx="45">
                  <c:v>0.73336202499999836</c:v>
                </c:pt>
                <c:pt idx="46">
                  <c:v>0.75474180999999829</c:v>
                </c:pt>
                <c:pt idx="47">
                  <c:v>0.77612159499999822</c:v>
                </c:pt>
                <c:pt idx="48">
                  <c:v>0.79750137999999815</c:v>
                </c:pt>
                <c:pt idx="49">
                  <c:v>0.81888116499999808</c:v>
                </c:pt>
                <c:pt idx="50">
                  <c:v>0.84026094999999801</c:v>
                </c:pt>
                <c:pt idx="51">
                  <c:v>0.86164073499999794</c:v>
                </c:pt>
                <c:pt idx="52">
                  <c:v>0.88302051999999787</c:v>
                </c:pt>
                <c:pt idx="53">
                  <c:v>0.9044003049999978</c:v>
                </c:pt>
                <c:pt idx="54">
                  <c:v>0.92578008999999772</c:v>
                </c:pt>
                <c:pt idx="55">
                  <c:v>0.94715987499999765</c:v>
                </c:pt>
                <c:pt idx="56">
                  <c:v>0.96853965999999758</c:v>
                </c:pt>
                <c:pt idx="57">
                  <c:v>0.98991944499999751</c:v>
                </c:pt>
                <c:pt idx="58">
                  <c:v>1.0112992299999974</c:v>
                </c:pt>
                <c:pt idx="59">
                  <c:v>1.0326790149999974</c:v>
                </c:pt>
                <c:pt idx="60">
                  <c:v>1.0540587999999964</c:v>
                </c:pt>
                <c:pt idx="61">
                  <c:v>1.0748845799999966</c:v>
                </c:pt>
                <c:pt idx="62">
                  <c:v>1.0957103599999969</c:v>
                </c:pt>
                <c:pt idx="63">
                  <c:v>1.1165361399999971</c:v>
                </c:pt>
                <c:pt idx="64">
                  <c:v>1.1373619199999974</c:v>
                </c:pt>
                <c:pt idx="65">
                  <c:v>1.1581876999999976</c:v>
                </c:pt>
                <c:pt idx="66">
                  <c:v>1.1790134799999978</c:v>
                </c:pt>
                <c:pt idx="67">
                  <c:v>1.1998392599999981</c:v>
                </c:pt>
                <c:pt idx="68">
                  <c:v>1.2206650399999983</c:v>
                </c:pt>
                <c:pt idx="69">
                  <c:v>1.2414908199999986</c:v>
                </c:pt>
                <c:pt idx="70">
                  <c:v>1.2623165999999988</c:v>
                </c:pt>
                <c:pt idx="71">
                  <c:v>1.283142379999999</c:v>
                </c:pt>
                <c:pt idx="72">
                  <c:v>1.3039681599999993</c:v>
                </c:pt>
                <c:pt idx="73">
                  <c:v>1.3247939399999995</c:v>
                </c:pt>
                <c:pt idx="74">
                  <c:v>1.3456197199999997</c:v>
                </c:pt>
                <c:pt idx="75">
                  <c:v>1.3664455</c:v>
                </c:pt>
                <c:pt idx="76">
                  <c:v>1.3872712800000002</c:v>
                </c:pt>
                <c:pt idx="77">
                  <c:v>1.4080970600000005</c:v>
                </c:pt>
                <c:pt idx="78">
                  <c:v>1.4289228400000007</c:v>
                </c:pt>
                <c:pt idx="79">
                  <c:v>1.4497486200000009</c:v>
                </c:pt>
                <c:pt idx="80">
                  <c:v>1.4705744000000003</c:v>
                </c:pt>
              </c:numCache>
            </c:numRef>
          </c:yVal>
          <c:smooth val="1"/>
        </c:ser>
        <c:dLbls/>
        <c:axId val="35881344"/>
        <c:axId val="35883264"/>
      </c:scatterChart>
      <c:valAx>
        <c:axId val="3588134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35883264"/>
        <c:crosses val="autoZero"/>
        <c:crossBetween val="midCat"/>
      </c:valAx>
      <c:valAx>
        <c:axId val="3588326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3588134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MostLikely!$N$5:$N$9</c:f>
              <c:numCache>
                <c:formatCode>General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MostLikely!$O$5:$O$9</c:f>
              <c:numCache>
                <c:formatCode>General</c:formatCode>
                <c:ptCount val="5"/>
              </c:numCache>
            </c:numRef>
          </c:yVal>
          <c:smooth val="1"/>
        </c:ser>
        <c:dLbls/>
        <c:axId val="5455232"/>
        <c:axId val="5477888"/>
      </c:scatterChart>
      <c:valAx>
        <c:axId val="545523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5477888"/>
        <c:crosses val="autoZero"/>
        <c:crossBetween val="midCat"/>
      </c:valAx>
      <c:valAx>
        <c:axId val="54778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545523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MostLikely!$AF$18:$AF$98</c:f>
              <c:numCache>
                <c:formatCode>0.00</c:formatCode>
                <c:ptCount val="81"/>
              </c:numCache>
            </c:numRef>
          </c:yVal>
          <c:smooth val="1"/>
        </c:ser>
        <c:dLbls/>
        <c:axId val="47408256"/>
        <c:axId val="47410176"/>
      </c:scatterChart>
      <c:valAx>
        <c:axId val="47408256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47410176"/>
        <c:crosses val="autoZero"/>
        <c:crossBetween val="midCat"/>
      </c:valAx>
      <c:valAx>
        <c:axId val="47410176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4740825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/>
        <c:axId val="47322624"/>
        <c:axId val="47324544"/>
      </c:scatterChart>
      <c:valAx>
        <c:axId val="4732262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47324544"/>
        <c:crosses val="autoZero"/>
        <c:crossBetween val="midCat"/>
      </c:valAx>
      <c:valAx>
        <c:axId val="4732454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4732262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MostLikely!$Q$4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/>
        <c:axId val="47448832"/>
        <c:axId val="47450752"/>
      </c:scatterChart>
      <c:valAx>
        <c:axId val="4744883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47450752"/>
        <c:crosses val="autoZero"/>
        <c:crossBetween val="midCat"/>
      </c:valAx>
      <c:valAx>
        <c:axId val="47450752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4744883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'Hotter&amp;Drier'!$B$5:$B$9</c:f>
              <c:numCache>
                <c:formatCode>0.00</c:formatCode>
                <c:ptCount val="5"/>
                <c:pt idx="0">
                  <c:v>0</c:v>
                </c:pt>
                <c:pt idx="1">
                  <c:v>0.39999999999999997</c:v>
                </c:pt>
                <c:pt idx="2">
                  <c:v>1.2</c:v>
                </c:pt>
                <c:pt idx="3">
                  <c:v>2.9</c:v>
                </c:pt>
                <c:pt idx="4">
                  <c:v>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'Hotter&amp;Drier'!$C$5:$C$9</c:f>
              <c:numCache>
                <c:formatCode>0.00</c:formatCode>
                <c:ptCount val="5"/>
                <c:pt idx="0">
                  <c:v>0</c:v>
                </c:pt>
                <c:pt idx="1">
                  <c:v>0.39999999999999997</c:v>
                </c:pt>
                <c:pt idx="2">
                  <c:v>1.2</c:v>
                </c:pt>
                <c:pt idx="3">
                  <c:v>2.2999999999999998</c:v>
                </c:pt>
                <c:pt idx="4">
                  <c:v>2.9</c:v>
                </c:pt>
              </c:numCache>
            </c:numRef>
          </c:yVal>
          <c:smooth val="1"/>
        </c:ser>
        <c:dLbls/>
        <c:axId val="47547136"/>
        <c:axId val="47549056"/>
      </c:scatterChart>
      <c:valAx>
        <c:axId val="4754713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47549056"/>
        <c:crosses val="autoZero"/>
        <c:crossBetween val="midCat"/>
      </c:valAx>
      <c:valAx>
        <c:axId val="47549056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4754713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'Hotter&amp;Drier'!$F$5:$F$9</c:f>
              <c:numCache>
                <c:formatCode>0.00</c:formatCode>
                <c:ptCount val="5"/>
                <c:pt idx="0">
                  <c:v>0</c:v>
                </c:pt>
                <c:pt idx="1">
                  <c:v>-0.8666666666666667</c:v>
                </c:pt>
                <c:pt idx="2">
                  <c:v>-2.6</c:v>
                </c:pt>
                <c:pt idx="3">
                  <c:v>-6.3</c:v>
                </c:pt>
                <c:pt idx="4">
                  <c:v>-8.6999999999999993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'Hotter&amp;Drier'!$G$5:$G$9</c:f>
              <c:numCache>
                <c:formatCode>0.00</c:formatCode>
                <c:ptCount val="5"/>
                <c:pt idx="0">
                  <c:v>0</c:v>
                </c:pt>
                <c:pt idx="1">
                  <c:v>-0.9</c:v>
                </c:pt>
                <c:pt idx="2">
                  <c:v>-2.7</c:v>
                </c:pt>
                <c:pt idx="3">
                  <c:v>-5</c:v>
                </c:pt>
                <c:pt idx="4">
                  <c:v>-6.4</c:v>
                </c:pt>
              </c:numCache>
            </c:numRef>
          </c:yVal>
          <c:smooth val="1"/>
        </c:ser>
        <c:dLbls/>
        <c:axId val="47788032"/>
        <c:axId val="47789952"/>
      </c:scatterChart>
      <c:valAx>
        <c:axId val="4778803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47789952"/>
        <c:crosses val="autoZero"/>
        <c:crossBetween val="midCat"/>
      </c:valAx>
      <c:valAx>
        <c:axId val="4778995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4778803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'Hotter&amp;Drier'!$S$18:$S$98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16.419999999999998</c:v>
                </c:pt>
                <c:pt idx="2">
                  <c:v>16.439999999999998</c:v>
                </c:pt>
                <c:pt idx="3">
                  <c:v>16.459999999999997</c:v>
                </c:pt>
                <c:pt idx="4">
                  <c:v>16.479999999999997</c:v>
                </c:pt>
                <c:pt idx="5">
                  <c:v>16.5</c:v>
                </c:pt>
                <c:pt idx="6">
                  <c:v>16.52</c:v>
                </c:pt>
                <c:pt idx="7">
                  <c:v>16.54</c:v>
                </c:pt>
                <c:pt idx="8">
                  <c:v>16.559999999999999</c:v>
                </c:pt>
                <c:pt idx="9">
                  <c:v>16.579999999999998</c:v>
                </c:pt>
                <c:pt idx="10">
                  <c:v>16.599999999999998</c:v>
                </c:pt>
                <c:pt idx="11">
                  <c:v>16.619999999999997</c:v>
                </c:pt>
                <c:pt idx="12">
                  <c:v>16.639999999999997</c:v>
                </c:pt>
                <c:pt idx="13">
                  <c:v>16.66</c:v>
                </c:pt>
                <c:pt idx="14">
                  <c:v>16.68</c:v>
                </c:pt>
                <c:pt idx="15">
                  <c:v>16.7</c:v>
                </c:pt>
                <c:pt idx="16">
                  <c:v>16.72</c:v>
                </c:pt>
                <c:pt idx="17">
                  <c:v>16.739999999999998</c:v>
                </c:pt>
                <c:pt idx="18">
                  <c:v>16.759999999999998</c:v>
                </c:pt>
                <c:pt idx="19">
                  <c:v>16.779999999999998</c:v>
                </c:pt>
                <c:pt idx="20">
                  <c:v>16.799999999999997</c:v>
                </c:pt>
                <c:pt idx="21">
                  <c:v>16.84</c:v>
                </c:pt>
                <c:pt idx="22">
                  <c:v>16.88</c:v>
                </c:pt>
                <c:pt idx="23">
                  <c:v>16.919999999999998</c:v>
                </c:pt>
                <c:pt idx="24">
                  <c:v>16.959999999999997</c:v>
                </c:pt>
                <c:pt idx="25">
                  <c:v>17</c:v>
                </c:pt>
                <c:pt idx="26">
                  <c:v>17.04</c:v>
                </c:pt>
                <c:pt idx="27">
                  <c:v>17.079999999999998</c:v>
                </c:pt>
                <c:pt idx="28">
                  <c:v>17.119999999999997</c:v>
                </c:pt>
                <c:pt idx="29">
                  <c:v>17.16</c:v>
                </c:pt>
                <c:pt idx="30">
                  <c:v>17.2</c:v>
                </c:pt>
                <c:pt idx="31">
                  <c:v>17.239999999999998</c:v>
                </c:pt>
                <c:pt idx="32">
                  <c:v>17.279999999999998</c:v>
                </c:pt>
                <c:pt idx="33">
                  <c:v>17.32</c:v>
                </c:pt>
                <c:pt idx="34">
                  <c:v>17.36</c:v>
                </c:pt>
                <c:pt idx="35">
                  <c:v>17.399999999999999</c:v>
                </c:pt>
                <c:pt idx="36">
                  <c:v>17.439999999999998</c:v>
                </c:pt>
                <c:pt idx="37">
                  <c:v>17.48</c:v>
                </c:pt>
                <c:pt idx="38">
                  <c:v>17.52</c:v>
                </c:pt>
                <c:pt idx="39">
                  <c:v>17.559999999999999</c:v>
                </c:pt>
                <c:pt idx="40">
                  <c:v>17.599999999999998</c:v>
                </c:pt>
                <c:pt idx="41">
                  <c:v>17.684999999999999</c:v>
                </c:pt>
                <c:pt idx="42">
                  <c:v>17.77</c:v>
                </c:pt>
                <c:pt idx="43">
                  <c:v>17.854999999999997</c:v>
                </c:pt>
                <c:pt idx="44">
                  <c:v>17.939999999999998</c:v>
                </c:pt>
                <c:pt idx="45">
                  <c:v>18.024999999999999</c:v>
                </c:pt>
                <c:pt idx="46">
                  <c:v>18.11</c:v>
                </c:pt>
                <c:pt idx="47">
                  <c:v>18.194999999999997</c:v>
                </c:pt>
                <c:pt idx="48">
                  <c:v>18.279999999999998</c:v>
                </c:pt>
                <c:pt idx="49">
                  <c:v>18.364999999999998</c:v>
                </c:pt>
                <c:pt idx="50">
                  <c:v>18.45</c:v>
                </c:pt>
                <c:pt idx="51">
                  <c:v>18.534999999999997</c:v>
                </c:pt>
                <c:pt idx="52">
                  <c:v>18.619999999999997</c:v>
                </c:pt>
                <c:pt idx="53">
                  <c:v>18.704999999999998</c:v>
                </c:pt>
                <c:pt idx="54">
                  <c:v>18.79</c:v>
                </c:pt>
                <c:pt idx="55">
                  <c:v>18.875</c:v>
                </c:pt>
                <c:pt idx="56">
                  <c:v>18.959999999999997</c:v>
                </c:pt>
                <c:pt idx="57">
                  <c:v>19.044999999999998</c:v>
                </c:pt>
                <c:pt idx="58">
                  <c:v>19.13</c:v>
                </c:pt>
                <c:pt idx="59">
                  <c:v>19.214999999999996</c:v>
                </c:pt>
                <c:pt idx="60">
                  <c:v>19.299999999999997</c:v>
                </c:pt>
                <c:pt idx="61">
                  <c:v>19.354999999999997</c:v>
                </c:pt>
                <c:pt idx="62">
                  <c:v>19.41</c:v>
                </c:pt>
                <c:pt idx="63">
                  <c:v>19.465</c:v>
                </c:pt>
                <c:pt idx="64">
                  <c:v>19.52</c:v>
                </c:pt>
                <c:pt idx="65">
                  <c:v>19.574999999999999</c:v>
                </c:pt>
                <c:pt idx="66">
                  <c:v>19.63</c:v>
                </c:pt>
                <c:pt idx="67">
                  <c:v>19.684999999999999</c:v>
                </c:pt>
                <c:pt idx="68">
                  <c:v>19.739999999999998</c:v>
                </c:pt>
                <c:pt idx="69">
                  <c:v>19.795000000000002</c:v>
                </c:pt>
                <c:pt idx="70">
                  <c:v>19.850000000000001</c:v>
                </c:pt>
                <c:pt idx="71">
                  <c:v>19.905000000000001</c:v>
                </c:pt>
                <c:pt idx="72">
                  <c:v>19.96</c:v>
                </c:pt>
                <c:pt idx="73">
                  <c:v>20.015000000000001</c:v>
                </c:pt>
                <c:pt idx="74">
                  <c:v>20.07</c:v>
                </c:pt>
                <c:pt idx="75">
                  <c:v>20.125</c:v>
                </c:pt>
                <c:pt idx="76">
                  <c:v>20.18</c:v>
                </c:pt>
                <c:pt idx="77">
                  <c:v>20.234999999999999</c:v>
                </c:pt>
                <c:pt idx="78">
                  <c:v>20.290000000000003</c:v>
                </c:pt>
                <c:pt idx="79">
                  <c:v>20.345000000000002</c:v>
                </c:pt>
                <c:pt idx="80">
                  <c:v>20.399999999999999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'Hotter&amp;Drier'!$T$18:$T$98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16.419999999999998</c:v>
                </c:pt>
                <c:pt idx="2">
                  <c:v>16.439999999999998</c:v>
                </c:pt>
                <c:pt idx="3">
                  <c:v>16.459999999999997</c:v>
                </c:pt>
                <c:pt idx="4">
                  <c:v>16.479999999999997</c:v>
                </c:pt>
                <c:pt idx="5">
                  <c:v>16.5</c:v>
                </c:pt>
                <c:pt idx="6">
                  <c:v>16.52</c:v>
                </c:pt>
                <c:pt idx="7">
                  <c:v>16.54</c:v>
                </c:pt>
                <c:pt idx="8">
                  <c:v>16.559999999999999</c:v>
                </c:pt>
                <c:pt idx="9">
                  <c:v>16.579999999999998</c:v>
                </c:pt>
                <c:pt idx="10">
                  <c:v>16.599999999999998</c:v>
                </c:pt>
                <c:pt idx="11">
                  <c:v>16.619999999999997</c:v>
                </c:pt>
                <c:pt idx="12">
                  <c:v>16.639999999999997</c:v>
                </c:pt>
                <c:pt idx="13">
                  <c:v>16.66</c:v>
                </c:pt>
                <c:pt idx="14">
                  <c:v>16.68</c:v>
                </c:pt>
                <c:pt idx="15">
                  <c:v>16.7</c:v>
                </c:pt>
                <c:pt idx="16">
                  <c:v>16.72</c:v>
                </c:pt>
                <c:pt idx="17">
                  <c:v>16.739999999999998</c:v>
                </c:pt>
                <c:pt idx="18">
                  <c:v>16.759999999999998</c:v>
                </c:pt>
                <c:pt idx="19">
                  <c:v>16.779999999999998</c:v>
                </c:pt>
                <c:pt idx="20">
                  <c:v>16.799999999999997</c:v>
                </c:pt>
                <c:pt idx="21">
                  <c:v>16.84</c:v>
                </c:pt>
                <c:pt idx="22">
                  <c:v>16.88</c:v>
                </c:pt>
                <c:pt idx="23">
                  <c:v>16.919999999999998</c:v>
                </c:pt>
                <c:pt idx="24">
                  <c:v>16.959999999999997</c:v>
                </c:pt>
                <c:pt idx="25">
                  <c:v>17</c:v>
                </c:pt>
                <c:pt idx="26">
                  <c:v>17.04</c:v>
                </c:pt>
                <c:pt idx="27">
                  <c:v>17.079999999999998</c:v>
                </c:pt>
                <c:pt idx="28">
                  <c:v>17.119999999999997</c:v>
                </c:pt>
                <c:pt idx="29">
                  <c:v>17.16</c:v>
                </c:pt>
                <c:pt idx="30">
                  <c:v>17.2</c:v>
                </c:pt>
                <c:pt idx="31">
                  <c:v>17.239999999999998</c:v>
                </c:pt>
                <c:pt idx="32">
                  <c:v>17.279999999999998</c:v>
                </c:pt>
                <c:pt idx="33">
                  <c:v>17.32</c:v>
                </c:pt>
                <c:pt idx="34">
                  <c:v>17.36</c:v>
                </c:pt>
                <c:pt idx="35">
                  <c:v>17.399999999999999</c:v>
                </c:pt>
                <c:pt idx="36">
                  <c:v>17.439999999999998</c:v>
                </c:pt>
                <c:pt idx="37">
                  <c:v>17.48</c:v>
                </c:pt>
                <c:pt idx="38">
                  <c:v>17.52</c:v>
                </c:pt>
                <c:pt idx="39">
                  <c:v>17.559999999999999</c:v>
                </c:pt>
                <c:pt idx="40">
                  <c:v>17.599999999999998</c:v>
                </c:pt>
                <c:pt idx="41">
                  <c:v>17.654999999999998</c:v>
                </c:pt>
                <c:pt idx="42">
                  <c:v>17.709999999999997</c:v>
                </c:pt>
                <c:pt idx="43">
                  <c:v>17.764999999999997</c:v>
                </c:pt>
                <c:pt idx="44">
                  <c:v>17.819999999999997</c:v>
                </c:pt>
                <c:pt idx="45">
                  <c:v>17.875</c:v>
                </c:pt>
                <c:pt idx="46">
                  <c:v>17.93</c:v>
                </c:pt>
                <c:pt idx="47">
                  <c:v>17.984999999999999</c:v>
                </c:pt>
                <c:pt idx="48">
                  <c:v>18.04</c:v>
                </c:pt>
                <c:pt idx="49">
                  <c:v>18.094999999999999</c:v>
                </c:pt>
                <c:pt idx="50">
                  <c:v>18.149999999999999</c:v>
                </c:pt>
                <c:pt idx="51">
                  <c:v>18.204999999999998</c:v>
                </c:pt>
                <c:pt idx="52">
                  <c:v>18.259999999999998</c:v>
                </c:pt>
                <c:pt idx="53">
                  <c:v>18.314999999999998</c:v>
                </c:pt>
                <c:pt idx="54">
                  <c:v>18.369999999999997</c:v>
                </c:pt>
                <c:pt idx="55">
                  <c:v>18.424999999999997</c:v>
                </c:pt>
                <c:pt idx="56">
                  <c:v>18.479999999999997</c:v>
                </c:pt>
                <c:pt idx="57">
                  <c:v>18.534999999999997</c:v>
                </c:pt>
                <c:pt idx="58">
                  <c:v>18.589999999999996</c:v>
                </c:pt>
                <c:pt idx="59">
                  <c:v>18.645</c:v>
                </c:pt>
                <c:pt idx="60">
                  <c:v>18.7</c:v>
                </c:pt>
                <c:pt idx="61">
                  <c:v>18.729999999999997</c:v>
                </c:pt>
                <c:pt idx="62">
                  <c:v>18.759999999999998</c:v>
                </c:pt>
                <c:pt idx="63">
                  <c:v>18.79</c:v>
                </c:pt>
                <c:pt idx="64">
                  <c:v>18.819999999999997</c:v>
                </c:pt>
                <c:pt idx="65">
                  <c:v>18.849999999999998</c:v>
                </c:pt>
                <c:pt idx="66">
                  <c:v>18.879999999999995</c:v>
                </c:pt>
                <c:pt idx="67">
                  <c:v>18.909999999999997</c:v>
                </c:pt>
                <c:pt idx="68">
                  <c:v>18.939999999999998</c:v>
                </c:pt>
                <c:pt idx="69">
                  <c:v>18.969999999999995</c:v>
                </c:pt>
                <c:pt idx="70">
                  <c:v>18.999999999999996</c:v>
                </c:pt>
                <c:pt idx="71">
                  <c:v>19.029999999999998</c:v>
                </c:pt>
                <c:pt idx="72">
                  <c:v>19.059999999999995</c:v>
                </c:pt>
                <c:pt idx="73">
                  <c:v>19.089999999999996</c:v>
                </c:pt>
                <c:pt idx="74">
                  <c:v>19.119999999999997</c:v>
                </c:pt>
                <c:pt idx="75">
                  <c:v>19.149999999999995</c:v>
                </c:pt>
                <c:pt idx="76">
                  <c:v>19.179999999999996</c:v>
                </c:pt>
                <c:pt idx="77">
                  <c:v>19.209999999999994</c:v>
                </c:pt>
                <c:pt idx="78">
                  <c:v>19.239999999999995</c:v>
                </c:pt>
                <c:pt idx="79">
                  <c:v>19.269999999999996</c:v>
                </c:pt>
                <c:pt idx="80">
                  <c:v>19.299999999999997</c:v>
                </c:pt>
              </c:numCache>
            </c:numRef>
          </c:yVal>
          <c:smooth val="1"/>
        </c:ser>
        <c:dLbls/>
        <c:axId val="47821568"/>
        <c:axId val="47823488"/>
      </c:scatterChart>
      <c:valAx>
        <c:axId val="4782156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47823488"/>
        <c:crosses val="autoZero"/>
        <c:crossBetween val="midCat"/>
      </c:valAx>
      <c:valAx>
        <c:axId val="47823488"/>
        <c:scaling>
          <c:orientation val="minMax"/>
          <c:min val="16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4782156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5"/>
          <c:y val="8.2949475065616798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'Hotter&amp;Drier'!$W$18:$W$128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74.067889999999991</c:v>
                </c:pt>
                <c:pt idx="2">
                  <c:v>74.035779999999988</c:v>
                </c:pt>
                <c:pt idx="3">
                  <c:v>74.00367</c:v>
                </c:pt>
                <c:pt idx="4">
                  <c:v>73.971559999999997</c:v>
                </c:pt>
                <c:pt idx="5">
                  <c:v>73.939449999999994</c:v>
                </c:pt>
                <c:pt idx="6">
                  <c:v>73.907339999999991</c:v>
                </c:pt>
                <c:pt idx="7">
                  <c:v>73.875229999999988</c:v>
                </c:pt>
                <c:pt idx="8">
                  <c:v>73.843119999999999</c:v>
                </c:pt>
                <c:pt idx="9">
                  <c:v>73.811009999999996</c:v>
                </c:pt>
                <c:pt idx="10">
                  <c:v>73.778899999999993</c:v>
                </c:pt>
                <c:pt idx="11">
                  <c:v>73.74678999999999</c:v>
                </c:pt>
                <c:pt idx="12">
                  <c:v>73.714680000000001</c:v>
                </c:pt>
                <c:pt idx="13">
                  <c:v>73.682569999999998</c:v>
                </c:pt>
                <c:pt idx="14">
                  <c:v>73.650459999999995</c:v>
                </c:pt>
                <c:pt idx="15">
                  <c:v>73.618349999999992</c:v>
                </c:pt>
                <c:pt idx="16">
                  <c:v>73.586239999999989</c:v>
                </c:pt>
                <c:pt idx="17">
                  <c:v>73.554130000000001</c:v>
                </c:pt>
                <c:pt idx="18">
                  <c:v>73.522019999999998</c:v>
                </c:pt>
                <c:pt idx="19">
                  <c:v>73.489909999999995</c:v>
                </c:pt>
                <c:pt idx="20">
                  <c:v>73.457799999999992</c:v>
                </c:pt>
                <c:pt idx="21">
                  <c:v>73.39358</c:v>
                </c:pt>
                <c:pt idx="22">
                  <c:v>73.329359999999994</c:v>
                </c:pt>
                <c:pt idx="23">
                  <c:v>73.265139999999988</c:v>
                </c:pt>
                <c:pt idx="24">
                  <c:v>73.200919999999996</c:v>
                </c:pt>
                <c:pt idx="25">
                  <c:v>73.13669999999999</c:v>
                </c:pt>
                <c:pt idx="26">
                  <c:v>73.072479999999999</c:v>
                </c:pt>
                <c:pt idx="27">
                  <c:v>73.008259999999993</c:v>
                </c:pt>
                <c:pt idx="28">
                  <c:v>72.944040000000001</c:v>
                </c:pt>
                <c:pt idx="29">
                  <c:v>72.879819999999995</c:v>
                </c:pt>
                <c:pt idx="30">
                  <c:v>72.815599999999989</c:v>
                </c:pt>
                <c:pt idx="31">
                  <c:v>72.751379999999997</c:v>
                </c:pt>
                <c:pt idx="32">
                  <c:v>72.687159999999992</c:v>
                </c:pt>
                <c:pt idx="33">
                  <c:v>72.62294</c:v>
                </c:pt>
                <c:pt idx="34">
                  <c:v>72.558719999999994</c:v>
                </c:pt>
                <c:pt idx="35">
                  <c:v>72.494499999999988</c:v>
                </c:pt>
                <c:pt idx="36">
                  <c:v>72.430279999999996</c:v>
                </c:pt>
                <c:pt idx="37">
                  <c:v>72.36605999999999</c:v>
                </c:pt>
                <c:pt idx="38">
                  <c:v>72.301839999999999</c:v>
                </c:pt>
                <c:pt idx="39">
                  <c:v>72.237619999999993</c:v>
                </c:pt>
                <c:pt idx="40">
                  <c:v>72.173400000000001</c:v>
                </c:pt>
                <c:pt idx="41">
                  <c:v>72.036314999999988</c:v>
                </c:pt>
                <c:pt idx="42">
                  <c:v>71.899229999999989</c:v>
                </c:pt>
                <c:pt idx="43">
                  <c:v>71.76214499999999</c:v>
                </c:pt>
                <c:pt idx="44">
                  <c:v>71.625059999999991</c:v>
                </c:pt>
                <c:pt idx="45">
                  <c:v>71.487974999999992</c:v>
                </c:pt>
                <c:pt idx="46">
                  <c:v>71.350889999999993</c:v>
                </c:pt>
                <c:pt idx="47">
                  <c:v>71.213804999999994</c:v>
                </c:pt>
                <c:pt idx="48">
                  <c:v>71.076719999999995</c:v>
                </c:pt>
                <c:pt idx="49">
                  <c:v>70.939634999999996</c:v>
                </c:pt>
                <c:pt idx="50">
                  <c:v>70.802549999999997</c:v>
                </c:pt>
                <c:pt idx="51">
                  <c:v>70.665464999999998</c:v>
                </c:pt>
                <c:pt idx="52">
                  <c:v>70.528379999999999</c:v>
                </c:pt>
                <c:pt idx="53">
                  <c:v>70.391295</c:v>
                </c:pt>
                <c:pt idx="54">
                  <c:v>70.25421</c:v>
                </c:pt>
                <c:pt idx="55">
                  <c:v>70.117125000000001</c:v>
                </c:pt>
                <c:pt idx="56">
                  <c:v>69.980040000000002</c:v>
                </c:pt>
                <c:pt idx="57">
                  <c:v>69.842955000000003</c:v>
                </c:pt>
                <c:pt idx="58">
                  <c:v>69.705870000000004</c:v>
                </c:pt>
                <c:pt idx="59">
                  <c:v>69.568784999999991</c:v>
                </c:pt>
                <c:pt idx="60">
                  <c:v>69.431699999999992</c:v>
                </c:pt>
                <c:pt idx="61">
                  <c:v>69.342779999999991</c:v>
                </c:pt>
                <c:pt idx="62">
                  <c:v>69.253859999999989</c:v>
                </c:pt>
                <c:pt idx="63">
                  <c:v>69.164940000000001</c:v>
                </c:pt>
                <c:pt idx="64">
                  <c:v>69.07602</c:v>
                </c:pt>
                <c:pt idx="65">
                  <c:v>68.987099999999998</c:v>
                </c:pt>
                <c:pt idx="66">
                  <c:v>68.898179999999996</c:v>
                </c:pt>
                <c:pt idx="67">
                  <c:v>68.809259999999995</c:v>
                </c:pt>
                <c:pt idx="68">
                  <c:v>68.720339999999993</c:v>
                </c:pt>
                <c:pt idx="69">
                  <c:v>68.631419999999991</c:v>
                </c:pt>
                <c:pt idx="70">
                  <c:v>68.54249999999999</c:v>
                </c:pt>
                <c:pt idx="71">
                  <c:v>68.453579999999988</c:v>
                </c:pt>
                <c:pt idx="72">
                  <c:v>68.364660000000001</c:v>
                </c:pt>
                <c:pt idx="73">
                  <c:v>68.275739999999999</c:v>
                </c:pt>
                <c:pt idx="74">
                  <c:v>68.186819999999997</c:v>
                </c:pt>
                <c:pt idx="75">
                  <c:v>68.097899999999996</c:v>
                </c:pt>
                <c:pt idx="76">
                  <c:v>68.008979999999994</c:v>
                </c:pt>
                <c:pt idx="77">
                  <c:v>67.920059999999992</c:v>
                </c:pt>
                <c:pt idx="78">
                  <c:v>67.831139999999991</c:v>
                </c:pt>
                <c:pt idx="79">
                  <c:v>67.742220000000003</c:v>
                </c:pt>
                <c:pt idx="80">
                  <c:v>67.653300000000002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'Hotter&amp;Drier'!$X$18:$X$128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74.066654999999997</c:v>
                </c:pt>
                <c:pt idx="2">
                  <c:v>74.03331</c:v>
                </c:pt>
                <c:pt idx="3">
                  <c:v>73.999964999999989</c:v>
                </c:pt>
                <c:pt idx="4">
                  <c:v>73.966619999999992</c:v>
                </c:pt>
                <c:pt idx="5">
                  <c:v>73.933274999999995</c:v>
                </c:pt>
                <c:pt idx="6">
                  <c:v>73.899929999999998</c:v>
                </c:pt>
                <c:pt idx="7">
                  <c:v>73.866585000000001</c:v>
                </c:pt>
                <c:pt idx="8">
                  <c:v>73.833239999999989</c:v>
                </c:pt>
                <c:pt idx="9">
                  <c:v>73.799894999999992</c:v>
                </c:pt>
                <c:pt idx="10">
                  <c:v>73.766549999999995</c:v>
                </c:pt>
                <c:pt idx="11">
                  <c:v>73.733204999999998</c:v>
                </c:pt>
                <c:pt idx="12">
                  <c:v>73.699860000000001</c:v>
                </c:pt>
                <c:pt idx="13">
                  <c:v>73.66651499999999</c:v>
                </c:pt>
                <c:pt idx="14">
                  <c:v>73.633169999999993</c:v>
                </c:pt>
                <c:pt idx="15">
                  <c:v>73.599824999999996</c:v>
                </c:pt>
                <c:pt idx="16">
                  <c:v>73.566479999999999</c:v>
                </c:pt>
                <c:pt idx="17">
                  <c:v>73.533134999999987</c:v>
                </c:pt>
                <c:pt idx="18">
                  <c:v>73.49978999999999</c:v>
                </c:pt>
                <c:pt idx="19">
                  <c:v>73.466444999999993</c:v>
                </c:pt>
                <c:pt idx="20">
                  <c:v>73.433099999999996</c:v>
                </c:pt>
                <c:pt idx="21">
                  <c:v>73.366409999999988</c:v>
                </c:pt>
                <c:pt idx="22">
                  <c:v>73.299719999999994</c:v>
                </c:pt>
                <c:pt idx="23">
                  <c:v>73.233029999999999</c:v>
                </c:pt>
                <c:pt idx="24">
                  <c:v>73.166339999999991</c:v>
                </c:pt>
                <c:pt idx="25">
                  <c:v>73.099649999999997</c:v>
                </c:pt>
                <c:pt idx="26">
                  <c:v>73.032959999999989</c:v>
                </c:pt>
                <c:pt idx="27">
                  <c:v>72.966269999999994</c:v>
                </c:pt>
                <c:pt idx="28">
                  <c:v>72.89958</c:v>
                </c:pt>
                <c:pt idx="29">
                  <c:v>72.832889999999992</c:v>
                </c:pt>
                <c:pt idx="30">
                  <c:v>72.766199999999998</c:v>
                </c:pt>
                <c:pt idx="31">
                  <c:v>72.699509999999989</c:v>
                </c:pt>
                <c:pt idx="32">
                  <c:v>72.632819999999995</c:v>
                </c:pt>
                <c:pt idx="33">
                  <c:v>72.566129999999987</c:v>
                </c:pt>
                <c:pt idx="34">
                  <c:v>72.499439999999993</c:v>
                </c:pt>
                <c:pt idx="35">
                  <c:v>72.432749999999999</c:v>
                </c:pt>
                <c:pt idx="36">
                  <c:v>72.36605999999999</c:v>
                </c:pt>
                <c:pt idx="37">
                  <c:v>72.299369999999996</c:v>
                </c:pt>
                <c:pt idx="38">
                  <c:v>72.232679999999988</c:v>
                </c:pt>
                <c:pt idx="39">
                  <c:v>72.165989999999994</c:v>
                </c:pt>
                <c:pt idx="40">
                  <c:v>72.099299999999999</c:v>
                </c:pt>
                <c:pt idx="41">
                  <c:v>72.014084999999994</c:v>
                </c:pt>
                <c:pt idx="42">
                  <c:v>71.928869999999989</c:v>
                </c:pt>
                <c:pt idx="43">
                  <c:v>71.843654999999998</c:v>
                </c:pt>
                <c:pt idx="44">
                  <c:v>71.758439999999993</c:v>
                </c:pt>
                <c:pt idx="45">
                  <c:v>71.673224999999988</c:v>
                </c:pt>
                <c:pt idx="46">
                  <c:v>71.588009999999997</c:v>
                </c:pt>
                <c:pt idx="47">
                  <c:v>71.502794999999992</c:v>
                </c:pt>
                <c:pt idx="48">
                  <c:v>71.417579999999987</c:v>
                </c:pt>
                <c:pt idx="49">
                  <c:v>71.332364999999996</c:v>
                </c:pt>
                <c:pt idx="50">
                  <c:v>71.247149999999991</c:v>
                </c:pt>
                <c:pt idx="51">
                  <c:v>71.161935</c:v>
                </c:pt>
                <c:pt idx="52">
                  <c:v>71.076719999999995</c:v>
                </c:pt>
                <c:pt idx="53">
                  <c:v>70.991504999999989</c:v>
                </c:pt>
                <c:pt idx="54">
                  <c:v>70.906289999999998</c:v>
                </c:pt>
                <c:pt idx="55">
                  <c:v>70.821074999999993</c:v>
                </c:pt>
                <c:pt idx="56">
                  <c:v>70.735859999999988</c:v>
                </c:pt>
                <c:pt idx="57">
                  <c:v>70.650644999999997</c:v>
                </c:pt>
                <c:pt idx="58">
                  <c:v>70.565429999999992</c:v>
                </c:pt>
                <c:pt idx="59">
                  <c:v>70.480214999999987</c:v>
                </c:pt>
                <c:pt idx="60">
                  <c:v>70.394999999999996</c:v>
                </c:pt>
                <c:pt idx="61">
                  <c:v>70.343129999999988</c:v>
                </c:pt>
                <c:pt idx="62">
                  <c:v>70.291259999999994</c:v>
                </c:pt>
                <c:pt idx="63">
                  <c:v>70.23939</c:v>
                </c:pt>
                <c:pt idx="64">
                  <c:v>70.187519999999992</c:v>
                </c:pt>
                <c:pt idx="65">
                  <c:v>70.135649999999998</c:v>
                </c:pt>
                <c:pt idx="66">
                  <c:v>70.08377999999999</c:v>
                </c:pt>
                <c:pt idx="67">
                  <c:v>70.031909999999996</c:v>
                </c:pt>
                <c:pt idx="68">
                  <c:v>69.980039999999988</c:v>
                </c:pt>
                <c:pt idx="69">
                  <c:v>69.928169999999994</c:v>
                </c:pt>
                <c:pt idx="70">
                  <c:v>69.876299999999986</c:v>
                </c:pt>
                <c:pt idx="71">
                  <c:v>69.824429999999992</c:v>
                </c:pt>
                <c:pt idx="72">
                  <c:v>69.772559999999999</c:v>
                </c:pt>
                <c:pt idx="73">
                  <c:v>69.720689999999991</c:v>
                </c:pt>
                <c:pt idx="74">
                  <c:v>69.668819999999997</c:v>
                </c:pt>
                <c:pt idx="75">
                  <c:v>69.616949999999989</c:v>
                </c:pt>
                <c:pt idx="76">
                  <c:v>69.565079999999995</c:v>
                </c:pt>
                <c:pt idx="77">
                  <c:v>69.513209999999987</c:v>
                </c:pt>
                <c:pt idx="78">
                  <c:v>69.461339999999993</c:v>
                </c:pt>
                <c:pt idx="79">
                  <c:v>69.409469999999985</c:v>
                </c:pt>
                <c:pt idx="80">
                  <c:v>69.357599999999991</c:v>
                </c:pt>
              </c:numCache>
            </c:numRef>
          </c:yVal>
          <c:smooth val="1"/>
        </c:ser>
        <c:dLbls/>
        <c:axId val="47759360"/>
        <c:axId val="47761280"/>
      </c:scatterChart>
      <c:valAx>
        <c:axId val="4775936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47761280"/>
        <c:crosses val="autoZero"/>
        <c:crossBetween val="midCat"/>
      </c:valAx>
      <c:valAx>
        <c:axId val="4776128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4775936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500000000000002"/>
          <c:y val="0.5736902158063576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1.9999999999999997E-2</c:v>
                </c:pt>
                <c:pt idx="2">
                  <c:v>3.9999999999999994E-2</c:v>
                </c:pt>
                <c:pt idx="3">
                  <c:v>5.9999999999999991E-2</c:v>
                </c:pt>
                <c:pt idx="4">
                  <c:v>7.9999999999999988E-2</c:v>
                </c:pt>
                <c:pt idx="5">
                  <c:v>9.9999999999999978E-2</c:v>
                </c:pt>
                <c:pt idx="6">
                  <c:v>0.11999999999999997</c:v>
                </c:pt>
                <c:pt idx="7">
                  <c:v>0.13999999999999996</c:v>
                </c:pt>
                <c:pt idx="8">
                  <c:v>0.15999999999999995</c:v>
                </c:pt>
                <c:pt idx="9">
                  <c:v>0.17999999999999994</c:v>
                </c:pt>
                <c:pt idx="10">
                  <c:v>0.19999999999999993</c:v>
                </c:pt>
                <c:pt idx="11">
                  <c:v>0.21999999999999992</c:v>
                </c:pt>
                <c:pt idx="12">
                  <c:v>0.23999999999999991</c:v>
                </c:pt>
                <c:pt idx="13">
                  <c:v>0.2599999999999999</c:v>
                </c:pt>
                <c:pt idx="14">
                  <c:v>0.27999999999999992</c:v>
                </c:pt>
                <c:pt idx="15">
                  <c:v>0.29999999999999993</c:v>
                </c:pt>
                <c:pt idx="16">
                  <c:v>0.31999999999999995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0.47999999999999993</c:v>
                </c:pt>
                <c:pt idx="23">
                  <c:v>0.51999999999999991</c:v>
                </c:pt>
                <c:pt idx="24">
                  <c:v>0.55999999999999994</c:v>
                </c:pt>
                <c:pt idx="25">
                  <c:v>0.6</c:v>
                </c:pt>
                <c:pt idx="26">
                  <c:v>0.64</c:v>
                </c:pt>
                <c:pt idx="27">
                  <c:v>0.68</c:v>
                </c:pt>
                <c:pt idx="28">
                  <c:v>0.72000000000000008</c:v>
                </c:pt>
                <c:pt idx="29">
                  <c:v>0.76000000000000012</c:v>
                </c:pt>
                <c:pt idx="30">
                  <c:v>0.80000000000000016</c:v>
                </c:pt>
                <c:pt idx="31">
                  <c:v>0.84000000000000019</c:v>
                </c:pt>
                <c:pt idx="32">
                  <c:v>0.88000000000000023</c:v>
                </c:pt>
                <c:pt idx="33">
                  <c:v>0.92000000000000026</c:v>
                </c:pt>
                <c:pt idx="34">
                  <c:v>0.9600000000000003</c:v>
                </c:pt>
                <c:pt idx="35">
                  <c:v>1.0000000000000002</c:v>
                </c:pt>
                <c:pt idx="36">
                  <c:v>1.0400000000000003</c:v>
                </c:pt>
                <c:pt idx="37">
                  <c:v>1.0800000000000003</c:v>
                </c:pt>
                <c:pt idx="38">
                  <c:v>1.1200000000000003</c:v>
                </c:pt>
                <c:pt idx="39">
                  <c:v>1.1600000000000004</c:v>
                </c:pt>
                <c:pt idx="40">
                  <c:v>1.2</c:v>
                </c:pt>
                <c:pt idx="41">
                  <c:v>1.2849999999999999</c:v>
                </c:pt>
                <c:pt idx="42">
                  <c:v>1.3699999999999999</c:v>
                </c:pt>
                <c:pt idx="43">
                  <c:v>1.4549999999999998</c:v>
                </c:pt>
                <c:pt idx="44">
                  <c:v>1.5399999999999998</c:v>
                </c:pt>
                <c:pt idx="45">
                  <c:v>1.6249999999999998</c:v>
                </c:pt>
                <c:pt idx="46">
                  <c:v>1.7099999999999997</c:v>
                </c:pt>
                <c:pt idx="47">
                  <c:v>1.7949999999999997</c:v>
                </c:pt>
                <c:pt idx="48">
                  <c:v>1.8799999999999997</c:v>
                </c:pt>
                <c:pt idx="49">
                  <c:v>1.9649999999999996</c:v>
                </c:pt>
                <c:pt idx="50">
                  <c:v>2.0499999999999998</c:v>
                </c:pt>
                <c:pt idx="51">
                  <c:v>2.1349999999999998</c:v>
                </c:pt>
                <c:pt idx="52">
                  <c:v>2.2199999999999998</c:v>
                </c:pt>
                <c:pt idx="53">
                  <c:v>2.3049999999999997</c:v>
                </c:pt>
                <c:pt idx="54">
                  <c:v>2.3899999999999997</c:v>
                </c:pt>
                <c:pt idx="55">
                  <c:v>2.4749999999999996</c:v>
                </c:pt>
                <c:pt idx="56">
                  <c:v>2.5599999999999996</c:v>
                </c:pt>
                <c:pt idx="57">
                  <c:v>2.6449999999999996</c:v>
                </c:pt>
                <c:pt idx="58">
                  <c:v>2.7299999999999995</c:v>
                </c:pt>
                <c:pt idx="59">
                  <c:v>2.8149999999999995</c:v>
                </c:pt>
                <c:pt idx="60">
                  <c:v>2.9</c:v>
                </c:pt>
                <c:pt idx="61">
                  <c:v>2.9550000000000001</c:v>
                </c:pt>
                <c:pt idx="62">
                  <c:v>3.0100000000000002</c:v>
                </c:pt>
                <c:pt idx="63">
                  <c:v>3.0650000000000004</c:v>
                </c:pt>
                <c:pt idx="64">
                  <c:v>3.1200000000000006</c:v>
                </c:pt>
                <c:pt idx="65">
                  <c:v>3.1750000000000007</c:v>
                </c:pt>
                <c:pt idx="66">
                  <c:v>3.2300000000000009</c:v>
                </c:pt>
                <c:pt idx="67">
                  <c:v>3.285000000000001</c:v>
                </c:pt>
                <c:pt idx="68">
                  <c:v>3.3400000000000012</c:v>
                </c:pt>
                <c:pt idx="69">
                  <c:v>3.3950000000000014</c:v>
                </c:pt>
                <c:pt idx="70">
                  <c:v>3.4500000000000015</c:v>
                </c:pt>
                <c:pt idx="71">
                  <c:v>3.5050000000000017</c:v>
                </c:pt>
                <c:pt idx="72">
                  <c:v>3.5600000000000018</c:v>
                </c:pt>
                <c:pt idx="73">
                  <c:v>3.615000000000002</c:v>
                </c:pt>
                <c:pt idx="74">
                  <c:v>3.6700000000000021</c:v>
                </c:pt>
                <c:pt idx="75">
                  <c:v>3.7250000000000023</c:v>
                </c:pt>
                <c:pt idx="76">
                  <c:v>3.7800000000000025</c:v>
                </c:pt>
                <c:pt idx="77">
                  <c:v>3.8350000000000026</c:v>
                </c:pt>
                <c:pt idx="78">
                  <c:v>3.8900000000000028</c:v>
                </c:pt>
                <c:pt idx="79">
                  <c:v>3.9450000000000029</c:v>
                </c:pt>
                <c:pt idx="80">
                  <c:v>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1.9999999999999997E-2</c:v>
                </c:pt>
                <c:pt idx="2">
                  <c:v>3.9999999999999994E-2</c:v>
                </c:pt>
                <c:pt idx="3">
                  <c:v>5.9999999999999991E-2</c:v>
                </c:pt>
                <c:pt idx="4">
                  <c:v>7.9999999999999988E-2</c:v>
                </c:pt>
                <c:pt idx="5">
                  <c:v>9.9999999999999978E-2</c:v>
                </c:pt>
                <c:pt idx="6">
                  <c:v>0.11999999999999997</c:v>
                </c:pt>
                <c:pt idx="7">
                  <c:v>0.13999999999999996</c:v>
                </c:pt>
                <c:pt idx="8">
                  <c:v>0.15999999999999995</c:v>
                </c:pt>
                <c:pt idx="9">
                  <c:v>0.17999999999999994</c:v>
                </c:pt>
                <c:pt idx="10">
                  <c:v>0.19999999999999993</c:v>
                </c:pt>
                <c:pt idx="11">
                  <c:v>0.21999999999999992</c:v>
                </c:pt>
                <c:pt idx="12">
                  <c:v>0.23999999999999991</c:v>
                </c:pt>
                <c:pt idx="13">
                  <c:v>0.2599999999999999</c:v>
                </c:pt>
                <c:pt idx="14">
                  <c:v>0.27999999999999992</c:v>
                </c:pt>
                <c:pt idx="15">
                  <c:v>0.29999999999999993</c:v>
                </c:pt>
                <c:pt idx="16">
                  <c:v>0.31999999999999995</c:v>
                </c:pt>
                <c:pt idx="17">
                  <c:v>0.33999999999999997</c:v>
                </c:pt>
                <c:pt idx="18">
                  <c:v>0.36</c:v>
                </c:pt>
                <c:pt idx="19">
                  <c:v>0.38</c:v>
                </c:pt>
                <c:pt idx="20">
                  <c:v>0.39999999999999997</c:v>
                </c:pt>
                <c:pt idx="21">
                  <c:v>0.43999999999999995</c:v>
                </c:pt>
                <c:pt idx="22">
                  <c:v>0.47999999999999993</c:v>
                </c:pt>
                <c:pt idx="23">
                  <c:v>0.51999999999999991</c:v>
                </c:pt>
                <c:pt idx="24">
                  <c:v>0.55999999999999994</c:v>
                </c:pt>
                <c:pt idx="25">
                  <c:v>0.6</c:v>
                </c:pt>
                <c:pt idx="26">
                  <c:v>0.64</c:v>
                </c:pt>
                <c:pt idx="27">
                  <c:v>0.68</c:v>
                </c:pt>
                <c:pt idx="28">
                  <c:v>0.72000000000000008</c:v>
                </c:pt>
                <c:pt idx="29">
                  <c:v>0.76000000000000012</c:v>
                </c:pt>
                <c:pt idx="30">
                  <c:v>0.80000000000000016</c:v>
                </c:pt>
                <c:pt idx="31">
                  <c:v>0.84000000000000019</c:v>
                </c:pt>
                <c:pt idx="32">
                  <c:v>0.88000000000000023</c:v>
                </c:pt>
                <c:pt idx="33">
                  <c:v>0.92000000000000026</c:v>
                </c:pt>
                <c:pt idx="34">
                  <c:v>0.9600000000000003</c:v>
                </c:pt>
                <c:pt idx="35">
                  <c:v>1.0000000000000002</c:v>
                </c:pt>
                <c:pt idx="36">
                  <c:v>1.0400000000000003</c:v>
                </c:pt>
                <c:pt idx="37">
                  <c:v>1.0800000000000003</c:v>
                </c:pt>
                <c:pt idx="38">
                  <c:v>1.1200000000000003</c:v>
                </c:pt>
                <c:pt idx="39">
                  <c:v>1.1600000000000004</c:v>
                </c:pt>
                <c:pt idx="40">
                  <c:v>1.2</c:v>
                </c:pt>
                <c:pt idx="41">
                  <c:v>1.2549999999999999</c:v>
                </c:pt>
                <c:pt idx="42">
                  <c:v>1.3099999999999998</c:v>
                </c:pt>
                <c:pt idx="43">
                  <c:v>1.3649999999999998</c:v>
                </c:pt>
                <c:pt idx="44">
                  <c:v>1.4199999999999997</c:v>
                </c:pt>
                <c:pt idx="45">
                  <c:v>1.4749999999999996</c:v>
                </c:pt>
                <c:pt idx="46">
                  <c:v>1.5299999999999996</c:v>
                </c:pt>
                <c:pt idx="47">
                  <c:v>1.5849999999999995</c:v>
                </c:pt>
                <c:pt idx="48">
                  <c:v>1.6399999999999995</c:v>
                </c:pt>
                <c:pt idx="49">
                  <c:v>1.6949999999999994</c:v>
                </c:pt>
                <c:pt idx="50">
                  <c:v>1.7499999999999993</c:v>
                </c:pt>
                <c:pt idx="51">
                  <c:v>1.8049999999999993</c:v>
                </c:pt>
                <c:pt idx="52">
                  <c:v>1.8599999999999992</c:v>
                </c:pt>
                <c:pt idx="53">
                  <c:v>1.9149999999999991</c:v>
                </c:pt>
                <c:pt idx="54">
                  <c:v>1.9699999999999991</c:v>
                </c:pt>
                <c:pt idx="55">
                  <c:v>2.024999999999999</c:v>
                </c:pt>
                <c:pt idx="56">
                  <c:v>2.0799999999999992</c:v>
                </c:pt>
                <c:pt idx="57">
                  <c:v>2.1349999999999993</c:v>
                </c:pt>
                <c:pt idx="58">
                  <c:v>2.1899999999999995</c:v>
                </c:pt>
                <c:pt idx="59">
                  <c:v>2.2449999999999997</c:v>
                </c:pt>
                <c:pt idx="60">
                  <c:v>2.2999999999999998</c:v>
                </c:pt>
                <c:pt idx="61">
                  <c:v>2.3299999999999996</c:v>
                </c:pt>
                <c:pt idx="62">
                  <c:v>2.3599999999999994</c:v>
                </c:pt>
                <c:pt idx="63">
                  <c:v>2.3899999999999992</c:v>
                </c:pt>
                <c:pt idx="64">
                  <c:v>2.419999999999999</c:v>
                </c:pt>
                <c:pt idx="65">
                  <c:v>2.4499999999999988</c:v>
                </c:pt>
                <c:pt idx="66">
                  <c:v>2.4799999999999986</c:v>
                </c:pt>
                <c:pt idx="67">
                  <c:v>2.5099999999999985</c:v>
                </c:pt>
                <c:pt idx="68">
                  <c:v>2.5399999999999983</c:v>
                </c:pt>
                <c:pt idx="69">
                  <c:v>2.5699999999999981</c:v>
                </c:pt>
                <c:pt idx="70">
                  <c:v>2.5999999999999979</c:v>
                </c:pt>
                <c:pt idx="71">
                  <c:v>2.6299999999999977</c:v>
                </c:pt>
                <c:pt idx="72">
                  <c:v>2.6599999999999975</c:v>
                </c:pt>
                <c:pt idx="73">
                  <c:v>2.6899999999999973</c:v>
                </c:pt>
                <c:pt idx="74">
                  <c:v>2.7199999999999971</c:v>
                </c:pt>
                <c:pt idx="75">
                  <c:v>2.7499999999999969</c:v>
                </c:pt>
                <c:pt idx="76">
                  <c:v>2.7799999999999967</c:v>
                </c:pt>
                <c:pt idx="77">
                  <c:v>2.8099999999999965</c:v>
                </c:pt>
                <c:pt idx="78">
                  <c:v>2.8399999999999963</c:v>
                </c:pt>
                <c:pt idx="79">
                  <c:v>2.8699999999999961</c:v>
                </c:pt>
                <c:pt idx="80">
                  <c:v>2.9</c:v>
                </c:pt>
              </c:numCache>
            </c:numRef>
          </c:yVal>
          <c:smooth val="1"/>
        </c:ser>
        <c:dLbls/>
        <c:axId val="47878912"/>
        <c:axId val="47880832"/>
      </c:scatterChart>
      <c:valAx>
        <c:axId val="4787891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47880832"/>
        <c:crosses val="autoZero"/>
        <c:crossBetween val="midCat"/>
      </c:valAx>
      <c:valAx>
        <c:axId val="47880832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4787891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'Hotter&amp;Drier'!$F$18:$F$98</c:f>
              <c:numCache>
                <c:formatCode>0.0000</c:formatCode>
                <c:ptCount val="81"/>
                <c:pt idx="0">
                  <c:v>0</c:v>
                </c:pt>
                <c:pt idx="1">
                  <c:v>-4.3333333333333335E-2</c:v>
                </c:pt>
                <c:pt idx="2">
                  <c:v>-8.666666666666667E-2</c:v>
                </c:pt>
                <c:pt idx="3">
                  <c:v>-0.13</c:v>
                </c:pt>
                <c:pt idx="4">
                  <c:v>-0.17333333333333334</c:v>
                </c:pt>
                <c:pt idx="5">
                  <c:v>-0.21666666666666667</c:v>
                </c:pt>
                <c:pt idx="6">
                  <c:v>-0.26</c:v>
                </c:pt>
                <c:pt idx="7">
                  <c:v>-0.30333333333333334</c:v>
                </c:pt>
                <c:pt idx="8">
                  <c:v>-0.34666666666666668</c:v>
                </c:pt>
                <c:pt idx="9">
                  <c:v>-0.39</c:v>
                </c:pt>
                <c:pt idx="10">
                  <c:v>-0.43333333333333335</c:v>
                </c:pt>
                <c:pt idx="11">
                  <c:v>-0.47666666666666668</c:v>
                </c:pt>
                <c:pt idx="12">
                  <c:v>-0.52</c:v>
                </c:pt>
                <c:pt idx="13">
                  <c:v>-0.56333333333333335</c:v>
                </c:pt>
                <c:pt idx="14">
                  <c:v>-0.60666666666666669</c:v>
                </c:pt>
                <c:pt idx="15">
                  <c:v>-0.65</c:v>
                </c:pt>
                <c:pt idx="16">
                  <c:v>-0.69333333333333336</c:v>
                </c:pt>
                <c:pt idx="17">
                  <c:v>-0.73666666666666669</c:v>
                </c:pt>
                <c:pt idx="18">
                  <c:v>-0.78</c:v>
                </c:pt>
                <c:pt idx="19">
                  <c:v>-0.82333333333333336</c:v>
                </c:pt>
                <c:pt idx="20">
                  <c:v>-0.8666666666666667</c:v>
                </c:pt>
                <c:pt idx="21">
                  <c:v>-0.95333333333333337</c:v>
                </c:pt>
                <c:pt idx="22">
                  <c:v>-1.04</c:v>
                </c:pt>
                <c:pt idx="23">
                  <c:v>-1.1266666666666667</c:v>
                </c:pt>
                <c:pt idx="24">
                  <c:v>-1.2133333333333334</c:v>
                </c:pt>
                <c:pt idx="25">
                  <c:v>-1.3</c:v>
                </c:pt>
                <c:pt idx="26">
                  <c:v>-1.3866666666666667</c:v>
                </c:pt>
                <c:pt idx="27">
                  <c:v>-1.4733333333333334</c:v>
                </c:pt>
                <c:pt idx="28">
                  <c:v>-1.56</c:v>
                </c:pt>
                <c:pt idx="29">
                  <c:v>-1.6466666666666667</c:v>
                </c:pt>
                <c:pt idx="30">
                  <c:v>-1.7333333333333334</c:v>
                </c:pt>
                <c:pt idx="31">
                  <c:v>-1.82</c:v>
                </c:pt>
                <c:pt idx="32">
                  <c:v>-1.9066666666666667</c:v>
                </c:pt>
                <c:pt idx="33">
                  <c:v>-1.9933333333333334</c:v>
                </c:pt>
                <c:pt idx="34">
                  <c:v>-2.08</c:v>
                </c:pt>
                <c:pt idx="35">
                  <c:v>-2.166666666666667</c:v>
                </c:pt>
                <c:pt idx="36">
                  <c:v>-2.2533333333333339</c:v>
                </c:pt>
                <c:pt idx="37">
                  <c:v>-2.3400000000000007</c:v>
                </c:pt>
                <c:pt idx="38">
                  <c:v>-2.4266666666666676</c:v>
                </c:pt>
                <c:pt idx="39">
                  <c:v>-2.5133333333333345</c:v>
                </c:pt>
                <c:pt idx="40">
                  <c:v>-2.6</c:v>
                </c:pt>
                <c:pt idx="41">
                  <c:v>-2.7850000000000001</c:v>
                </c:pt>
                <c:pt idx="42">
                  <c:v>-2.97</c:v>
                </c:pt>
                <c:pt idx="43">
                  <c:v>-3.1550000000000002</c:v>
                </c:pt>
                <c:pt idx="44">
                  <c:v>-3.3400000000000003</c:v>
                </c:pt>
                <c:pt idx="45">
                  <c:v>-3.5250000000000004</c:v>
                </c:pt>
                <c:pt idx="46">
                  <c:v>-3.7100000000000004</c:v>
                </c:pt>
                <c:pt idx="47">
                  <c:v>-3.8950000000000005</c:v>
                </c:pt>
                <c:pt idx="48">
                  <c:v>-4.08</c:v>
                </c:pt>
                <c:pt idx="49">
                  <c:v>-4.2649999999999997</c:v>
                </c:pt>
                <c:pt idx="50">
                  <c:v>-4.4499999999999993</c:v>
                </c:pt>
                <c:pt idx="51">
                  <c:v>-4.6349999999999989</c:v>
                </c:pt>
                <c:pt idx="52">
                  <c:v>-4.8199999999999985</c:v>
                </c:pt>
                <c:pt idx="53">
                  <c:v>-5.0049999999999981</c:v>
                </c:pt>
                <c:pt idx="54">
                  <c:v>-5.1899999999999977</c:v>
                </c:pt>
                <c:pt idx="55">
                  <c:v>-5.3749999999999973</c:v>
                </c:pt>
                <c:pt idx="56">
                  <c:v>-5.5599999999999969</c:v>
                </c:pt>
                <c:pt idx="57">
                  <c:v>-5.7449999999999966</c:v>
                </c:pt>
                <c:pt idx="58">
                  <c:v>-5.9299999999999962</c:v>
                </c:pt>
                <c:pt idx="59">
                  <c:v>-6.1149999999999958</c:v>
                </c:pt>
                <c:pt idx="60">
                  <c:v>-6.3</c:v>
                </c:pt>
                <c:pt idx="61">
                  <c:v>-6.42</c:v>
                </c:pt>
                <c:pt idx="62">
                  <c:v>-6.54</c:v>
                </c:pt>
                <c:pt idx="63">
                  <c:v>-6.66</c:v>
                </c:pt>
                <c:pt idx="64">
                  <c:v>-6.78</c:v>
                </c:pt>
                <c:pt idx="65">
                  <c:v>-6.9</c:v>
                </c:pt>
                <c:pt idx="66">
                  <c:v>-7.0200000000000005</c:v>
                </c:pt>
                <c:pt idx="67">
                  <c:v>-7.1400000000000006</c:v>
                </c:pt>
                <c:pt idx="68">
                  <c:v>-7.2600000000000007</c:v>
                </c:pt>
                <c:pt idx="69">
                  <c:v>-7.3800000000000008</c:v>
                </c:pt>
                <c:pt idx="70">
                  <c:v>-7.5000000000000009</c:v>
                </c:pt>
                <c:pt idx="71">
                  <c:v>-7.620000000000001</c:v>
                </c:pt>
                <c:pt idx="72">
                  <c:v>-7.7400000000000011</c:v>
                </c:pt>
                <c:pt idx="73">
                  <c:v>-7.8600000000000012</c:v>
                </c:pt>
                <c:pt idx="74">
                  <c:v>-7.9800000000000013</c:v>
                </c:pt>
                <c:pt idx="75">
                  <c:v>-8.1000000000000014</c:v>
                </c:pt>
                <c:pt idx="76">
                  <c:v>-8.2200000000000006</c:v>
                </c:pt>
                <c:pt idx="77">
                  <c:v>-8.34</c:v>
                </c:pt>
                <c:pt idx="78">
                  <c:v>-8.4599999999999991</c:v>
                </c:pt>
                <c:pt idx="79">
                  <c:v>-8.5799999999999983</c:v>
                </c:pt>
                <c:pt idx="80">
                  <c:v>-8.6999999999999993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'Hotter&amp;Drier'!$G$18:$G$98</c:f>
              <c:numCache>
                <c:formatCode>0.0000</c:formatCode>
                <c:ptCount val="81"/>
                <c:pt idx="0">
                  <c:v>0</c:v>
                </c:pt>
                <c:pt idx="1">
                  <c:v>-4.4999999999999998E-2</c:v>
                </c:pt>
                <c:pt idx="2">
                  <c:v>-0.09</c:v>
                </c:pt>
                <c:pt idx="3">
                  <c:v>-0.13500000000000001</c:v>
                </c:pt>
                <c:pt idx="4">
                  <c:v>-0.18</c:v>
                </c:pt>
                <c:pt idx="5">
                  <c:v>-0.22499999999999998</c:v>
                </c:pt>
                <c:pt idx="6">
                  <c:v>-0.26999999999999996</c:v>
                </c:pt>
                <c:pt idx="7">
                  <c:v>-0.31499999999999995</c:v>
                </c:pt>
                <c:pt idx="8">
                  <c:v>-0.35999999999999993</c:v>
                </c:pt>
                <c:pt idx="9">
                  <c:v>-0.40499999999999992</c:v>
                </c:pt>
                <c:pt idx="10">
                  <c:v>-0.4499999999999999</c:v>
                </c:pt>
                <c:pt idx="11">
                  <c:v>-0.49499999999999988</c:v>
                </c:pt>
                <c:pt idx="12">
                  <c:v>-0.53999999999999992</c:v>
                </c:pt>
                <c:pt idx="13">
                  <c:v>-0.58499999999999996</c:v>
                </c:pt>
                <c:pt idx="14">
                  <c:v>-0.63</c:v>
                </c:pt>
                <c:pt idx="15">
                  <c:v>-0.67500000000000004</c:v>
                </c:pt>
                <c:pt idx="16">
                  <c:v>-0.72000000000000008</c:v>
                </c:pt>
                <c:pt idx="17">
                  <c:v>-0.76500000000000012</c:v>
                </c:pt>
                <c:pt idx="18">
                  <c:v>-0.81000000000000016</c:v>
                </c:pt>
                <c:pt idx="19">
                  <c:v>-0.8550000000000002</c:v>
                </c:pt>
                <c:pt idx="20">
                  <c:v>-0.9</c:v>
                </c:pt>
                <c:pt idx="21">
                  <c:v>-0.99</c:v>
                </c:pt>
                <c:pt idx="22">
                  <c:v>-1.08</c:v>
                </c:pt>
                <c:pt idx="23">
                  <c:v>-1.1700000000000002</c:v>
                </c:pt>
                <c:pt idx="24">
                  <c:v>-1.2600000000000002</c:v>
                </c:pt>
                <c:pt idx="25">
                  <c:v>-1.3500000000000003</c:v>
                </c:pt>
                <c:pt idx="26">
                  <c:v>-1.4400000000000004</c:v>
                </c:pt>
                <c:pt idx="27">
                  <c:v>-1.5300000000000005</c:v>
                </c:pt>
                <c:pt idx="28">
                  <c:v>-1.6200000000000006</c:v>
                </c:pt>
                <c:pt idx="29">
                  <c:v>-1.7100000000000006</c:v>
                </c:pt>
                <c:pt idx="30">
                  <c:v>-1.8000000000000007</c:v>
                </c:pt>
                <c:pt idx="31">
                  <c:v>-1.8900000000000008</c:v>
                </c:pt>
                <c:pt idx="32">
                  <c:v>-1.9800000000000009</c:v>
                </c:pt>
                <c:pt idx="33">
                  <c:v>-2.0700000000000007</c:v>
                </c:pt>
                <c:pt idx="34">
                  <c:v>-2.1600000000000006</c:v>
                </c:pt>
                <c:pt idx="35">
                  <c:v>-2.2500000000000004</c:v>
                </c:pt>
                <c:pt idx="36">
                  <c:v>-2.3400000000000003</c:v>
                </c:pt>
                <c:pt idx="37">
                  <c:v>-2.4300000000000002</c:v>
                </c:pt>
                <c:pt idx="38">
                  <c:v>-2.52</c:v>
                </c:pt>
                <c:pt idx="39">
                  <c:v>-2.61</c:v>
                </c:pt>
                <c:pt idx="40">
                  <c:v>-2.7</c:v>
                </c:pt>
                <c:pt idx="41">
                  <c:v>-2.8150000000000004</c:v>
                </c:pt>
                <c:pt idx="42">
                  <c:v>-2.9300000000000006</c:v>
                </c:pt>
                <c:pt idx="43">
                  <c:v>-3.0450000000000008</c:v>
                </c:pt>
                <c:pt idx="44">
                  <c:v>-3.160000000000001</c:v>
                </c:pt>
                <c:pt idx="45">
                  <c:v>-3.2750000000000012</c:v>
                </c:pt>
                <c:pt idx="46">
                  <c:v>-3.3900000000000015</c:v>
                </c:pt>
                <c:pt idx="47">
                  <c:v>-3.5050000000000017</c:v>
                </c:pt>
                <c:pt idx="48">
                  <c:v>-3.6200000000000019</c:v>
                </c:pt>
                <c:pt idx="49">
                  <c:v>-3.7350000000000021</c:v>
                </c:pt>
                <c:pt idx="50">
                  <c:v>-3.8500000000000023</c:v>
                </c:pt>
                <c:pt idx="51">
                  <c:v>-3.9650000000000025</c:v>
                </c:pt>
                <c:pt idx="52">
                  <c:v>-4.0800000000000027</c:v>
                </c:pt>
                <c:pt idx="53">
                  <c:v>-4.1950000000000029</c:v>
                </c:pt>
                <c:pt idx="54">
                  <c:v>-4.3100000000000032</c:v>
                </c:pt>
                <c:pt idx="55">
                  <c:v>-4.4250000000000034</c:v>
                </c:pt>
                <c:pt idx="56">
                  <c:v>-4.5400000000000036</c:v>
                </c:pt>
                <c:pt idx="57">
                  <c:v>-4.6550000000000038</c:v>
                </c:pt>
                <c:pt idx="58">
                  <c:v>-4.770000000000004</c:v>
                </c:pt>
                <c:pt idx="59">
                  <c:v>-4.8850000000000042</c:v>
                </c:pt>
                <c:pt idx="60">
                  <c:v>-5</c:v>
                </c:pt>
                <c:pt idx="61">
                  <c:v>-5.07</c:v>
                </c:pt>
                <c:pt idx="62">
                  <c:v>-5.1400000000000006</c:v>
                </c:pt>
                <c:pt idx="63">
                  <c:v>-5.2100000000000009</c:v>
                </c:pt>
                <c:pt idx="64">
                  <c:v>-5.2800000000000011</c:v>
                </c:pt>
                <c:pt idx="65">
                  <c:v>-5.3500000000000014</c:v>
                </c:pt>
                <c:pt idx="66">
                  <c:v>-5.4200000000000017</c:v>
                </c:pt>
                <c:pt idx="67">
                  <c:v>-5.490000000000002</c:v>
                </c:pt>
                <c:pt idx="68">
                  <c:v>-5.5600000000000023</c:v>
                </c:pt>
                <c:pt idx="69">
                  <c:v>-5.6300000000000026</c:v>
                </c:pt>
                <c:pt idx="70">
                  <c:v>-5.7000000000000028</c:v>
                </c:pt>
                <c:pt idx="71">
                  <c:v>-5.7700000000000031</c:v>
                </c:pt>
                <c:pt idx="72">
                  <c:v>-5.8400000000000034</c:v>
                </c:pt>
                <c:pt idx="73">
                  <c:v>-5.9100000000000037</c:v>
                </c:pt>
                <c:pt idx="74">
                  <c:v>-5.980000000000004</c:v>
                </c:pt>
                <c:pt idx="75">
                  <c:v>-6.0500000000000043</c:v>
                </c:pt>
                <c:pt idx="76">
                  <c:v>-6.1200000000000045</c:v>
                </c:pt>
                <c:pt idx="77">
                  <c:v>-6.1900000000000048</c:v>
                </c:pt>
                <c:pt idx="78">
                  <c:v>-6.2600000000000051</c:v>
                </c:pt>
                <c:pt idx="79">
                  <c:v>-6.3300000000000054</c:v>
                </c:pt>
                <c:pt idx="80">
                  <c:v>-6.4</c:v>
                </c:pt>
              </c:numCache>
            </c:numRef>
          </c:yVal>
          <c:smooth val="1"/>
        </c:ser>
        <c:dLbls/>
        <c:axId val="47908352"/>
        <c:axId val="47910272"/>
      </c:scatterChart>
      <c:valAx>
        <c:axId val="4790835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47910272"/>
        <c:crosses val="autoZero"/>
        <c:crossBetween val="midCat"/>
      </c:valAx>
      <c:valAx>
        <c:axId val="479102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4790835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'Hotter&amp;Drier'!$D$5:$D$9</c:f>
              <c:numCache>
                <c:formatCode>0.00</c:formatCode>
                <c:ptCount val="5"/>
                <c:pt idx="0">
                  <c:v>0</c:v>
                </c:pt>
                <c:pt idx="1">
                  <c:v>-1.4000000000000001</c:v>
                </c:pt>
                <c:pt idx="2" formatCode="General">
                  <c:v>-4.2</c:v>
                </c:pt>
                <c:pt idx="3" formatCode="General">
                  <c:v>-10.199999999999999</c:v>
                </c:pt>
                <c:pt idx="4" formatCode="General">
                  <c:v>-14.1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'Hotter&amp;Drier'!$E$5:$E$9</c:f>
              <c:numCache>
                <c:formatCode>0.00</c:formatCode>
                <c:ptCount val="5"/>
                <c:pt idx="0">
                  <c:v>0</c:v>
                </c:pt>
                <c:pt idx="1">
                  <c:v>-1.4666666666666668</c:v>
                </c:pt>
                <c:pt idx="2" formatCode="General">
                  <c:v>-4.4000000000000004</c:v>
                </c:pt>
                <c:pt idx="3" formatCode="General">
                  <c:v>-8.1999999999999993</c:v>
                </c:pt>
                <c:pt idx="4" formatCode="General">
                  <c:v>-10.4</c:v>
                </c:pt>
              </c:numCache>
            </c:numRef>
          </c:yVal>
          <c:smooth val="1"/>
        </c:ser>
        <c:dLbls/>
        <c:axId val="47960832"/>
        <c:axId val="47962752"/>
      </c:scatterChart>
      <c:valAx>
        <c:axId val="4796083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47962752"/>
        <c:crosses val="autoZero"/>
        <c:crossBetween val="midCat"/>
      </c:valAx>
      <c:valAx>
        <c:axId val="4796275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4796083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'Hotter&amp;Drier'!$U$18:$U$128</c:f>
              <c:numCache>
                <c:formatCode>0.00</c:formatCode>
                <c:ptCount val="111"/>
                <c:pt idx="0">
                  <c:v>1094</c:v>
                </c:pt>
                <c:pt idx="1">
                  <c:v>1093.2342000000001</c:v>
                </c:pt>
                <c:pt idx="2">
                  <c:v>1092.4684</c:v>
                </c:pt>
                <c:pt idx="3">
                  <c:v>1091.7026000000001</c:v>
                </c:pt>
                <c:pt idx="4">
                  <c:v>1090.9367999999999</c:v>
                </c:pt>
                <c:pt idx="5">
                  <c:v>1090.171</c:v>
                </c:pt>
                <c:pt idx="6">
                  <c:v>1089.4051999999999</c:v>
                </c:pt>
                <c:pt idx="7">
                  <c:v>1088.6394</c:v>
                </c:pt>
                <c:pt idx="8">
                  <c:v>1087.8735999999999</c:v>
                </c:pt>
                <c:pt idx="9">
                  <c:v>1087.1078</c:v>
                </c:pt>
                <c:pt idx="10">
                  <c:v>1086.3420000000001</c:v>
                </c:pt>
                <c:pt idx="11">
                  <c:v>1085.5762</c:v>
                </c:pt>
                <c:pt idx="12">
                  <c:v>1084.8104000000001</c:v>
                </c:pt>
                <c:pt idx="13">
                  <c:v>1084.0445999999999</c:v>
                </c:pt>
                <c:pt idx="14">
                  <c:v>1083.2788</c:v>
                </c:pt>
                <c:pt idx="15">
                  <c:v>1082.5129999999999</c:v>
                </c:pt>
                <c:pt idx="16">
                  <c:v>1081.7472</c:v>
                </c:pt>
                <c:pt idx="17">
                  <c:v>1080.9813999999999</c:v>
                </c:pt>
                <c:pt idx="18">
                  <c:v>1080.2156</c:v>
                </c:pt>
                <c:pt idx="19">
                  <c:v>1079.4498000000001</c:v>
                </c:pt>
                <c:pt idx="20">
                  <c:v>1078.684</c:v>
                </c:pt>
                <c:pt idx="21">
                  <c:v>1077.1523999999999</c:v>
                </c:pt>
                <c:pt idx="22">
                  <c:v>1075.6207999999999</c:v>
                </c:pt>
                <c:pt idx="23">
                  <c:v>1074.0891999999999</c:v>
                </c:pt>
                <c:pt idx="24">
                  <c:v>1072.5576000000001</c:v>
                </c:pt>
                <c:pt idx="25">
                  <c:v>1071.0260000000001</c:v>
                </c:pt>
                <c:pt idx="26">
                  <c:v>1069.4944</c:v>
                </c:pt>
                <c:pt idx="27">
                  <c:v>1067.9628</c:v>
                </c:pt>
                <c:pt idx="28">
                  <c:v>1066.4312</c:v>
                </c:pt>
                <c:pt idx="29">
                  <c:v>1064.8996</c:v>
                </c:pt>
                <c:pt idx="30">
                  <c:v>1063.3679999999999</c:v>
                </c:pt>
                <c:pt idx="31">
                  <c:v>1061.8363999999999</c:v>
                </c:pt>
                <c:pt idx="32">
                  <c:v>1060.3047999999999</c:v>
                </c:pt>
                <c:pt idx="33">
                  <c:v>1058.7732000000001</c:v>
                </c:pt>
                <c:pt idx="34">
                  <c:v>1057.2416000000001</c:v>
                </c:pt>
                <c:pt idx="35">
                  <c:v>1055.71</c:v>
                </c:pt>
                <c:pt idx="36">
                  <c:v>1054.1784</c:v>
                </c:pt>
                <c:pt idx="37">
                  <c:v>1052.6468</c:v>
                </c:pt>
                <c:pt idx="38">
                  <c:v>1051.1152</c:v>
                </c:pt>
                <c:pt idx="39">
                  <c:v>1049.5835999999999</c:v>
                </c:pt>
                <c:pt idx="40">
                  <c:v>1048.0519999999999</c:v>
                </c:pt>
                <c:pt idx="41">
                  <c:v>1044.77</c:v>
                </c:pt>
                <c:pt idx="42">
                  <c:v>1041.4880000000001</c:v>
                </c:pt>
                <c:pt idx="43">
                  <c:v>1038.2059999999999</c:v>
                </c:pt>
                <c:pt idx="44">
                  <c:v>1034.924</c:v>
                </c:pt>
                <c:pt idx="45">
                  <c:v>1031.6420000000001</c:v>
                </c:pt>
                <c:pt idx="46">
                  <c:v>1028.3600000000001</c:v>
                </c:pt>
                <c:pt idx="47">
                  <c:v>1025.078</c:v>
                </c:pt>
                <c:pt idx="48">
                  <c:v>1021.796</c:v>
                </c:pt>
                <c:pt idx="49">
                  <c:v>1018.514</c:v>
                </c:pt>
                <c:pt idx="50">
                  <c:v>1015.232</c:v>
                </c:pt>
                <c:pt idx="51">
                  <c:v>1011.95</c:v>
                </c:pt>
                <c:pt idx="52">
                  <c:v>1008.668</c:v>
                </c:pt>
                <c:pt idx="53">
                  <c:v>1005.386</c:v>
                </c:pt>
                <c:pt idx="54">
                  <c:v>1002.104</c:v>
                </c:pt>
                <c:pt idx="55">
                  <c:v>998.822</c:v>
                </c:pt>
                <c:pt idx="56">
                  <c:v>995.54</c:v>
                </c:pt>
                <c:pt idx="57">
                  <c:v>992.25800000000004</c:v>
                </c:pt>
                <c:pt idx="58">
                  <c:v>988.976</c:v>
                </c:pt>
                <c:pt idx="59">
                  <c:v>985.69399999999996</c:v>
                </c:pt>
                <c:pt idx="60">
                  <c:v>982.41200000000003</c:v>
                </c:pt>
                <c:pt idx="61">
                  <c:v>980.27870000000007</c:v>
                </c:pt>
                <c:pt idx="62">
                  <c:v>978.1454</c:v>
                </c:pt>
                <c:pt idx="63">
                  <c:v>976.01210000000003</c:v>
                </c:pt>
                <c:pt idx="64">
                  <c:v>973.87879999999996</c:v>
                </c:pt>
                <c:pt idx="65">
                  <c:v>971.74549999999999</c:v>
                </c:pt>
                <c:pt idx="66">
                  <c:v>969.61220000000003</c:v>
                </c:pt>
                <c:pt idx="67">
                  <c:v>967.47889999999995</c:v>
                </c:pt>
                <c:pt idx="68">
                  <c:v>965.34559999999999</c:v>
                </c:pt>
                <c:pt idx="69">
                  <c:v>963.21229999999991</c:v>
                </c:pt>
                <c:pt idx="70">
                  <c:v>961.07899999999995</c:v>
                </c:pt>
                <c:pt idx="71">
                  <c:v>958.94569999999999</c:v>
                </c:pt>
                <c:pt idx="72">
                  <c:v>956.81240000000003</c:v>
                </c:pt>
                <c:pt idx="73">
                  <c:v>954.67909999999995</c:v>
                </c:pt>
                <c:pt idx="74">
                  <c:v>952.54579999999999</c:v>
                </c:pt>
                <c:pt idx="75">
                  <c:v>950.41249999999991</c:v>
                </c:pt>
                <c:pt idx="76">
                  <c:v>948.27919999999995</c:v>
                </c:pt>
                <c:pt idx="77">
                  <c:v>946.14589999999998</c:v>
                </c:pt>
                <c:pt idx="78">
                  <c:v>944.01259999999991</c:v>
                </c:pt>
                <c:pt idx="79">
                  <c:v>941.87929999999994</c:v>
                </c:pt>
                <c:pt idx="80">
                  <c:v>939.74599999999998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'Hotter&amp;Drier'!$V$18:$V$128</c:f>
              <c:numCache>
                <c:formatCode>0.00</c:formatCode>
                <c:ptCount val="111"/>
                <c:pt idx="0">
                  <c:v>1094</c:v>
                </c:pt>
                <c:pt idx="1">
                  <c:v>1093.1977333333334</c:v>
                </c:pt>
                <c:pt idx="2">
                  <c:v>1092.3954666666666</c:v>
                </c:pt>
                <c:pt idx="3">
                  <c:v>1091.5932</c:v>
                </c:pt>
                <c:pt idx="4">
                  <c:v>1090.7909333333334</c:v>
                </c:pt>
                <c:pt idx="5">
                  <c:v>1089.9886666666666</c:v>
                </c:pt>
                <c:pt idx="6">
                  <c:v>1089.1864</c:v>
                </c:pt>
                <c:pt idx="7">
                  <c:v>1088.3841333333332</c:v>
                </c:pt>
                <c:pt idx="8">
                  <c:v>1087.5818666666667</c:v>
                </c:pt>
                <c:pt idx="9">
                  <c:v>1086.7796000000001</c:v>
                </c:pt>
                <c:pt idx="10">
                  <c:v>1085.9773333333333</c:v>
                </c:pt>
                <c:pt idx="11">
                  <c:v>1085.1750666666667</c:v>
                </c:pt>
                <c:pt idx="12">
                  <c:v>1084.3728000000001</c:v>
                </c:pt>
                <c:pt idx="13">
                  <c:v>1083.5705333333333</c:v>
                </c:pt>
                <c:pt idx="14">
                  <c:v>1082.7682666666667</c:v>
                </c:pt>
                <c:pt idx="15">
                  <c:v>1081.9659999999999</c:v>
                </c:pt>
                <c:pt idx="16">
                  <c:v>1081.1637333333333</c:v>
                </c:pt>
                <c:pt idx="17">
                  <c:v>1080.3614666666667</c:v>
                </c:pt>
                <c:pt idx="18">
                  <c:v>1079.5591999999999</c:v>
                </c:pt>
                <c:pt idx="19">
                  <c:v>1078.7569333333333</c:v>
                </c:pt>
                <c:pt idx="20">
                  <c:v>1077.9546666666668</c:v>
                </c:pt>
                <c:pt idx="21">
                  <c:v>1076.3501333333334</c:v>
                </c:pt>
                <c:pt idx="22">
                  <c:v>1074.7456</c:v>
                </c:pt>
                <c:pt idx="23">
                  <c:v>1073.1410666666666</c:v>
                </c:pt>
                <c:pt idx="24">
                  <c:v>1071.5365333333334</c:v>
                </c:pt>
                <c:pt idx="25">
                  <c:v>1069.932</c:v>
                </c:pt>
                <c:pt idx="26">
                  <c:v>1068.3274666666666</c:v>
                </c:pt>
                <c:pt idx="27">
                  <c:v>1066.7229333333332</c:v>
                </c:pt>
                <c:pt idx="28">
                  <c:v>1065.1184000000001</c:v>
                </c:pt>
                <c:pt idx="29">
                  <c:v>1063.5138666666667</c:v>
                </c:pt>
                <c:pt idx="30">
                  <c:v>1061.9093333333333</c:v>
                </c:pt>
                <c:pt idx="31">
                  <c:v>1060.3048000000001</c:v>
                </c:pt>
                <c:pt idx="32">
                  <c:v>1058.7002666666667</c:v>
                </c:pt>
                <c:pt idx="33">
                  <c:v>1057.0957333333333</c:v>
                </c:pt>
                <c:pt idx="34">
                  <c:v>1055.4911999999999</c:v>
                </c:pt>
                <c:pt idx="35">
                  <c:v>1053.8866666666668</c:v>
                </c:pt>
                <c:pt idx="36">
                  <c:v>1052.2821333333334</c:v>
                </c:pt>
                <c:pt idx="37">
                  <c:v>1050.6776</c:v>
                </c:pt>
                <c:pt idx="38">
                  <c:v>1049.0730666666666</c:v>
                </c:pt>
                <c:pt idx="39">
                  <c:v>1047.4685333333334</c:v>
                </c:pt>
                <c:pt idx="40">
                  <c:v>1045.864</c:v>
                </c:pt>
                <c:pt idx="41">
                  <c:v>1043.7854</c:v>
                </c:pt>
                <c:pt idx="42">
                  <c:v>1041.7067999999999</c:v>
                </c:pt>
                <c:pt idx="43">
                  <c:v>1039.6282000000001</c:v>
                </c:pt>
                <c:pt idx="44">
                  <c:v>1037.5496000000001</c:v>
                </c:pt>
                <c:pt idx="45">
                  <c:v>1035.471</c:v>
                </c:pt>
                <c:pt idx="46">
                  <c:v>1033.3924</c:v>
                </c:pt>
                <c:pt idx="47">
                  <c:v>1031.3138000000001</c:v>
                </c:pt>
                <c:pt idx="48">
                  <c:v>1029.2352000000001</c:v>
                </c:pt>
                <c:pt idx="49">
                  <c:v>1027.1566</c:v>
                </c:pt>
                <c:pt idx="50">
                  <c:v>1025.078</c:v>
                </c:pt>
                <c:pt idx="51">
                  <c:v>1022.9994</c:v>
                </c:pt>
                <c:pt idx="52">
                  <c:v>1020.9208000000001</c:v>
                </c:pt>
                <c:pt idx="53">
                  <c:v>1018.8422</c:v>
                </c:pt>
                <c:pt idx="54">
                  <c:v>1016.7636000000001</c:v>
                </c:pt>
                <c:pt idx="55">
                  <c:v>1014.6850000000001</c:v>
                </c:pt>
                <c:pt idx="56">
                  <c:v>1012.6064000000001</c:v>
                </c:pt>
                <c:pt idx="57">
                  <c:v>1010.5278000000001</c:v>
                </c:pt>
                <c:pt idx="58">
                  <c:v>1008.4492000000001</c:v>
                </c:pt>
                <c:pt idx="59">
                  <c:v>1006.3706000000001</c:v>
                </c:pt>
                <c:pt idx="60">
                  <c:v>1004.292</c:v>
                </c:pt>
                <c:pt idx="61">
                  <c:v>1003.0886</c:v>
                </c:pt>
                <c:pt idx="62">
                  <c:v>1001.8852000000001</c:v>
                </c:pt>
                <c:pt idx="63">
                  <c:v>1000.6818000000001</c:v>
                </c:pt>
                <c:pt idx="64">
                  <c:v>999.47840000000008</c:v>
                </c:pt>
                <c:pt idx="65">
                  <c:v>998.27500000000009</c:v>
                </c:pt>
                <c:pt idx="66">
                  <c:v>997.07159999999999</c:v>
                </c:pt>
                <c:pt idx="67">
                  <c:v>995.86820000000012</c:v>
                </c:pt>
                <c:pt idx="68">
                  <c:v>994.66480000000001</c:v>
                </c:pt>
                <c:pt idx="69">
                  <c:v>993.46140000000003</c:v>
                </c:pt>
                <c:pt idx="70">
                  <c:v>992.25800000000004</c:v>
                </c:pt>
                <c:pt idx="71">
                  <c:v>991.05460000000005</c:v>
                </c:pt>
                <c:pt idx="72">
                  <c:v>989.85120000000006</c:v>
                </c:pt>
                <c:pt idx="73">
                  <c:v>988.64780000000007</c:v>
                </c:pt>
                <c:pt idx="74">
                  <c:v>987.44440000000009</c:v>
                </c:pt>
                <c:pt idx="75">
                  <c:v>986.2410000000001</c:v>
                </c:pt>
                <c:pt idx="76">
                  <c:v>985.03760000000011</c:v>
                </c:pt>
                <c:pt idx="77">
                  <c:v>983.83420000000012</c:v>
                </c:pt>
                <c:pt idx="78">
                  <c:v>982.63080000000014</c:v>
                </c:pt>
                <c:pt idx="79">
                  <c:v>981.42740000000015</c:v>
                </c:pt>
                <c:pt idx="80">
                  <c:v>980.22399999999993</c:v>
                </c:pt>
              </c:numCache>
            </c:numRef>
          </c:yVal>
          <c:smooth val="1"/>
        </c:ser>
        <c:dLbls/>
        <c:axId val="65454080"/>
        <c:axId val="65456000"/>
      </c:scatterChart>
      <c:valAx>
        <c:axId val="6545408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5456000"/>
        <c:crosses val="autoZero"/>
        <c:crossBetween val="midCat"/>
      </c:valAx>
      <c:valAx>
        <c:axId val="6545600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</c:title>
        <c:numFmt formatCode="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545408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944444444444445"/>
          <c:y val="0.56906058617672783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'Hotter&amp;Drier'!$D$18:$D$98</c:f>
              <c:numCache>
                <c:formatCode>0.0000</c:formatCode>
                <c:ptCount val="81"/>
                <c:pt idx="0">
                  <c:v>0</c:v>
                </c:pt>
                <c:pt idx="1">
                  <c:v>-7.0000000000000007E-2</c:v>
                </c:pt>
                <c:pt idx="2">
                  <c:v>-0.14000000000000001</c:v>
                </c:pt>
                <c:pt idx="3">
                  <c:v>-0.21000000000000002</c:v>
                </c:pt>
                <c:pt idx="4">
                  <c:v>-0.28000000000000003</c:v>
                </c:pt>
                <c:pt idx="5">
                  <c:v>-0.35000000000000003</c:v>
                </c:pt>
                <c:pt idx="6">
                  <c:v>-0.42000000000000004</c:v>
                </c:pt>
                <c:pt idx="7">
                  <c:v>-0.49000000000000005</c:v>
                </c:pt>
                <c:pt idx="8">
                  <c:v>-0.56000000000000005</c:v>
                </c:pt>
                <c:pt idx="9">
                  <c:v>-0.63000000000000012</c:v>
                </c:pt>
                <c:pt idx="10">
                  <c:v>-0.70000000000000018</c:v>
                </c:pt>
                <c:pt idx="11">
                  <c:v>-0.77000000000000024</c:v>
                </c:pt>
                <c:pt idx="12">
                  <c:v>-0.8400000000000003</c:v>
                </c:pt>
                <c:pt idx="13">
                  <c:v>-0.91000000000000036</c:v>
                </c:pt>
                <c:pt idx="14">
                  <c:v>-0.98000000000000043</c:v>
                </c:pt>
                <c:pt idx="15">
                  <c:v>-1.0500000000000005</c:v>
                </c:pt>
                <c:pt idx="16">
                  <c:v>-1.1200000000000006</c:v>
                </c:pt>
                <c:pt idx="17">
                  <c:v>-1.1900000000000006</c:v>
                </c:pt>
                <c:pt idx="18">
                  <c:v>-1.2600000000000007</c:v>
                </c:pt>
                <c:pt idx="19">
                  <c:v>-1.3300000000000007</c:v>
                </c:pt>
                <c:pt idx="20">
                  <c:v>-1.4000000000000001</c:v>
                </c:pt>
                <c:pt idx="21">
                  <c:v>-1.54</c:v>
                </c:pt>
                <c:pt idx="22">
                  <c:v>-1.68</c:v>
                </c:pt>
                <c:pt idx="23">
                  <c:v>-1.8199999999999998</c:v>
                </c:pt>
                <c:pt idx="24">
                  <c:v>-1.9599999999999997</c:v>
                </c:pt>
                <c:pt idx="25">
                  <c:v>-2.0999999999999996</c:v>
                </c:pt>
                <c:pt idx="26">
                  <c:v>-2.2399999999999998</c:v>
                </c:pt>
                <c:pt idx="27">
                  <c:v>-2.38</c:v>
                </c:pt>
                <c:pt idx="28">
                  <c:v>-2.52</c:v>
                </c:pt>
                <c:pt idx="29">
                  <c:v>-2.66</c:v>
                </c:pt>
                <c:pt idx="30">
                  <c:v>-2.8000000000000003</c:v>
                </c:pt>
                <c:pt idx="31">
                  <c:v>-2.9400000000000004</c:v>
                </c:pt>
                <c:pt idx="32">
                  <c:v>-3.0800000000000005</c:v>
                </c:pt>
                <c:pt idx="33">
                  <c:v>-3.2200000000000006</c:v>
                </c:pt>
                <c:pt idx="34">
                  <c:v>-3.3600000000000008</c:v>
                </c:pt>
                <c:pt idx="35">
                  <c:v>-3.5000000000000009</c:v>
                </c:pt>
                <c:pt idx="36">
                  <c:v>-3.640000000000001</c:v>
                </c:pt>
                <c:pt idx="37">
                  <c:v>-3.7800000000000011</c:v>
                </c:pt>
                <c:pt idx="38">
                  <c:v>-3.9200000000000013</c:v>
                </c:pt>
                <c:pt idx="39">
                  <c:v>-4.0600000000000014</c:v>
                </c:pt>
                <c:pt idx="40">
                  <c:v>-4.2</c:v>
                </c:pt>
                <c:pt idx="41">
                  <c:v>-4.5</c:v>
                </c:pt>
                <c:pt idx="42">
                  <c:v>-4.8</c:v>
                </c:pt>
                <c:pt idx="43">
                  <c:v>-5.0999999999999996</c:v>
                </c:pt>
                <c:pt idx="44">
                  <c:v>-5.3999999999999995</c:v>
                </c:pt>
                <c:pt idx="45">
                  <c:v>-5.6999999999999993</c:v>
                </c:pt>
                <c:pt idx="46">
                  <c:v>-5.9999999999999991</c:v>
                </c:pt>
                <c:pt idx="47">
                  <c:v>-6.2999999999999989</c:v>
                </c:pt>
                <c:pt idx="48">
                  <c:v>-6.5999999999999988</c:v>
                </c:pt>
                <c:pt idx="49">
                  <c:v>-6.8999999999999986</c:v>
                </c:pt>
                <c:pt idx="50">
                  <c:v>-7.1999999999999984</c:v>
                </c:pt>
                <c:pt idx="51">
                  <c:v>-7.4999999999999982</c:v>
                </c:pt>
                <c:pt idx="52">
                  <c:v>-7.799999999999998</c:v>
                </c:pt>
                <c:pt idx="53">
                  <c:v>-8.0999999999999979</c:v>
                </c:pt>
                <c:pt idx="54">
                  <c:v>-8.3999999999999986</c:v>
                </c:pt>
                <c:pt idx="55">
                  <c:v>-8.6999999999999993</c:v>
                </c:pt>
                <c:pt idx="56">
                  <c:v>-9</c:v>
                </c:pt>
                <c:pt idx="57">
                  <c:v>-9.3000000000000007</c:v>
                </c:pt>
                <c:pt idx="58">
                  <c:v>-9.6000000000000014</c:v>
                </c:pt>
                <c:pt idx="59">
                  <c:v>-9.9000000000000021</c:v>
                </c:pt>
                <c:pt idx="60">
                  <c:v>-10.199999999999999</c:v>
                </c:pt>
                <c:pt idx="61">
                  <c:v>-10.395</c:v>
                </c:pt>
                <c:pt idx="62">
                  <c:v>-10.59</c:v>
                </c:pt>
                <c:pt idx="63">
                  <c:v>-10.785</c:v>
                </c:pt>
                <c:pt idx="64">
                  <c:v>-10.98</c:v>
                </c:pt>
                <c:pt idx="65">
                  <c:v>-11.175000000000001</c:v>
                </c:pt>
                <c:pt idx="66">
                  <c:v>-11.370000000000001</c:v>
                </c:pt>
                <c:pt idx="67">
                  <c:v>-11.565000000000001</c:v>
                </c:pt>
                <c:pt idx="68">
                  <c:v>-11.760000000000002</c:v>
                </c:pt>
                <c:pt idx="69">
                  <c:v>-11.955000000000002</c:v>
                </c:pt>
                <c:pt idx="70">
                  <c:v>-12.150000000000002</c:v>
                </c:pt>
                <c:pt idx="71">
                  <c:v>-12.345000000000002</c:v>
                </c:pt>
                <c:pt idx="72">
                  <c:v>-12.540000000000003</c:v>
                </c:pt>
                <c:pt idx="73">
                  <c:v>-12.735000000000003</c:v>
                </c:pt>
                <c:pt idx="74">
                  <c:v>-12.930000000000003</c:v>
                </c:pt>
                <c:pt idx="75">
                  <c:v>-13.125000000000004</c:v>
                </c:pt>
                <c:pt idx="76">
                  <c:v>-13.320000000000004</c:v>
                </c:pt>
                <c:pt idx="77">
                  <c:v>-13.515000000000004</c:v>
                </c:pt>
                <c:pt idx="78">
                  <c:v>-13.710000000000004</c:v>
                </c:pt>
                <c:pt idx="79">
                  <c:v>-13.905000000000005</c:v>
                </c:pt>
                <c:pt idx="80">
                  <c:v>-14.1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'Hotter&amp;Drier'!$E$18:$E$98</c:f>
              <c:numCache>
                <c:formatCode>0.0000</c:formatCode>
                <c:ptCount val="81"/>
                <c:pt idx="0">
                  <c:v>0</c:v>
                </c:pt>
                <c:pt idx="1">
                  <c:v>-7.3333333333333334E-2</c:v>
                </c:pt>
                <c:pt idx="2">
                  <c:v>-0.14666666666666667</c:v>
                </c:pt>
                <c:pt idx="3">
                  <c:v>-0.22</c:v>
                </c:pt>
                <c:pt idx="4">
                  <c:v>-0.29333333333333333</c:v>
                </c:pt>
                <c:pt idx="5">
                  <c:v>-0.3666666666666667</c:v>
                </c:pt>
                <c:pt idx="6">
                  <c:v>-0.44000000000000006</c:v>
                </c:pt>
                <c:pt idx="7">
                  <c:v>-0.51333333333333342</c:v>
                </c:pt>
                <c:pt idx="8">
                  <c:v>-0.58666666666666678</c:v>
                </c:pt>
                <c:pt idx="9">
                  <c:v>-0.66000000000000014</c:v>
                </c:pt>
                <c:pt idx="10">
                  <c:v>-0.7333333333333335</c:v>
                </c:pt>
                <c:pt idx="11">
                  <c:v>-0.80666666666666687</c:v>
                </c:pt>
                <c:pt idx="12">
                  <c:v>-0.88000000000000023</c:v>
                </c:pt>
                <c:pt idx="13">
                  <c:v>-0.95333333333333359</c:v>
                </c:pt>
                <c:pt idx="14">
                  <c:v>-1.0266666666666668</c:v>
                </c:pt>
                <c:pt idx="15">
                  <c:v>-1.1000000000000001</c:v>
                </c:pt>
                <c:pt idx="16">
                  <c:v>-1.1733333333333333</c:v>
                </c:pt>
                <c:pt idx="17">
                  <c:v>-1.2466666666666666</c:v>
                </c:pt>
                <c:pt idx="18">
                  <c:v>-1.3199999999999998</c:v>
                </c:pt>
                <c:pt idx="19">
                  <c:v>-1.3933333333333331</c:v>
                </c:pt>
                <c:pt idx="20">
                  <c:v>-1.4666666666666668</c:v>
                </c:pt>
                <c:pt idx="21">
                  <c:v>-1.6133333333333335</c:v>
                </c:pt>
                <c:pt idx="22">
                  <c:v>-1.7600000000000002</c:v>
                </c:pt>
                <c:pt idx="23">
                  <c:v>-1.906666666666667</c:v>
                </c:pt>
                <c:pt idx="24">
                  <c:v>-2.0533333333333337</c:v>
                </c:pt>
                <c:pt idx="25">
                  <c:v>-2.2000000000000002</c:v>
                </c:pt>
                <c:pt idx="26">
                  <c:v>-2.3466666666666667</c:v>
                </c:pt>
                <c:pt idx="27">
                  <c:v>-2.4933333333333332</c:v>
                </c:pt>
                <c:pt idx="28">
                  <c:v>-2.6399999999999997</c:v>
                </c:pt>
                <c:pt idx="29">
                  <c:v>-2.7866666666666662</c:v>
                </c:pt>
                <c:pt idx="30">
                  <c:v>-2.9333333333333327</c:v>
                </c:pt>
                <c:pt idx="31">
                  <c:v>-3.0799999999999992</c:v>
                </c:pt>
                <c:pt idx="32">
                  <c:v>-3.2266666666666657</c:v>
                </c:pt>
                <c:pt idx="33">
                  <c:v>-3.3733333333333322</c:v>
                </c:pt>
                <c:pt idx="34">
                  <c:v>-3.5199999999999987</c:v>
                </c:pt>
                <c:pt idx="35">
                  <c:v>-3.6666666666666652</c:v>
                </c:pt>
                <c:pt idx="36">
                  <c:v>-3.8133333333333317</c:v>
                </c:pt>
                <c:pt idx="37">
                  <c:v>-3.9599999999999982</c:v>
                </c:pt>
                <c:pt idx="38">
                  <c:v>-4.1066666666666647</c:v>
                </c:pt>
                <c:pt idx="39">
                  <c:v>-4.2533333333333312</c:v>
                </c:pt>
                <c:pt idx="40">
                  <c:v>-4.4000000000000004</c:v>
                </c:pt>
                <c:pt idx="41">
                  <c:v>-4.59</c:v>
                </c:pt>
                <c:pt idx="42">
                  <c:v>-4.7799999999999994</c:v>
                </c:pt>
                <c:pt idx="43">
                  <c:v>-4.9699999999999989</c:v>
                </c:pt>
                <c:pt idx="44">
                  <c:v>-5.1599999999999984</c:v>
                </c:pt>
                <c:pt idx="45">
                  <c:v>-5.3499999999999979</c:v>
                </c:pt>
                <c:pt idx="46">
                  <c:v>-5.5399999999999974</c:v>
                </c:pt>
                <c:pt idx="47">
                  <c:v>-5.7299999999999969</c:v>
                </c:pt>
                <c:pt idx="48">
                  <c:v>-5.9199999999999964</c:v>
                </c:pt>
                <c:pt idx="49">
                  <c:v>-6.1099999999999959</c:v>
                </c:pt>
                <c:pt idx="50">
                  <c:v>-6.2999999999999954</c:v>
                </c:pt>
                <c:pt idx="51">
                  <c:v>-6.4899999999999949</c:v>
                </c:pt>
                <c:pt idx="52">
                  <c:v>-6.6799999999999944</c:v>
                </c:pt>
                <c:pt idx="53">
                  <c:v>-6.8699999999999939</c:v>
                </c:pt>
                <c:pt idx="54">
                  <c:v>-7.0599999999999934</c:v>
                </c:pt>
                <c:pt idx="55">
                  <c:v>-7.2499999999999929</c:v>
                </c:pt>
                <c:pt idx="56">
                  <c:v>-7.4399999999999924</c:v>
                </c:pt>
                <c:pt idx="57">
                  <c:v>-7.6299999999999919</c:v>
                </c:pt>
                <c:pt idx="58">
                  <c:v>-7.8199999999999914</c:v>
                </c:pt>
                <c:pt idx="59">
                  <c:v>-8.0099999999999909</c:v>
                </c:pt>
                <c:pt idx="60">
                  <c:v>-8.1999999999999993</c:v>
                </c:pt>
                <c:pt idx="61">
                  <c:v>-8.3099999999999987</c:v>
                </c:pt>
                <c:pt idx="62">
                  <c:v>-8.4199999999999982</c:v>
                </c:pt>
                <c:pt idx="63">
                  <c:v>-8.5299999999999976</c:v>
                </c:pt>
                <c:pt idx="64">
                  <c:v>-8.639999999999997</c:v>
                </c:pt>
                <c:pt idx="65">
                  <c:v>-8.7499999999999964</c:v>
                </c:pt>
                <c:pt idx="66">
                  <c:v>-8.8599999999999959</c:v>
                </c:pt>
                <c:pt idx="67">
                  <c:v>-8.9699999999999953</c:v>
                </c:pt>
                <c:pt idx="68">
                  <c:v>-9.0799999999999947</c:v>
                </c:pt>
                <c:pt idx="69">
                  <c:v>-9.1899999999999942</c:v>
                </c:pt>
                <c:pt idx="70">
                  <c:v>-9.2999999999999936</c:v>
                </c:pt>
                <c:pt idx="71">
                  <c:v>-9.409999999999993</c:v>
                </c:pt>
                <c:pt idx="72">
                  <c:v>-9.5199999999999925</c:v>
                </c:pt>
                <c:pt idx="73">
                  <c:v>-9.6299999999999919</c:v>
                </c:pt>
                <c:pt idx="74">
                  <c:v>-9.7399999999999913</c:v>
                </c:pt>
                <c:pt idx="75">
                  <c:v>-9.8499999999999908</c:v>
                </c:pt>
                <c:pt idx="76">
                  <c:v>-9.9599999999999902</c:v>
                </c:pt>
                <c:pt idx="77">
                  <c:v>-10.06999999999999</c:v>
                </c:pt>
                <c:pt idx="78">
                  <c:v>-10.179999999999989</c:v>
                </c:pt>
                <c:pt idx="79">
                  <c:v>-10.289999999999988</c:v>
                </c:pt>
                <c:pt idx="80">
                  <c:v>-10.4</c:v>
                </c:pt>
              </c:numCache>
            </c:numRef>
          </c:yVal>
          <c:smooth val="1"/>
        </c:ser>
        <c:dLbls/>
        <c:axId val="65643264"/>
        <c:axId val="65645184"/>
      </c:scatterChart>
      <c:valAx>
        <c:axId val="6564326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65645184"/>
        <c:crosses val="autoZero"/>
        <c:crossBetween val="midCat"/>
      </c:valAx>
      <c:valAx>
        <c:axId val="656451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564326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'Hotter&amp;Drier'!$H$5:$H$9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1.9</c:v>
                </c:pt>
                <c:pt idx="4">
                  <c:v>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'Hotter&amp;Drier'!$I$5:$I$9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1.6</c:v>
                </c:pt>
                <c:pt idx="4">
                  <c:v>2.2000000000000002</c:v>
                </c:pt>
              </c:numCache>
            </c:numRef>
          </c:yVal>
          <c:smooth val="1"/>
        </c:ser>
        <c:dLbls/>
        <c:axId val="65675264"/>
        <c:axId val="65677184"/>
      </c:scatterChart>
      <c:valAx>
        <c:axId val="6567526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65677184"/>
        <c:crosses val="autoZero"/>
        <c:crossBetween val="midCat"/>
      </c:valAx>
      <c:valAx>
        <c:axId val="656771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567526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19.315000000000001</c:v>
                </c:pt>
                <c:pt idx="2">
                  <c:v>19.330000000000002</c:v>
                </c:pt>
                <c:pt idx="3">
                  <c:v>19.345000000000002</c:v>
                </c:pt>
                <c:pt idx="4">
                  <c:v>19.36</c:v>
                </c:pt>
                <c:pt idx="5">
                  <c:v>19.375</c:v>
                </c:pt>
                <c:pt idx="6">
                  <c:v>19.39</c:v>
                </c:pt>
                <c:pt idx="7">
                  <c:v>19.405000000000001</c:v>
                </c:pt>
                <c:pt idx="8">
                  <c:v>19.420000000000002</c:v>
                </c:pt>
                <c:pt idx="9">
                  <c:v>19.435000000000002</c:v>
                </c:pt>
                <c:pt idx="10">
                  <c:v>19.45</c:v>
                </c:pt>
                <c:pt idx="11">
                  <c:v>19.465</c:v>
                </c:pt>
                <c:pt idx="12">
                  <c:v>19.48</c:v>
                </c:pt>
                <c:pt idx="13">
                  <c:v>19.495000000000001</c:v>
                </c:pt>
                <c:pt idx="14">
                  <c:v>19.510000000000002</c:v>
                </c:pt>
                <c:pt idx="15">
                  <c:v>19.525000000000002</c:v>
                </c:pt>
                <c:pt idx="16">
                  <c:v>19.54</c:v>
                </c:pt>
                <c:pt idx="17">
                  <c:v>19.555</c:v>
                </c:pt>
                <c:pt idx="18">
                  <c:v>19.57</c:v>
                </c:pt>
                <c:pt idx="19">
                  <c:v>19.585000000000001</c:v>
                </c:pt>
                <c:pt idx="20">
                  <c:v>19.600000000000001</c:v>
                </c:pt>
                <c:pt idx="21">
                  <c:v>19.63</c:v>
                </c:pt>
                <c:pt idx="22">
                  <c:v>19.66</c:v>
                </c:pt>
                <c:pt idx="23">
                  <c:v>19.690000000000001</c:v>
                </c:pt>
                <c:pt idx="24">
                  <c:v>19.720000000000002</c:v>
                </c:pt>
                <c:pt idx="25">
                  <c:v>19.75</c:v>
                </c:pt>
                <c:pt idx="26">
                  <c:v>19.78</c:v>
                </c:pt>
                <c:pt idx="27">
                  <c:v>19.810000000000002</c:v>
                </c:pt>
                <c:pt idx="28">
                  <c:v>19.84</c:v>
                </c:pt>
                <c:pt idx="29">
                  <c:v>19.87</c:v>
                </c:pt>
                <c:pt idx="30">
                  <c:v>19.900000000000002</c:v>
                </c:pt>
                <c:pt idx="31">
                  <c:v>19.93</c:v>
                </c:pt>
                <c:pt idx="32">
                  <c:v>19.96</c:v>
                </c:pt>
                <c:pt idx="33">
                  <c:v>19.990000000000002</c:v>
                </c:pt>
                <c:pt idx="34">
                  <c:v>20.02</c:v>
                </c:pt>
                <c:pt idx="35">
                  <c:v>20.05</c:v>
                </c:pt>
                <c:pt idx="36">
                  <c:v>20.080000000000002</c:v>
                </c:pt>
                <c:pt idx="37">
                  <c:v>20.11</c:v>
                </c:pt>
                <c:pt idx="38">
                  <c:v>20.14</c:v>
                </c:pt>
                <c:pt idx="39">
                  <c:v>20.170000000000002</c:v>
                </c:pt>
                <c:pt idx="40">
                  <c:v>20.2</c:v>
                </c:pt>
                <c:pt idx="41">
                  <c:v>20.25</c:v>
                </c:pt>
                <c:pt idx="42">
                  <c:v>20.3</c:v>
                </c:pt>
                <c:pt idx="43">
                  <c:v>20.350000000000001</c:v>
                </c:pt>
                <c:pt idx="44">
                  <c:v>20.400000000000002</c:v>
                </c:pt>
                <c:pt idx="45">
                  <c:v>20.45</c:v>
                </c:pt>
                <c:pt idx="46">
                  <c:v>20.5</c:v>
                </c:pt>
                <c:pt idx="47">
                  <c:v>20.55</c:v>
                </c:pt>
                <c:pt idx="48">
                  <c:v>20.6</c:v>
                </c:pt>
                <c:pt idx="49">
                  <c:v>20.650000000000002</c:v>
                </c:pt>
                <c:pt idx="50">
                  <c:v>20.700000000000003</c:v>
                </c:pt>
                <c:pt idx="51">
                  <c:v>20.75</c:v>
                </c:pt>
                <c:pt idx="52">
                  <c:v>20.8</c:v>
                </c:pt>
                <c:pt idx="53">
                  <c:v>20.85</c:v>
                </c:pt>
                <c:pt idx="54">
                  <c:v>20.900000000000002</c:v>
                </c:pt>
                <c:pt idx="55">
                  <c:v>20.950000000000003</c:v>
                </c:pt>
                <c:pt idx="56">
                  <c:v>21</c:v>
                </c:pt>
                <c:pt idx="57">
                  <c:v>21.05</c:v>
                </c:pt>
                <c:pt idx="58">
                  <c:v>21.1</c:v>
                </c:pt>
                <c:pt idx="59">
                  <c:v>21.150000000000002</c:v>
                </c:pt>
                <c:pt idx="60">
                  <c:v>21.2</c:v>
                </c:pt>
                <c:pt idx="61">
                  <c:v>21.254999999999999</c:v>
                </c:pt>
                <c:pt idx="62">
                  <c:v>21.310000000000002</c:v>
                </c:pt>
                <c:pt idx="63">
                  <c:v>21.365000000000002</c:v>
                </c:pt>
                <c:pt idx="64">
                  <c:v>21.42</c:v>
                </c:pt>
                <c:pt idx="65">
                  <c:v>21.475000000000001</c:v>
                </c:pt>
                <c:pt idx="66">
                  <c:v>21.53</c:v>
                </c:pt>
                <c:pt idx="67">
                  <c:v>21.585000000000001</c:v>
                </c:pt>
                <c:pt idx="68">
                  <c:v>21.64</c:v>
                </c:pt>
                <c:pt idx="69">
                  <c:v>21.695</c:v>
                </c:pt>
                <c:pt idx="70">
                  <c:v>21.75</c:v>
                </c:pt>
                <c:pt idx="71">
                  <c:v>21.805000000000003</c:v>
                </c:pt>
                <c:pt idx="72">
                  <c:v>21.860000000000003</c:v>
                </c:pt>
                <c:pt idx="73">
                  <c:v>21.915000000000003</c:v>
                </c:pt>
                <c:pt idx="74">
                  <c:v>21.970000000000002</c:v>
                </c:pt>
                <c:pt idx="75">
                  <c:v>22.025000000000002</c:v>
                </c:pt>
                <c:pt idx="76">
                  <c:v>22.080000000000002</c:v>
                </c:pt>
                <c:pt idx="77">
                  <c:v>22.135000000000002</c:v>
                </c:pt>
                <c:pt idx="78">
                  <c:v>22.190000000000005</c:v>
                </c:pt>
                <c:pt idx="79">
                  <c:v>22.245000000000005</c:v>
                </c:pt>
                <c:pt idx="80">
                  <c:v>22.3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19.315000000000001</c:v>
                </c:pt>
                <c:pt idx="2">
                  <c:v>19.330000000000002</c:v>
                </c:pt>
                <c:pt idx="3">
                  <c:v>19.345000000000002</c:v>
                </c:pt>
                <c:pt idx="4">
                  <c:v>19.36</c:v>
                </c:pt>
                <c:pt idx="5">
                  <c:v>19.375</c:v>
                </c:pt>
                <c:pt idx="6">
                  <c:v>19.39</c:v>
                </c:pt>
                <c:pt idx="7">
                  <c:v>19.405000000000001</c:v>
                </c:pt>
                <c:pt idx="8">
                  <c:v>19.420000000000002</c:v>
                </c:pt>
                <c:pt idx="9">
                  <c:v>19.435000000000002</c:v>
                </c:pt>
                <c:pt idx="10">
                  <c:v>19.45</c:v>
                </c:pt>
                <c:pt idx="11">
                  <c:v>19.465</c:v>
                </c:pt>
                <c:pt idx="12">
                  <c:v>19.48</c:v>
                </c:pt>
                <c:pt idx="13">
                  <c:v>19.495000000000001</c:v>
                </c:pt>
                <c:pt idx="14">
                  <c:v>19.510000000000002</c:v>
                </c:pt>
                <c:pt idx="15">
                  <c:v>19.525000000000002</c:v>
                </c:pt>
                <c:pt idx="16">
                  <c:v>19.54</c:v>
                </c:pt>
                <c:pt idx="17">
                  <c:v>19.555</c:v>
                </c:pt>
                <c:pt idx="18">
                  <c:v>19.57</c:v>
                </c:pt>
                <c:pt idx="19">
                  <c:v>19.585000000000001</c:v>
                </c:pt>
                <c:pt idx="20">
                  <c:v>19.600000000000001</c:v>
                </c:pt>
                <c:pt idx="21">
                  <c:v>19.63</c:v>
                </c:pt>
                <c:pt idx="22">
                  <c:v>19.66</c:v>
                </c:pt>
                <c:pt idx="23">
                  <c:v>19.690000000000001</c:v>
                </c:pt>
                <c:pt idx="24">
                  <c:v>19.720000000000002</c:v>
                </c:pt>
                <c:pt idx="25">
                  <c:v>19.75</c:v>
                </c:pt>
                <c:pt idx="26">
                  <c:v>19.78</c:v>
                </c:pt>
                <c:pt idx="27">
                  <c:v>19.810000000000002</c:v>
                </c:pt>
                <c:pt idx="28">
                  <c:v>19.84</c:v>
                </c:pt>
                <c:pt idx="29">
                  <c:v>19.87</c:v>
                </c:pt>
                <c:pt idx="30">
                  <c:v>19.900000000000002</c:v>
                </c:pt>
                <c:pt idx="31">
                  <c:v>19.93</c:v>
                </c:pt>
                <c:pt idx="32">
                  <c:v>19.96</c:v>
                </c:pt>
                <c:pt idx="33">
                  <c:v>19.990000000000002</c:v>
                </c:pt>
                <c:pt idx="34">
                  <c:v>20.02</c:v>
                </c:pt>
                <c:pt idx="35">
                  <c:v>20.05</c:v>
                </c:pt>
                <c:pt idx="36">
                  <c:v>20.080000000000002</c:v>
                </c:pt>
                <c:pt idx="37">
                  <c:v>20.11</c:v>
                </c:pt>
                <c:pt idx="38">
                  <c:v>20.14</c:v>
                </c:pt>
                <c:pt idx="39">
                  <c:v>20.170000000000002</c:v>
                </c:pt>
                <c:pt idx="40">
                  <c:v>20.2</c:v>
                </c:pt>
                <c:pt idx="41">
                  <c:v>20.234999999999999</c:v>
                </c:pt>
                <c:pt idx="42">
                  <c:v>20.27</c:v>
                </c:pt>
                <c:pt idx="43">
                  <c:v>20.305</c:v>
                </c:pt>
                <c:pt idx="44">
                  <c:v>20.34</c:v>
                </c:pt>
                <c:pt idx="45">
                  <c:v>20.375</c:v>
                </c:pt>
                <c:pt idx="46">
                  <c:v>20.41</c:v>
                </c:pt>
                <c:pt idx="47">
                  <c:v>20.445</c:v>
                </c:pt>
                <c:pt idx="48">
                  <c:v>20.48</c:v>
                </c:pt>
                <c:pt idx="49">
                  <c:v>20.515000000000001</c:v>
                </c:pt>
                <c:pt idx="50">
                  <c:v>20.55</c:v>
                </c:pt>
                <c:pt idx="51">
                  <c:v>20.585000000000001</c:v>
                </c:pt>
                <c:pt idx="52">
                  <c:v>20.62</c:v>
                </c:pt>
                <c:pt idx="53">
                  <c:v>20.655000000000001</c:v>
                </c:pt>
                <c:pt idx="54">
                  <c:v>20.69</c:v>
                </c:pt>
                <c:pt idx="55">
                  <c:v>20.725000000000001</c:v>
                </c:pt>
                <c:pt idx="56">
                  <c:v>20.759999999999998</c:v>
                </c:pt>
                <c:pt idx="57">
                  <c:v>20.794999999999998</c:v>
                </c:pt>
                <c:pt idx="58">
                  <c:v>20.83</c:v>
                </c:pt>
                <c:pt idx="59">
                  <c:v>20.864999999999998</c:v>
                </c:pt>
                <c:pt idx="60">
                  <c:v>20.900000000000002</c:v>
                </c:pt>
                <c:pt idx="61">
                  <c:v>20.93</c:v>
                </c:pt>
                <c:pt idx="62">
                  <c:v>20.96</c:v>
                </c:pt>
                <c:pt idx="63">
                  <c:v>20.990000000000002</c:v>
                </c:pt>
                <c:pt idx="64">
                  <c:v>21.02</c:v>
                </c:pt>
                <c:pt idx="65">
                  <c:v>21.05</c:v>
                </c:pt>
                <c:pt idx="66">
                  <c:v>21.080000000000002</c:v>
                </c:pt>
                <c:pt idx="67">
                  <c:v>21.11</c:v>
                </c:pt>
                <c:pt idx="68">
                  <c:v>21.14</c:v>
                </c:pt>
                <c:pt idx="69">
                  <c:v>21.17</c:v>
                </c:pt>
                <c:pt idx="70">
                  <c:v>21.200000000000003</c:v>
                </c:pt>
                <c:pt idx="71">
                  <c:v>21.23</c:v>
                </c:pt>
                <c:pt idx="72">
                  <c:v>21.26</c:v>
                </c:pt>
                <c:pt idx="73">
                  <c:v>21.290000000000003</c:v>
                </c:pt>
                <c:pt idx="74">
                  <c:v>21.32</c:v>
                </c:pt>
                <c:pt idx="75">
                  <c:v>21.35</c:v>
                </c:pt>
                <c:pt idx="76">
                  <c:v>21.380000000000003</c:v>
                </c:pt>
                <c:pt idx="77">
                  <c:v>21.41</c:v>
                </c:pt>
                <c:pt idx="78">
                  <c:v>21.44</c:v>
                </c:pt>
                <c:pt idx="79">
                  <c:v>21.47</c:v>
                </c:pt>
                <c:pt idx="80">
                  <c:v>21.5</c:v>
                </c:pt>
              </c:numCache>
            </c:numRef>
          </c:yVal>
          <c:smooth val="1"/>
        </c:ser>
        <c:dLbls/>
        <c:axId val="65729280"/>
        <c:axId val="65731200"/>
      </c:scatterChart>
      <c:valAx>
        <c:axId val="6572928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65731200"/>
        <c:crosses val="autoZero"/>
        <c:crossBetween val="midCat"/>
      </c:valAx>
      <c:valAx>
        <c:axId val="6573120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572928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0.95000000000000007</c:v>
                </c:pt>
                <c:pt idx="42">
                  <c:v>1</c:v>
                </c:pt>
                <c:pt idx="43">
                  <c:v>1.05</c:v>
                </c:pt>
                <c:pt idx="44">
                  <c:v>1.1000000000000001</c:v>
                </c:pt>
                <c:pt idx="45">
                  <c:v>1.1500000000000001</c:v>
                </c:pt>
                <c:pt idx="46">
                  <c:v>1.2000000000000002</c:v>
                </c:pt>
                <c:pt idx="47">
                  <c:v>1.2500000000000002</c:v>
                </c:pt>
                <c:pt idx="48">
                  <c:v>1.3000000000000003</c:v>
                </c:pt>
                <c:pt idx="49">
                  <c:v>1.3500000000000003</c:v>
                </c:pt>
                <c:pt idx="50">
                  <c:v>1.4000000000000004</c:v>
                </c:pt>
                <c:pt idx="51">
                  <c:v>1.4500000000000004</c:v>
                </c:pt>
                <c:pt idx="52">
                  <c:v>1.5000000000000004</c:v>
                </c:pt>
                <c:pt idx="53">
                  <c:v>1.5500000000000005</c:v>
                </c:pt>
                <c:pt idx="54">
                  <c:v>1.6000000000000005</c:v>
                </c:pt>
                <c:pt idx="55">
                  <c:v>1.6500000000000006</c:v>
                </c:pt>
                <c:pt idx="56">
                  <c:v>1.7000000000000006</c:v>
                </c:pt>
                <c:pt idx="57">
                  <c:v>1.7500000000000007</c:v>
                </c:pt>
                <c:pt idx="58">
                  <c:v>1.8000000000000007</c:v>
                </c:pt>
                <c:pt idx="59">
                  <c:v>1.8500000000000008</c:v>
                </c:pt>
                <c:pt idx="60">
                  <c:v>1.9</c:v>
                </c:pt>
                <c:pt idx="61">
                  <c:v>1.9549999999999998</c:v>
                </c:pt>
                <c:pt idx="62">
                  <c:v>2.0099999999999998</c:v>
                </c:pt>
                <c:pt idx="63">
                  <c:v>2.0649999999999999</c:v>
                </c:pt>
                <c:pt idx="64">
                  <c:v>2.12</c:v>
                </c:pt>
                <c:pt idx="65">
                  <c:v>2.1750000000000003</c:v>
                </c:pt>
                <c:pt idx="66">
                  <c:v>2.2300000000000004</c:v>
                </c:pt>
                <c:pt idx="67">
                  <c:v>2.2850000000000006</c:v>
                </c:pt>
                <c:pt idx="68">
                  <c:v>2.3400000000000007</c:v>
                </c:pt>
                <c:pt idx="69">
                  <c:v>2.3950000000000009</c:v>
                </c:pt>
                <c:pt idx="70">
                  <c:v>2.4500000000000011</c:v>
                </c:pt>
                <c:pt idx="71">
                  <c:v>2.5050000000000012</c:v>
                </c:pt>
                <c:pt idx="72">
                  <c:v>2.5600000000000014</c:v>
                </c:pt>
                <c:pt idx="73">
                  <c:v>2.6150000000000015</c:v>
                </c:pt>
                <c:pt idx="74">
                  <c:v>2.6700000000000017</c:v>
                </c:pt>
                <c:pt idx="75">
                  <c:v>2.7250000000000019</c:v>
                </c:pt>
                <c:pt idx="76">
                  <c:v>2.780000000000002</c:v>
                </c:pt>
                <c:pt idx="77">
                  <c:v>2.8350000000000022</c:v>
                </c:pt>
                <c:pt idx="78">
                  <c:v>2.8900000000000023</c:v>
                </c:pt>
                <c:pt idx="79">
                  <c:v>2.9450000000000025</c:v>
                </c:pt>
                <c:pt idx="80">
                  <c:v>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0.93500000000000005</c:v>
                </c:pt>
                <c:pt idx="42">
                  <c:v>0.97000000000000008</c:v>
                </c:pt>
                <c:pt idx="43">
                  <c:v>1.0050000000000001</c:v>
                </c:pt>
                <c:pt idx="44">
                  <c:v>1.04</c:v>
                </c:pt>
                <c:pt idx="45">
                  <c:v>1.075</c:v>
                </c:pt>
                <c:pt idx="46">
                  <c:v>1.1099999999999999</c:v>
                </c:pt>
                <c:pt idx="47">
                  <c:v>1.1449999999999998</c:v>
                </c:pt>
                <c:pt idx="48">
                  <c:v>1.1799999999999997</c:v>
                </c:pt>
                <c:pt idx="49">
                  <c:v>1.2149999999999996</c:v>
                </c:pt>
                <c:pt idx="50">
                  <c:v>1.2499999999999996</c:v>
                </c:pt>
                <c:pt idx="51">
                  <c:v>1.2849999999999995</c:v>
                </c:pt>
                <c:pt idx="52">
                  <c:v>1.3199999999999994</c:v>
                </c:pt>
                <c:pt idx="53">
                  <c:v>1.3549999999999993</c:v>
                </c:pt>
                <c:pt idx="54">
                  <c:v>1.3899999999999992</c:v>
                </c:pt>
                <c:pt idx="55">
                  <c:v>1.4249999999999992</c:v>
                </c:pt>
                <c:pt idx="56">
                  <c:v>1.4599999999999991</c:v>
                </c:pt>
                <c:pt idx="57">
                  <c:v>1.494999999999999</c:v>
                </c:pt>
                <c:pt idx="58">
                  <c:v>1.5299999999999989</c:v>
                </c:pt>
                <c:pt idx="59">
                  <c:v>1.5649999999999988</c:v>
                </c:pt>
                <c:pt idx="60">
                  <c:v>1.6</c:v>
                </c:pt>
                <c:pt idx="61">
                  <c:v>1.6300000000000001</c:v>
                </c:pt>
                <c:pt idx="62">
                  <c:v>1.6600000000000001</c:v>
                </c:pt>
                <c:pt idx="63">
                  <c:v>1.6900000000000002</c:v>
                </c:pt>
                <c:pt idx="64">
                  <c:v>1.7200000000000002</c:v>
                </c:pt>
                <c:pt idx="65">
                  <c:v>1.7500000000000002</c:v>
                </c:pt>
                <c:pt idx="66">
                  <c:v>1.7800000000000002</c:v>
                </c:pt>
                <c:pt idx="67">
                  <c:v>1.8100000000000003</c:v>
                </c:pt>
                <c:pt idx="68">
                  <c:v>1.8400000000000003</c:v>
                </c:pt>
                <c:pt idx="69">
                  <c:v>1.8700000000000003</c:v>
                </c:pt>
                <c:pt idx="70">
                  <c:v>1.9000000000000004</c:v>
                </c:pt>
                <c:pt idx="71">
                  <c:v>1.9300000000000004</c:v>
                </c:pt>
                <c:pt idx="72">
                  <c:v>1.9600000000000004</c:v>
                </c:pt>
                <c:pt idx="73">
                  <c:v>1.9900000000000004</c:v>
                </c:pt>
                <c:pt idx="74">
                  <c:v>2.0200000000000005</c:v>
                </c:pt>
                <c:pt idx="75">
                  <c:v>2.0500000000000003</c:v>
                </c:pt>
                <c:pt idx="76">
                  <c:v>2.08</c:v>
                </c:pt>
                <c:pt idx="77">
                  <c:v>2.11</c:v>
                </c:pt>
                <c:pt idx="78">
                  <c:v>2.1399999999999997</c:v>
                </c:pt>
                <c:pt idx="79">
                  <c:v>2.1699999999999995</c:v>
                </c:pt>
                <c:pt idx="80">
                  <c:v>2.2000000000000002</c:v>
                </c:pt>
              </c:numCache>
            </c:numRef>
          </c:yVal>
          <c:smooth val="1"/>
        </c:ser>
        <c:dLbls/>
        <c:axId val="65791488"/>
        <c:axId val="65793408"/>
      </c:scatterChart>
      <c:valAx>
        <c:axId val="6579148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65793408"/>
        <c:crosses val="autoZero"/>
        <c:crossBetween val="midCat"/>
      </c:valAx>
      <c:valAx>
        <c:axId val="657934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579148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'Hotter&amp;Drier'!$K$5:$K$9</c:f>
              <c:numCache>
                <c:formatCode>0.00</c:formatCode>
                <c:ptCount val="5"/>
              </c:numCache>
            </c:numRef>
          </c:yVal>
          <c:smooth val="1"/>
        </c:ser>
        <c:dLbls/>
        <c:axId val="65843968"/>
        <c:axId val="65845888"/>
      </c:scatterChart>
      <c:valAx>
        <c:axId val="6584396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65845888"/>
        <c:crosses val="autoZero"/>
        <c:crossBetween val="midCat"/>
      </c:valAx>
      <c:valAx>
        <c:axId val="658458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584396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'Hotter&amp;Drier'!$AB$18:$AB$98</c:f>
              <c:numCache>
                <c:formatCode>0.00</c:formatCode>
                <c:ptCount val="81"/>
              </c:numCache>
            </c:numRef>
          </c:yVal>
          <c:smooth val="1"/>
        </c:ser>
        <c:dLbls/>
        <c:axId val="65881984"/>
        <c:axId val="65892352"/>
      </c:scatterChart>
      <c:valAx>
        <c:axId val="65881984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65892352"/>
        <c:crosses val="autoZero"/>
        <c:crossBetween val="midCat"/>
      </c:valAx>
      <c:valAx>
        <c:axId val="6589235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588198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/>
        <c:axId val="65932288"/>
        <c:axId val="65938560"/>
      </c:scatterChart>
      <c:valAx>
        <c:axId val="6593228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65938560"/>
        <c:crosses val="autoZero"/>
        <c:crossBetween val="midCat"/>
      </c:valAx>
      <c:valAx>
        <c:axId val="659385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593228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'Hotter&amp;Drier'!$L$5:$L$9</c:f>
              <c:numCache>
                <c:formatCode>0.00</c:formatCode>
                <c:ptCount val="5"/>
                <c:pt idx="0">
                  <c:v>0</c:v>
                </c:pt>
                <c:pt idx="1">
                  <c:v>0.28999999999999998</c:v>
                </c:pt>
                <c:pt idx="2">
                  <c:v>0.87</c:v>
                </c:pt>
                <c:pt idx="3">
                  <c:v>1.82</c:v>
                </c:pt>
                <c:pt idx="4">
                  <c:v>2.93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'Hotter&amp;Drier'!$M$5:$M$9</c:f>
              <c:numCache>
                <c:formatCode>0.00</c:formatCode>
                <c:ptCount val="5"/>
                <c:pt idx="0">
                  <c:v>0</c:v>
                </c:pt>
                <c:pt idx="1">
                  <c:v>0.3</c:v>
                </c:pt>
                <c:pt idx="2">
                  <c:v>0.9</c:v>
                </c:pt>
                <c:pt idx="3">
                  <c:v>1.53</c:v>
                </c:pt>
                <c:pt idx="4">
                  <c:v>2.15</c:v>
                </c:pt>
              </c:numCache>
            </c:numRef>
          </c:yVal>
          <c:smooth val="1"/>
        </c:ser>
        <c:dLbls/>
        <c:axId val="65984768"/>
        <c:axId val="65999232"/>
      </c:scatterChart>
      <c:valAx>
        <c:axId val="6598476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65999232"/>
        <c:crosses val="autoZero"/>
        <c:crossBetween val="midCat"/>
      </c:valAx>
      <c:valAx>
        <c:axId val="659992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598476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21.514500000000002</c:v>
                </c:pt>
                <c:pt idx="2">
                  <c:v>21.529</c:v>
                </c:pt>
                <c:pt idx="3">
                  <c:v>21.543500000000002</c:v>
                </c:pt>
                <c:pt idx="4">
                  <c:v>21.558</c:v>
                </c:pt>
                <c:pt idx="5">
                  <c:v>21.572500000000002</c:v>
                </c:pt>
                <c:pt idx="6">
                  <c:v>21.587</c:v>
                </c:pt>
                <c:pt idx="7">
                  <c:v>21.601500000000001</c:v>
                </c:pt>
                <c:pt idx="8">
                  <c:v>21.616</c:v>
                </c:pt>
                <c:pt idx="9">
                  <c:v>21.630500000000001</c:v>
                </c:pt>
                <c:pt idx="10">
                  <c:v>21.645</c:v>
                </c:pt>
                <c:pt idx="11">
                  <c:v>21.659500000000001</c:v>
                </c:pt>
                <c:pt idx="12">
                  <c:v>21.673999999999999</c:v>
                </c:pt>
                <c:pt idx="13">
                  <c:v>21.688500000000001</c:v>
                </c:pt>
                <c:pt idx="14">
                  <c:v>21.702999999999999</c:v>
                </c:pt>
                <c:pt idx="15">
                  <c:v>21.717500000000001</c:v>
                </c:pt>
                <c:pt idx="16">
                  <c:v>21.731999999999999</c:v>
                </c:pt>
                <c:pt idx="17">
                  <c:v>21.746500000000001</c:v>
                </c:pt>
                <c:pt idx="18">
                  <c:v>21.760999999999999</c:v>
                </c:pt>
                <c:pt idx="19">
                  <c:v>21.775500000000001</c:v>
                </c:pt>
                <c:pt idx="20">
                  <c:v>21.79</c:v>
                </c:pt>
                <c:pt idx="21">
                  <c:v>21.818999999999999</c:v>
                </c:pt>
                <c:pt idx="22">
                  <c:v>21.847999999999999</c:v>
                </c:pt>
                <c:pt idx="23">
                  <c:v>21.876999999999999</c:v>
                </c:pt>
                <c:pt idx="24">
                  <c:v>21.905999999999999</c:v>
                </c:pt>
                <c:pt idx="25">
                  <c:v>21.934999999999999</c:v>
                </c:pt>
                <c:pt idx="26">
                  <c:v>21.963999999999999</c:v>
                </c:pt>
                <c:pt idx="27">
                  <c:v>21.992999999999999</c:v>
                </c:pt>
                <c:pt idx="28">
                  <c:v>22.021999999999998</c:v>
                </c:pt>
                <c:pt idx="29">
                  <c:v>22.051000000000002</c:v>
                </c:pt>
                <c:pt idx="30">
                  <c:v>22.080000000000002</c:v>
                </c:pt>
                <c:pt idx="31">
                  <c:v>22.109000000000002</c:v>
                </c:pt>
                <c:pt idx="32">
                  <c:v>22.138000000000002</c:v>
                </c:pt>
                <c:pt idx="33">
                  <c:v>22.167000000000002</c:v>
                </c:pt>
                <c:pt idx="34">
                  <c:v>22.196000000000002</c:v>
                </c:pt>
                <c:pt idx="35">
                  <c:v>22.225000000000001</c:v>
                </c:pt>
                <c:pt idx="36">
                  <c:v>22.254000000000001</c:v>
                </c:pt>
                <c:pt idx="37">
                  <c:v>22.283000000000001</c:v>
                </c:pt>
                <c:pt idx="38">
                  <c:v>22.312000000000001</c:v>
                </c:pt>
                <c:pt idx="39">
                  <c:v>22.341000000000001</c:v>
                </c:pt>
                <c:pt idx="40">
                  <c:v>22.37</c:v>
                </c:pt>
                <c:pt idx="41">
                  <c:v>22.4175</c:v>
                </c:pt>
                <c:pt idx="42">
                  <c:v>22.465</c:v>
                </c:pt>
                <c:pt idx="43">
                  <c:v>22.512499999999999</c:v>
                </c:pt>
                <c:pt idx="44">
                  <c:v>22.56</c:v>
                </c:pt>
                <c:pt idx="45">
                  <c:v>22.607500000000002</c:v>
                </c:pt>
                <c:pt idx="46">
                  <c:v>22.655000000000001</c:v>
                </c:pt>
                <c:pt idx="47">
                  <c:v>22.702500000000001</c:v>
                </c:pt>
                <c:pt idx="48">
                  <c:v>22.75</c:v>
                </c:pt>
                <c:pt idx="49">
                  <c:v>22.797499999999999</c:v>
                </c:pt>
                <c:pt idx="50">
                  <c:v>22.844999999999999</c:v>
                </c:pt>
                <c:pt idx="51">
                  <c:v>22.892500000000002</c:v>
                </c:pt>
                <c:pt idx="52">
                  <c:v>22.94</c:v>
                </c:pt>
                <c:pt idx="53">
                  <c:v>22.987500000000001</c:v>
                </c:pt>
                <c:pt idx="54">
                  <c:v>23.035</c:v>
                </c:pt>
                <c:pt idx="55">
                  <c:v>23.0825</c:v>
                </c:pt>
                <c:pt idx="56">
                  <c:v>23.130000000000003</c:v>
                </c:pt>
                <c:pt idx="57">
                  <c:v>23.177500000000002</c:v>
                </c:pt>
                <c:pt idx="58">
                  <c:v>23.225000000000001</c:v>
                </c:pt>
                <c:pt idx="59">
                  <c:v>23.272500000000001</c:v>
                </c:pt>
                <c:pt idx="60">
                  <c:v>23.32</c:v>
                </c:pt>
                <c:pt idx="61">
                  <c:v>23.375499999999999</c:v>
                </c:pt>
                <c:pt idx="62">
                  <c:v>23.431000000000001</c:v>
                </c:pt>
                <c:pt idx="63">
                  <c:v>23.486499999999999</c:v>
                </c:pt>
                <c:pt idx="64">
                  <c:v>23.542000000000002</c:v>
                </c:pt>
                <c:pt idx="65">
                  <c:v>23.5975</c:v>
                </c:pt>
                <c:pt idx="66">
                  <c:v>23.652999999999999</c:v>
                </c:pt>
                <c:pt idx="67">
                  <c:v>23.708500000000001</c:v>
                </c:pt>
                <c:pt idx="68">
                  <c:v>23.763999999999999</c:v>
                </c:pt>
                <c:pt idx="69">
                  <c:v>23.819499999999998</c:v>
                </c:pt>
                <c:pt idx="70">
                  <c:v>23.875</c:v>
                </c:pt>
                <c:pt idx="71">
                  <c:v>23.930499999999999</c:v>
                </c:pt>
                <c:pt idx="72">
                  <c:v>23.986000000000001</c:v>
                </c:pt>
                <c:pt idx="73">
                  <c:v>24.041499999999999</c:v>
                </c:pt>
                <c:pt idx="74">
                  <c:v>24.096999999999998</c:v>
                </c:pt>
                <c:pt idx="75">
                  <c:v>24.1525</c:v>
                </c:pt>
                <c:pt idx="76">
                  <c:v>24.207999999999998</c:v>
                </c:pt>
                <c:pt idx="77">
                  <c:v>24.263500000000001</c:v>
                </c:pt>
                <c:pt idx="78">
                  <c:v>24.318999999999999</c:v>
                </c:pt>
                <c:pt idx="79">
                  <c:v>24.374499999999998</c:v>
                </c:pt>
                <c:pt idx="80">
                  <c:v>24.43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21.515000000000001</c:v>
                </c:pt>
                <c:pt idx="2">
                  <c:v>21.53</c:v>
                </c:pt>
                <c:pt idx="3">
                  <c:v>21.545000000000002</c:v>
                </c:pt>
                <c:pt idx="4">
                  <c:v>21.56</c:v>
                </c:pt>
                <c:pt idx="5">
                  <c:v>21.574999999999999</c:v>
                </c:pt>
                <c:pt idx="6">
                  <c:v>21.59</c:v>
                </c:pt>
                <c:pt idx="7">
                  <c:v>21.605</c:v>
                </c:pt>
                <c:pt idx="8">
                  <c:v>21.62</c:v>
                </c:pt>
                <c:pt idx="9">
                  <c:v>21.635000000000002</c:v>
                </c:pt>
                <c:pt idx="10">
                  <c:v>21.65</c:v>
                </c:pt>
                <c:pt idx="11">
                  <c:v>21.664999999999999</c:v>
                </c:pt>
                <c:pt idx="12">
                  <c:v>21.68</c:v>
                </c:pt>
                <c:pt idx="13">
                  <c:v>21.695</c:v>
                </c:pt>
                <c:pt idx="14">
                  <c:v>21.71</c:v>
                </c:pt>
                <c:pt idx="15">
                  <c:v>21.725000000000001</c:v>
                </c:pt>
                <c:pt idx="16">
                  <c:v>21.74</c:v>
                </c:pt>
                <c:pt idx="17">
                  <c:v>21.754999999999999</c:v>
                </c:pt>
                <c:pt idx="18">
                  <c:v>21.77</c:v>
                </c:pt>
                <c:pt idx="19">
                  <c:v>21.785</c:v>
                </c:pt>
                <c:pt idx="20">
                  <c:v>21.8</c:v>
                </c:pt>
                <c:pt idx="21">
                  <c:v>21.83</c:v>
                </c:pt>
                <c:pt idx="22">
                  <c:v>21.86</c:v>
                </c:pt>
                <c:pt idx="23">
                  <c:v>21.89</c:v>
                </c:pt>
                <c:pt idx="24">
                  <c:v>21.92</c:v>
                </c:pt>
                <c:pt idx="25">
                  <c:v>21.95</c:v>
                </c:pt>
                <c:pt idx="26">
                  <c:v>21.98</c:v>
                </c:pt>
                <c:pt idx="27">
                  <c:v>22.01</c:v>
                </c:pt>
                <c:pt idx="28">
                  <c:v>22.04</c:v>
                </c:pt>
                <c:pt idx="29">
                  <c:v>22.07</c:v>
                </c:pt>
                <c:pt idx="30">
                  <c:v>22.1</c:v>
                </c:pt>
                <c:pt idx="31">
                  <c:v>22.13</c:v>
                </c:pt>
                <c:pt idx="32">
                  <c:v>22.16</c:v>
                </c:pt>
                <c:pt idx="33">
                  <c:v>22.19</c:v>
                </c:pt>
                <c:pt idx="34">
                  <c:v>22.22</c:v>
                </c:pt>
                <c:pt idx="35">
                  <c:v>22.25</c:v>
                </c:pt>
                <c:pt idx="36">
                  <c:v>22.28</c:v>
                </c:pt>
                <c:pt idx="37">
                  <c:v>22.31</c:v>
                </c:pt>
                <c:pt idx="38">
                  <c:v>22.34</c:v>
                </c:pt>
                <c:pt idx="39">
                  <c:v>22.37</c:v>
                </c:pt>
                <c:pt idx="40">
                  <c:v>22.4</c:v>
                </c:pt>
                <c:pt idx="41">
                  <c:v>22.4315</c:v>
                </c:pt>
                <c:pt idx="42">
                  <c:v>22.463000000000001</c:v>
                </c:pt>
                <c:pt idx="43">
                  <c:v>22.494499999999999</c:v>
                </c:pt>
                <c:pt idx="44">
                  <c:v>22.526</c:v>
                </c:pt>
                <c:pt idx="45">
                  <c:v>22.557500000000001</c:v>
                </c:pt>
                <c:pt idx="46">
                  <c:v>22.588999999999999</c:v>
                </c:pt>
                <c:pt idx="47">
                  <c:v>22.6205</c:v>
                </c:pt>
                <c:pt idx="48">
                  <c:v>22.652000000000001</c:v>
                </c:pt>
                <c:pt idx="49">
                  <c:v>22.683500000000002</c:v>
                </c:pt>
                <c:pt idx="50">
                  <c:v>22.715</c:v>
                </c:pt>
                <c:pt idx="51">
                  <c:v>22.746500000000001</c:v>
                </c:pt>
                <c:pt idx="52">
                  <c:v>22.778000000000002</c:v>
                </c:pt>
                <c:pt idx="53">
                  <c:v>22.8095</c:v>
                </c:pt>
                <c:pt idx="54">
                  <c:v>22.841000000000001</c:v>
                </c:pt>
                <c:pt idx="55">
                  <c:v>22.872500000000002</c:v>
                </c:pt>
                <c:pt idx="56">
                  <c:v>22.904</c:v>
                </c:pt>
                <c:pt idx="57">
                  <c:v>22.935500000000001</c:v>
                </c:pt>
                <c:pt idx="58">
                  <c:v>22.967000000000002</c:v>
                </c:pt>
                <c:pt idx="59">
                  <c:v>22.9985</c:v>
                </c:pt>
                <c:pt idx="60">
                  <c:v>23.03</c:v>
                </c:pt>
                <c:pt idx="61">
                  <c:v>23.061</c:v>
                </c:pt>
                <c:pt idx="62">
                  <c:v>23.091999999999999</c:v>
                </c:pt>
                <c:pt idx="63">
                  <c:v>23.123000000000001</c:v>
                </c:pt>
                <c:pt idx="64">
                  <c:v>23.154</c:v>
                </c:pt>
                <c:pt idx="65">
                  <c:v>23.184999999999999</c:v>
                </c:pt>
                <c:pt idx="66">
                  <c:v>23.216000000000001</c:v>
                </c:pt>
                <c:pt idx="67">
                  <c:v>23.247</c:v>
                </c:pt>
                <c:pt idx="68">
                  <c:v>23.277999999999999</c:v>
                </c:pt>
                <c:pt idx="69">
                  <c:v>23.308999999999997</c:v>
                </c:pt>
                <c:pt idx="70">
                  <c:v>23.34</c:v>
                </c:pt>
                <c:pt idx="71">
                  <c:v>23.370999999999999</c:v>
                </c:pt>
                <c:pt idx="72">
                  <c:v>23.401999999999997</c:v>
                </c:pt>
                <c:pt idx="73">
                  <c:v>23.433</c:v>
                </c:pt>
                <c:pt idx="74">
                  <c:v>23.463999999999999</c:v>
                </c:pt>
                <c:pt idx="75">
                  <c:v>23.494999999999997</c:v>
                </c:pt>
                <c:pt idx="76">
                  <c:v>23.526</c:v>
                </c:pt>
                <c:pt idx="77">
                  <c:v>23.556999999999999</c:v>
                </c:pt>
                <c:pt idx="78">
                  <c:v>23.588000000000001</c:v>
                </c:pt>
                <c:pt idx="79">
                  <c:v>23.619</c:v>
                </c:pt>
                <c:pt idx="80">
                  <c:v>23.65</c:v>
                </c:pt>
              </c:numCache>
            </c:numRef>
          </c:yVal>
          <c:smooth val="1"/>
        </c:ser>
        <c:dLbls/>
        <c:axId val="66026112"/>
        <c:axId val="66040576"/>
      </c:scatterChart>
      <c:valAx>
        <c:axId val="66026112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66040576"/>
        <c:crosses val="autoZero"/>
        <c:crossBetween val="midCat"/>
      </c:valAx>
      <c:valAx>
        <c:axId val="66040576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602611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1.4499999999999999E-2</c:v>
                </c:pt>
                <c:pt idx="2">
                  <c:v>2.8999999999999998E-2</c:v>
                </c:pt>
                <c:pt idx="3">
                  <c:v>4.3499999999999997E-2</c:v>
                </c:pt>
                <c:pt idx="4">
                  <c:v>5.7999999999999996E-2</c:v>
                </c:pt>
                <c:pt idx="5">
                  <c:v>7.2499999999999995E-2</c:v>
                </c:pt>
                <c:pt idx="6">
                  <c:v>8.6999999999999994E-2</c:v>
                </c:pt>
                <c:pt idx="7">
                  <c:v>0.10149999999999999</c:v>
                </c:pt>
                <c:pt idx="8">
                  <c:v>0.11599999999999999</c:v>
                </c:pt>
                <c:pt idx="9">
                  <c:v>0.1305</c:v>
                </c:pt>
                <c:pt idx="10">
                  <c:v>0.14500000000000002</c:v>
                </c:pt>
                <c:pt idx="11">
                  <c:v>0.15950000000000003</c:v>
                </c:pt>
                <c:pt idx="12">
                  <c:v>0.17400000000000004</c:v>
                </c:pt>
                <c:pt idx="13">
                  <c:v>0.18850000000000006</c:v>
                </c:pt>
                <c:pt idx="14">
                  <c:v>0.20300000000000007</c:v>
                </c:pt>
                <c:pt idx="15">
                  <c:v>0.21750000000000008</c:v>
                </c:pt>
                <c:pt idx="16">
                  <c:v>0.2320000000000001</c:v>
                </c:pt>
                <c:pt idx="17">
                  <c:v>0.24650000000000011</c:v>
                </c:pt>
                <c:pt idx="18">
                  <c:v>0.26100000000000012</c:v>
                </c:pt>
                <c:pt idx="19">
                  <c:v>0.27550000000000013</c:v>
                </c:pt>
                <c:pt idx="20">
                  <c:v>0.28999999999999998</c:v>
                </c:pt>
                <c:pt idx="21">
                  <c:v>0.31900000000000001</c:v>
                </c:pt>
                <c:pt idx="22">
                  <c:v>0.34800000000000003</c:v>
                </c:pt>
                <c:pt idx="23">
                  <c:v>0.37700000000000006</c:v>
                </c:pt>
                <c:pt idx="24">
                  <c:v>0.40600000000000008</c:v>
                </c:pt>
                <c:pt idx="25">
                  <c:v>0.43500000000000011</c:v>
                </c:pt>
                <c:pt idx="26">
                  <c:v>0.46400000000000013</c:v>
                </c:pt>
                <c:pt idx="27">
                  <c:v>0.49300000000000016</c:v>
                </c:pt>
                <c:pt idx="28">
                  <c:v>0.52200000000000013</c:v>
                </c:pt>
                <c:pt idx="29">
                  <c:v>0.55100000000000016</c:v>
                </c:pt>
                <c:pt idx="30">
                  <c:v>0.58000000000000018</c:v>
                </c:pt>
                <c:pt idx="31">
                  <c:v>0.60900000000000021</c:v>
                </c:pt>
                <c:pt idx="32">
                  <c:v>0.63800000000000023</c:v>
                </c:pt>
                <c:pt idx="33">
                  <c:v>0.66700000000000026</c:v>
                </c:pt>
                <c:pt idx="34">
                  <c:v>0.69600000000000029</c:v>
                </c:pt>
                <c:pt idx="35">
                  <c:v>0.72500000000000031</c:v>
                </c:pt>
                <c:pt idx="36">
                  <c:v>0.75400000000000034</c:v>
                </c:pt>
                <c:pt idx="37">
                  <c:v>0.78300000000000036</c:v>
                </c:pt>
                <c:pt idx="38">
                  <c:v>0.81200000000000039</c:v>
                </c:pt>
                <c:pt idx="39">
                  <c:v>0.84100000000000041</c:v>
                </c:pt>
                <c:pt idx="40">
                  <c:v>0.87</c:v>
                </c:pt>
                <c:pt idx="41">
                  <c:v>0.91749999999999998</c:v>
                </c:pt>
                <c:pt idx="42">
                  <c:v>0.96499999999999997</c:v>
                </c:pt>
                <c:pt idx="43">
                  <c:v>1.0125</c:v>
                </c:pt>
                <c:pt idx="44">
                  <c:v>1.06</c:v>
                </c:pt>
                <c:pt idx="45">
                  <c:v>1.1075000000000002</c:v>
                </c:pt>
                <c:pt idx="46">
                  <c:v>1.1550000000000002</c:v>
                </c:pt>
                <c:pt idx="47">
                  <c:v>1.2025000000000003</c:v>
                </c:pt>
                <c:pt idx="48">
                  <c:v>1.2500000000000004</c:v>
                </c:pt>
                <c:pt idx="49">
                  <c:v>1.2975000000000005</c:v>
                </c:pt>
                <c:pt idx="50">
                  <c:v>1.3450000000000006</c:v>
                </c:pt>
                <c:pt idx="51">
                  <c:v>1.3925000000000007</c:v>
                </c:pt>
                <c:pt idx="52">
                  <c:v>1.4400000000000008</c:v>
                </c:pt>
                <c:pt idx="53">
                  <c:v>1.4875000000000009</c:v>
                </c:pt>
                <c:pt idx="54">
                  <c:v>1.535000000000001</c:v>
                </c:pt>
                <c:pt idx="55">
                  <c:v>1.5825000000000011</c:v>
                </c:pt>
                <c:pt idx="56">
                  <c:v>1.6300000000000012</c:v>
                </c:pt>
                <c:pt idx="57">
                  <c:v>1.6775000000000013</c:v>
                </c:pt>
                <c:pt idx="58">
                  <c:v>1.7250000000000014</c:v>
                </c:pt>
                <c:pt idx="59">
                  <c:v>1.7725000000000015</c:v>
                </c:pt>
                <c:pt idx="60">
                  <c:v>1.82</c:v>
                </c:pt>
                <c:pt idx="61">
                  <c:v>1.8755000000000002</c:v>
                </c:pt>
                <c:pt idx="62">
                  <c:v>1.9310000000000003</c:v>
                </c:pt>
                <c:pt idx="63">
                  <c:v>1.9865000000000004</c:v>
                </c:pt>
                <c:pt idx="64">
                  <c:v>2.0420000000000003</c:v>
                </c:pt>
                <c:pt idx="65">
                  <c:v>2.0975000000000001</c:v>
                </c:pt>
                <c:pt idx="66">
                  <c:v>2.153</c:v>
                </c:pt>
                <c:pt idx="67">
                  <c:v>2.2084999999999999</c:v>
                </c:pt>
                <c:pt idx="68">
                  <c:v>2.2639999999999998</c:v>
                </c:pt>
                <c:pt idx="69">
                  <c:v>2.3194999999999997</c:v>
                </c:pt>
                <c:pt idx="70">
                  <c:v>2.3749999999999996</c:v>
                </c:pt>
                <c:pt idx="71">
                  <c:v>2.4304999999999994</c:v>
                </c:pt>
                <c:pt idx="72">
                  <c:v>2.4859999999999993</c:v>
                </c:pt>
                <c:pt idx="73">
                  <c:v>2.5414999999999992</c:v>
                </c:pt>
                <c:pt idx="74">
                  <c:v>2.5969999999999991</c:v>
                </c:pt>
                <c:pt idx="75">
                  <c:v>2.652499999999999</c:v>
                </c:pt>
                <c:pt idx="76">
                  <c:v>2.7079999999999989</c:v>
                </c:pt>
                <c:pt idx="77">
                  <c:v>2.7634999999999987</c:v>
                </c:pt>
                <c:pt idx="78">
                  <c:v>2.8189999999999986</c:v>
                </c:pt>
                <c:pt idx="79">
                  <c:v>2.8744999999999985</c:v>
                </c:pt>
                <c:pt idx="80">
                  <c:v>2.93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0.93149999999999999</c:v>
                </c:pt>
                <c:pt idx="42">
                  <c:v>0.96299999999999997</c:v>
                </c:pt>
                <c:pt idx="43">
                  <c:v>0.99449999999999994</c:v>
                </c:pt>
                <c:pt idx="44">
                  <c:v>1.026</c:v>
                </c:pt>
                <c:pt idx="45">
                  <c:v>1.0575000000000001</c:v>
                </c:pt>
                <c:pt idx="46">
                  <c:v>1.0890000000000002</c:v>
                </c:pt>
                <c:pt idx="47">
                  <c:v>1.1205000000000003</c:v>
                </c:pt>
                <c:pt idx="48">
                  <c:v>1.1520000000000004</c:v>
                </c:pt>
                <c:pt idx="49">
                  <c:v>1.1835000000000004</c:v>
                </c:pt>
                <c:pt idx="50">
                  <c:v>1.2150000000000005</c:v>
                </c:pt>
                <c:pt idx="51">
                  <c:v>1.2465000000000006</c:v>
                </c:pt>
                <c:pt idx="52">
                  <c:v>1.2780000000000007</c:v>
                </c:pt>
                <c:pt idx="53">
                  <c:v>1.3095000000000008</c:v>
                </c:pt>
                <c:pt idx="54">
                  <c:v>1.3410000000000009</c:v>
                </c:pt>
                <c:pt idx="55">
                  <c:v>1.3725000000000009</c:v>
                </c:pt>
                <c:pt idx="56">
                  <c:v>1.404000000000001</c:v>
                </c:pt>
                <c:pt idx="57">
                  <c:v>1.4355000000000011</c:v>
                </c:pt>
                <c:pt idx="58">
                  <c:v>1.4670000000000012</c:v>
                </c:pt>
                <c:pt idx="59">
                  <c:v>1.4985000000000013</c:v>
                </c:pt>
                <c:pt idx="60">
                  <c:v>1.53</c:v>
                </c:pt>
                <c:pt idx="61">
                  <c:v>1.5609999999999999</c:v>
                </c:pt>
                <c:pt idx="62">
                  <c:v>1.5919999999999999</c:v>
                </c:pt>
                <c:pt idx="63">
                  <c:v>1.6229999999999998</c:v>
                </c:pt>
                <c:pt idx="64">
                  <c:v>1.6539999999999997</c:v>
                </c:pt>
                <c:pt idx="65">
                  <c:v>1.6849999999999996</c:v>
                </c:pt>
                <c:pt idx="66">
                  <c:v>1.7159999999999995</c:v>
                </c:pt>
                <c:pt idx="67">
                  <c:v>1.7469999999999994</c:v>
                </c:pt>
                <c:pt idx="68">
                  <c:v>1.7779999999999994</c:v>
                </c:pt>
                <c:pt idx="69">
                  <c:v>1.8089999999999993</c:v>
                </c:pt>
                <c:pt idx="70">
                  <c:v>1.8399999999999992</c:v>
                </c:pt>
                <c:pt idx="71">
                  <c:v>1.8709999999999991</c:v>
                </c:pt>
                <c:pt idx="72">
                  <c:v>1.901999999999999</c:v>
                </c:pt>
                <c:pt idx="73">
                  <c:v>1.9329999999999989</c:v>
                </c:pt>
                <c:pt idx="74">
                  <c:v>1.9639999999999989</c:v>
                </c:pt>
                <c:pt idx="75">
                  <c:v>1.9949999999999988</c:v>
                </c:pt>
                <c:pt idx="76">
                  <c:v>2.0259999999999989</c:v>
                </c:pt>
                <c:pt idx="77">
                  <c:v>2.0569999999999991</c:v>
                </c:pt>
                <c:pt idx="78">
                  <c:v>2.0879999999999992</c:v>
                </c:pt>
                <c:pt idx="79">
                  <c:v>2.1189999999999993</c:v>
                </c:pt>
                <c:pt idx="80">
                  <c:v>2.15</c:v>
                </c:pt>
              </c:numCache>
            </c:numRef>
          </c:yVal>
          <c:smooth val="1"/>
        </c:ser>
        <c:dLbls/>
        <c:axId val="66071936"/>
        <c:axId val="66102784"/>
      </c:scatterChart>
      <c:valAx>
        <c:axId val="6607193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66102784"/>
        <c:crosses val="autoZero"/>
        <c:crossBetween val="midCat"/>
      </c:valAx>
      <c:valAx>
        <c:axId val="661027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607193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'Hotter&amp;Drier'!$N$5:$N$9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'Hotter&amp;Drier'!$O$5:$O$9</c:f>
              <c:numCache>
                <c:formatCode>0.00</c:formatCode>
                <c:ptCount val="5"/>
              </c:numCache>
            </c:numRef>
          </c:yVal>
          <c:smooth val="1"/>
        </c:ser>
        <c:dLbls/>
        <c:axId val="66198144"/>
        <c:axId val="66212608"/>
      </c:scatterChart>
      <c:valAx>
        <c:axId val="6619814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66212608"/>
        <c:crosses val="autoZero"/>
        <c:crossBetween val="midCat"/>
      </c:valAx>
      <c:valAx>
        <c:axId val="662126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619814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'Hotter&amp;Drier'!$AF$18:$AF$98</c:f>
              <c:numCache>
                <c:formatCode>0.00</c:formatCode>
                <c:ptCount val="81"/>
              </c:numCache>
            </c:numRef>
          </c:yVal>
          <c:smooth val="1"/>
        </c:ser>
        <c:dLbls/>
        <c:axId val="66126208"/>
        <c:axId val="66128128"/>
      </c:scatterChart>
      <c:valAx>
        <c:axId val="6612620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66128128"/>
        <c:crosses val="autoZero"/>
        <c:crossBetween val="midCat"/>
      </c:valAx>
      <c:valAx>
        <c:axId val="6612812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612620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/>
        <c:axId val="66183936"/>
        <c:axId val="66185856"/>
      </c:scatterChart>
      <c:valAx>
        <c:axId val="6618393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66185856"/>
        <c:crosses val="autoZero"/>
        <c:crossBetween val="midCat"/>
      </c:valAx>
      <c:valAx>
        <c:axId val="661858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618393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'Hotter&amp;Drier'!$Q$4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/>
        <c:axId val="66310144"/>
        <c:axId val="66312064"/>
      </c:scatterChart>
      <c:valAx>
        <c:axId val="6631014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6312064"/>
        <c:crosses val="autoZero"/>
        <c:crossBetween val="midCat"/>
      </c:valAx>
      <c:valAx>
        <c:axId val="66312064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631014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'Cooler&amp;Wetter'!$B$5:$B$9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1.7</c:v>
                </c:pt>
                <c:pt idx="4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'Cooler&amp;Wetter'!$C$5:$C$9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1.4</c:v>
                </c:pt>
                <c:pt idx="4">
                  <c:v>1.7</c:v>
                </c:pt>
              </c:numCache>
            </c:numRef>
          </c:yVal>
          <c:smooth val="1"/>
        </c:ser>
        <c:dLbls/>
        <c:axId val="76193792"/>
        <c:axId val="76195712"/>
      </c:scatterChart>
      <c:valAx>
        <c:axId val="7619379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195712"/>
        <c:crosses val="autoZero"/>
        <c:crossBetween val="midCat"/>
      </c:valAx>
      <c:valAx>
        <c:axId val="76195712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19379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'Cooler&amp;Wetter'!$F$5:$F$9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>
                  <c:v>1.8</c:v>
                </c:pt>
                <c:pt idx="4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'Cooler&amp;Wetter'!$G$5:$G$9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 formatCode="General">
                  <c:v>1.5</c:v>
                </c:pt>
                <c:pt idx="4">
                  <c:v>1.9</c:v>
                </c:pt>
              </c:numCache>
            </c:numRef>
          </c:yVal>
          <c:smooth val="1"/>
        </c:ser>
        <c:dLbls/>
        <c:axId val="66403328"/>
        <c:axId val="66421888"/>
      </c:scatterChart>
      <c:valAx>
        <c:axId val="6640332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66421888"/>
        <c:crosses val="autoZero"/>
        <c:crossBetween val="midCat"/>
      </c:valAx>
      <c:valAx>
        <c:axId val="664218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6640332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'Cooler&amp;Wetter'!$S$18:$S$98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16.411666666666665</c:v>
                </c:pt>
                <c:pt idx="2">
                  <c:v>16.423333333333332</c:v>
                </c:pt>
                <c:pt idx="3">
                  <c:v>16.434999999999999</c:v>
                </c:pt>
                <c:pt idx="4">
                  <c:v>16.446666666666665</c:v>
                </c:pt>
                <c:pt idx="5">
                  <c:v>16.458333333333332</c:v>
                </c:pt>
                <c:pt idx="6">
                  <c:v>16.47</c:v>
                </c:pt>
                <c:pt idx="7">
                  <c:v>16.481666666666666</c:v>
                </c:pt>
                <c:pt idx="8">
                  <c:v>16.493333333333332</c:v>
                </c:pt>
                <c:pt idx="9">
                  <c:v>16.504999999999999</c:v>
                </c:pt>
                <c:pt idx="10">
                  <c:v>16.516666666666666</c:v>
                </c:pt>
                <c:pt idx="11">
                  <c:v>16.528333333333332</c:v>
                </c:pt>
                <c:pt idx="12">
                  <c:v>16.54</c:v>
                </c:pt>
                <c:pt idx="13">
                  <c:v>16.551666666666666</c:v>
                </c:pt>
                <c:pt idx="14">
                  <c:v>16.563333333333333</c:v>
                </c:pt>
                <c:pt idx="15">
                  <c:v>16.574999999999999</c:v>
                </c:pt>
                <c:pt idx="16">
                  <c:v>16.586666666666666</c:v>
                </c:pt>
                <c:pt idx="17">
                  <c:v>16.598333333333333</c:v>
                </c:pt>
                <c:pt idx="18">
                  <c:v>16.61</c:v>
                </c:pt>
                <c:pt idx="19">
                  <c:v>16.621666666666666</c:v>
                </c:pt>
                <c:pt idx="20">
                  <c:v>16.633333333333333</c:v>
                </c:pt>
                <c:pt idx="21">
                  <c:v>16.656666666666666</c:v>
                </c:pt>
                <c:pt idx="22">
                  <c:v>16.68</c:v>
                </c:pt>
                <c:pt idx="23">
                  <c:v>16.703333333333333</c:v>
                </c:pt>
                <c:pt idx="24">
                  <c:v>16.726666666666667</c:v>
                </c:pt>
                <c:pt idx="25">
                  <c:v>16.75</c:v>
                </c:pt>
                <c:pt idx="26">
                  <c:v>16.773333333333333</c:v>
                </c:pt>
                <c:pt idx="27">
                  <c:v>16.796666666666667</c:v>
                </c:pt>
                <c:pt idx="28">
                  <c:v>16.819999999999997</c:v>
                </c:pt>
                <c:pt idx="29">
                  <c:v>16.84333333333333</c:v>
                </c:pt>
                <c:pt idx="30">
                  <c:v>16.866666666666664</c:v>
                </c:pt>
                <c:pt idx="31">
                  <c:v>16.889999999999997</c:v>
                </c:pt>
                <c:pt idx="32">
                  <c:v>16.91333333333333</c:v>
                </c:pt>
                <c:pt idx="33">
                  <c:v>16.936666666666664</c:v>
                </c:pt>
                <c:pt idx="34">
                  <c:v>16.959999999999997</c:v>
                </c:pt>
                <c:pt idx="35">
                  <c:v>16.983333333333331</c:v>
                </c:pt>
                <c:pt idx="36">
                  <c:v>17.006666666666664</c:v>
                </c:pt>
                <c:pt idx="37">
                  <c:v>17.029999999999998</c:v>
                </c:pt>
                <c:pt idx="38">
                  <c:v>17.053333333333331</c:v>
                </c:pt>
                <c:pt idx="39">
                  <c:v>17.076666666666664</c:v>
                </c:pt>
                <c:pt idx="40">
                  <c:v>17.099999999999998</c:v>
                </c:pt>
                <c:pt idx="41">
                  <c:v>17.149999999999999</c:v>
                </c:pt>
                <c:pt idx="42">
                  <c:v>17.2</c:v>
                </c:pt>
                <c:pt idx="43">
                  <c:v>17.25</c:v>
                </c:pt>
                <c:pt idx="44">
                  <c:v>17.299999999999997</c:v>
                </c:pt>
                <c:pt idx="45">
                  <c:v>17.349999999999998</c:v>
                </c:pt>
                <c:pt idx="46">
                  <c:v>17.399999999999999</c:v>
                </c:pt>
                <c:pt idx="47">
                  <c:v>17.45</c:v>
                </c:pt>
                <c:pt idx="48">
                  <c:v>17.5</c:v>
                </c:pt>
                <c:pt idx="49">
                  <c:v>17.549999999999997</c:v>
                </c:pt>
                <c:pt idx="50">
                  <c:v>17.599999999999998</c:v>
                </c:pt>
                <c:pt idx="51">
                  <c:v>17.649999999999999</c:v>
                </c:pt>
                <c:pt idx="52">
                  <c:v>17.7</c:v>
                </c:pt>
                <c:pt idx="53">
                  <c:v>17.75</c:v>
                </c:pt>
                <c:pt idx="54">
                  <c:v>17.8</c:v>
                </c:pt>
                <c:pt idx="55">
                  <c:v>17.849999999999998</c:v>
                </c:pt>
                <c:pt idx="56">
                  <c:v>17.899999999999999</c:v>
                </c:pt>
                <c:pt idx="57">
                  <c:v>17.95</c:v>
                </c:pt>
                <c:pt idx="58">
                  <c:v>18</c:v>
                </c:pt>
                <c:pt idx="59">
                  <c:v>18.05</c:v>
                </c:pt>
                <c:pt idx="60">
                  <c:v>18.099999999999998</c:v>
                </c:pt>
                <c:pt idx="61">
                  <c:v>18.13</c:v>
                </c:pt>
                <c:pt idx="62">
                  <c:v>18.16</c:v>
                </c:pt>
                <c:pt idx="63">
                  <c:v>18.189999999999998</c:v>
                </c:pt>
                <c:pt idx="64">
                  <c:v>18.22</c:v>
                </c:pt>
                <c:pt idx="65">
                  <c:v>18.25</c:v>
                </c:pt>
                <c:pt idx="66">
                  <c:v>18.279999999999998</c:v>
                </c:pt>
                <c:pt idx="67">
                  <c:v>18.309999999999999</c:v>
                </c:pt>
                <c:pt idx="68">
                  <c:v>18.34</c:v>
                </c:pt>
                <c:pt idx="69">
                  <c:v>18.369999999999997</c:v>
                </c:pt>
                <c:pt idx="70">
                  <c:v>18.399999999999999</c:v>
                </c:pt>
                <c:pt idx="71">
                  <c:v>18.43</c:v>
                </c:pt>
                <c:pt idx="72">
                  <c:v>18.459999999999997</c:v>
                </c:pt>
                <c:pt idx="73">
                  <c:v>18.489999999999998</c:v>
                </c:pt>
                <c:pt idx="74">
                  <c:v>18.519999999999996</c:v>
                </c:pt>
                <c:pt idx="75">
                  <c:v>18.549999999999997</c:v>
                </c:pt>
                <c:pt idx="76">
                  <c:v>18.579999999999998</c:v>
                </c:pt>
                <c:pt idx="77">
                  <c:v>18.609999999999996</c:v>
                </c:pt>
                <c:pt idx="78">
                  <c:v>18.639999999999997</c:v>
                </c:pt>
                <c:pt idx="79">
                  <c:v>18.669999999999998</c:v>
                </c:pt>
                <c:pt idx="80">
                  <c:v>18.7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'Cooler&amp;Wetter'!$T$18:$T$98</c:f>
              <c:numCache>
                <c:formatCode>0.00</c:formatCode>
                <c:ptCount val="81"/>
                <c:pt idx="0">
                  <c:v>16.399999999999999</c:v>
                </c:pt>
                <c:pt idx="1">
                  <c:v>16.411666666666665</c:v>
                </c:pt>
                <c:pt idx="2">
                  <c:v>16.423333333333332</c:v>
                </c:pt>
                <c:pt idx="3">
                  <c:v>16.434999999999999</c:v>
                </c:pt>
                <c:pt idx="4">
                  <c:v>16.446666666666665</c:v>
                </c:pt>
                <c:pt idx="5">
                  <c:v>16.458333333333332</c:v>
                </c:pt>
                <c:pt idx="6">
                  <c:v>16.47</c:v>
                </c:pt>
                <c:pt idx="7">
                  <c:v>16.481666666666666</c:v>
                </c:pt>
                <c:pt idx="8">
                  <c:v>16.493333333333332</c:v>
                </c:pt>
                <c:pt idx="9">
                  <c:v>16.504999999999999</c:v>
                </c:pt>
                <c:pt idx="10">
                  <c:v>16.516666666666666</c:v>
                </c:pt>
                <c:pt idx="11">
                  <c:v>16.528333333333332</c:v>
                </c:pt>
                <c:pt idx="12">
                  <c:v>16.54</c:v>
                </c:pt>
                <c:pt idx="13">
                  <c:v>16.551666666666666</c:v>
                </c:pt>
                <c:pt idx="14">
                  <c:v>16.563333333333333</c:v>
                </c:pt>
                <c:pt idx="15">
                  <c:v>16.574999999999999</c:v>
                </c:pt>
                <c:pt idx="16">
                  <c:v>16.586666666666666</c:v>
                </c:pt>
                <c:pt idx="17">
                  <c:v>16.598333333333333</c:v>
                </c:pt>
                <c:pt idx="18">
                  <c:v>16.61</c:v>
                </c:pt>
                <c:pt idx="19">
                  <c:v>16.621666666666666</c:v>
                </c:pt>
                <c:pt idx="20">
                  <c:v>16.633333333333333</c:v>
                </c:pt>
                <c:pt idx="21">
                  <c:v>16.656666666666666</c:v>
                </c:pt>
                <c:pt idx="22">
                  <c:v>16.68</c:v>
                </c:pt>
                <c:pt idx="23">
                  <c:v>16.703333333333333</c:v>
                </c:pt>
                <c:pt idx="24">
                  <c:v>16.726666666666667</c:v>
                </c:pt>
                <c:pt idx="25">
                  <c:v>16.75</c:v>
                </c:pt>
                <c:pt idx="26">
                  <c:v>16.773333333333333</c:v>
                </c:pt>
                <c:pt idx="27">
                  <c:v>16.796666666666667</c:v>
                </c:pt>
                <c:pt idx="28">
                  <c:v>16.819999999999997</c:v>
                </c:pt>
                <c:pt idx="29">
                  <c:v>16.84333333333333</c:v>
                </c:pt>
                <c:pt idx="30">
                  <c:v>16.866666666666664</c:v>
                </c:pt>
                <c:pt idx="31">
                  <c:v>16.889999999999997</c:v>
                </c:pt>
                <c:pt idx="32">
                  <c:v>16.91333333333333</c:v>
                </c:pt>
                <c:pt idx="33">
                  <c:v>16.936666666666664</c:v>
                </c:pt>
                <c:pt idx="34">
                  <c:v>16.959999999999997</c:v>
                </c:pt>
                <c:pt idx="35">
                  <c:v>16.983333333333331</c:v>
                </c:pt>
                <c:pt idx="36">
                  <c:v>17.006666666666664</c:v>
                </c:pt>
                <c:pt idx="37">
                  <c:v>17.029999999999998</c:v>
                </c:pt>
                <c:pt idx="38">
                  <c:v>17.053333333333331</c:v>
                </c:pt>
                <c:pt idx="39">
                  <c:v>17.076666666666664</c:v>
                </c:pt>
                <c:pt idx="40">
                  <c:v>17.099999999999998</c:v>
                </c:pt>
                <c:pt idx="41">
                  <c:v>17.134999999999998</c:v>
                </c:pt>
                <c:pt idx="42">
                  <c:v>17.169999999999998</c:v>
                </c:pt>
                <c:pt idx="43">
                  <c:v>17.204999999999998</c:v>
                </c:pt>
                <c:pt idx="44">
                  <c:v>17.239999999999998</c:v>
                </c:pt>
                <c:pt idx="45">
                  <c:v>17.274999999999999</c:v>
                </c:pt>
                <c:pt idx="46">
                  <c:v>17.309999999999999</c:v>
                </c:pt>
                <c:pt idx="47">
                  <c:v>17.344999999999999</c:v>
                </c:pt>
                <c:pt idx="48">
                  <c:v>17.38</c:v>
                </c:pt>
                <c:pt idx="49">
                  <c:v>17.414999999999999</c:v>
                </c:pt>
                <c:pt idx="50">
                  <c:v>17.45</c:v>
                </c:pt>
                <c:pt idx="51">
                  <c:v>17.484999999999999</c:v>
                </c:pt>
                <c:pt idx="52">
                  <c:v>17.52</c:v>
                </c:pt>
                <c:pt idx="53">
                  <c:v>17.555</c:v>
                </c:pt>
                <c:pt idx="54">
                  <c:v>17.59</c:v>
                </c:pt>
                <c:pt idx="55">
                  <c:v>17.625</c:v>
                </c:pt>
                <c:pt idx="56">
                  <c:v>17.659999999999997</c:v>
                </c:pt>
                <c:pt idx="57">
                  <c:v>17.694999999999997</c:v>
                </c:pt>
                <c:pt idx="58">
                  <c:v>17.729999999999997</c:v>
                </c:pt>
                <c:pt idx="59">
                  <c:v>17.764999999999997</c:v>
                </c:pt>
                <c:pt idx="60">
                  <c:v>17.799999999999997</c:v>
                </c:pt>
                <c:pt idx="61">
                  <c:v>17.814999999999998</c:v>
                </c:pt>
                <c:pt idx="62">
                  <c:v>17.829999999999998</c:v>
                </c:pt>
                <c:pt idx="63">
                  <c:v>17.844999999999999</c:v>
                </c:pt>
                <c:pt idx="64">
                  <c:v>17.86</c:v>
                </c:pt>
                <c:pt idx="65">
                  <c:v>17.874999999999996</c:v>
                </c:pt>
                <c:pt idx="66">
                  <c:v>17.889999999999997</c:v>
                </c:pt>
                <c:pt idx="67">
                  <c:v>17.904999999999998</c:v>
                </c:pt>
                <c:pt idx="68">
                  <c:v>17.919999999999998</c:v>
                </c:pt>
                <c:pt idx="69">
                  <c:v>17.934999999999999</c:v>
                </c:pt>
                <c:pt idx="70">
                  <c:v>17.949999999999996</c:v>
                </c:pt>
                <c:pt idx="71">
                  <c:v>17.964999999999996</c:v>
                </c:pt>
                <c:pt idx="72">
                  <c:v>17.979999999999997</c:v>
                </c:pt>
                <c:pt idx="73">
                  <c:v>17.994999999999997</c:v>
                </c:pt>
                <c:pt idx="74">
                  <c:v>18.009999999999998</c:v>
                </c:pt>
                <c:pt idx="75">
                  <c:v>18.024999999999999</c:v>
                </c:pt>
                <c:pt idx="76">
                  <c:v>18.039999999999996</c:v>
                </c:pt>
                <c:pt idx="77">
                  <c:v>18.054999999999996</c:v>
                </c:pt>
                <c:pt idx="78">
                  <c:v>18.069999999999997</c:v>
                </c:pt>
                <c:pt idx="79">
                  <c:v>18.084999999999997</c:v>
                </c:pt>
                <c:pt idx="80">
                  <c:v>18.099999999999998</c:v>
                </c:pt>
              </c:numCache>
            </c:numRef>
          </c:yVal>
          <c:smooth val="1"/>
        </c:ser>
        <c:dLbls/>
        <c:axId val="76234752"/>
        <c:axId val="76236672"/>
      </c:scatterChart>
      <c:valAx>
        <c:axId val="76234752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236672"/>
        <c:crosses val="autoZero"/>
        <c:crossBetween val="midCat"/>
      </c:valAx>
      <c:valAx>
        <c:axId val="7623667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23475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5"/>
          <c:y val="8.2949475065616798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'Cooler&amp;Wetter'!$W$18:$W$128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74.10987999999999</c:v>
                </c:pt>
                <c:pt idx="2">
                  <c:v>74.119759999999999</c:v>
                </c:pt>
                <c:pt idx="3">
                  <c:v>74.129639999999995</c:v>
                </c:pt>
                <c:pt idx="4">
                  <c:v>74.13951999999999</c:v>
                </c:pt>
                <c:pt idx="5">
                  <c:v>74.1494</c:v>
                </c:pt>
                <c:pt idx="6">
                  <c:v>74.159279999999995</c:v>
                </c:pt>
                <c:pt idx="7">
                  <c:v>74.169159999999991</c:v>
                </c:pt>
                <c:pt idx="8">
                  <c:v>74.179040000000001</c:v>
                </c:pt>
                <c:pt idx="9">
                  <c:v>74.188919999999996</c:v>
                </c:pt>
                <c:pt idx="10">
                  <c:v>74.198799999999991</c:v>
                </c:pt>
                <c:pt idx="11">
                  <c:v>74.208680000000001</c:v>
                </c:pt>
                <c:pt idx="12">
                  <c:v>74.218559999999997</c:v>
                </c:pt>
                <c:pt idx="13">
                  <c:v>74.228439999999992</c:v>
                </c:pt>
                <c:pt idx="14">
                  <c:v>74.238319999999987</c:v>
                </c:pt>
                <c:pt idx="15">
                  <c:v>74.248199999999997</c:v>
                </c:pt>
                <c:pt idx="16">
                  <c:v>74.258079999999993</c:v>
                </c:pt>
                <c:pt idx="17">
                  <c:v>74.267959999999988</c:v>
                </c:pt>
                <c:pt idx="18">
                  <c:v>74.277839999999998</c:v>
                </c:pt>
                <c:pt idx="19">
                  <c:v>74.287719999999993</c:v>
                </c:pt>
                <c:pt idx="20">
                  <c:v>74.297599999999989</c:v>
                </c:pt>
                <c:pt idx="21">
                  <c:v>74.317359999999994</c:v>
                </c:pt>
                <c:pt idx="22">
                  <c:v>74.337119999999999</c:v>
                </c:pt>
                <c:pt idx="23">
                  <c:v>74.35687999999999</c:v>
                </c:pt>
                <c:pt idx="24">
                  <c:v>74.376639999999995</c:v>
                </c:pt>
                <c:pt idx="25">
                  <c:v>74.3964</c:v>
                </c:pt>
                <c:pt idx="26">
                  <c:v>74.416159999999991</c:v>
                </c:pt>
                <c:pt idx="27">
                  <c:v>74.435919999999996</c:v>
                </c:pt>
                <c:pt idx="28">
                  <c:v>74.455680000000001</c:v>
                </c:pt>
                <c:pt idx="29">
                  <c:v>74.475439999999992</c:v>
                </c:pt>
                <c:pt idx="30">
                  <c:v>74.495199999999997</c:v>
                </c:pt>
                <c:pt idx="31">
                  <c:v>74.514959999999988</c:v>
                </c:pt>
                <c:pt idx="32">
                  <c:v>74.534719999999993</c:v>
                </c:pt>
                <c:pt idx="33">
                  <c:v>74.554479999999998</c:v>
                </c:pt>
                <c:pt idx="34">
                  <c:v>74.574239999999989</c:v>
                </c:pt>
                <c:pt idx="35">
                  <c:v>74.593999999999994</c:v>
                </c:pt>
                <c:pt idx="36">
                  <c:v>74.613759999999999</c:v>
                </c:pt>
                <c:pt idx="37">
                  <c:v>74.63351999999999</c:v>
                </c:pt>
                <c:pt idx="38">
                  <c:v>74.653279999999995</c:v>
                </c:pt>
                <c:pt idx="39">
                  <c:v>74.67304</c:v>
                </c:pt>
                <c:pt idx="40">
                  <c:v>74.692799999999991</c:v>
                </c:pt>
                <c:pt idx="41">
                  <c:v>74.729849999999999</c:v>
                </c:pt>
                <c:pt idx="42">
                  <c:v>74.766899999999993</c:v>
                </c:pt>
                <c:pt idx="43">
                  <c:v>74.80395</c:v>
                </c:pt>
                <c:pt idx="44">
                  <c:v>74.840999999999994</c:v>
                </c:pt>
                <c:pt idx="45">
                  <c:v>74.878049999999988</c:v>
                </c:pt>
                <c:pt idx="46">
                  <c:v>74.915099999999995</c:v>
                </c:pt>
                <c:pt idx="47">
                  <c:v>74.952149999999989</c:v>
                </c:pt>
                <c:pt idx="48">
                  <c:v>74.989199999999997</c:v>
                </c:pt>
                <c:pt idx="49">
                  <c:v>75.02624999999999</c:v>
                </c:pt>
                <c:pt idx="50">
                  <c:v>75.063299999999998</c:v>
                </c:pt>
                <c:pt idx="51">
                  <c:v>75.100349999999992</c:v>
                </c:pt>
                <c:pt idx="52">
                  <c:v>75.1374</c:v>
                </c:pt>
                <c:pt idx="53">
                  <c:v>75.174449999999993</c:v>
                </c:pt>
                <c:pt idx="54">
                  <c:v>75.211500000000001</c:v>
                </c:pt>
                <c:pt idx="55">
                  <c:v>75.248549999999994</c:v>
                </c:pt>
                <c:pt idx="56">
                  <c:v>75.285599999999988</c:v>
                </c:pt>
                <c:pt idx="57">
                  <c:v>75.322649999999996</c:v>
                </c:pt>
                <c:pt idx="58">
                  <c:v>75.359699999999989</c:v>
                </c:pt>
                <c:pt idx="59">
                  <c:v>75.396749999999997</c:v>
                </c:pt>
                <c:pt idx="60">
                  <c:v>75.433799999999991</c:v>
                </c:pt>
                <c:pt idx="61">
                  <c:v>75.459734999999995</c:v>
                </c:pt>
                <c:pt idx="62">
                  <c:v>75.485669999999999</c:v>
                </c:pt>
                <c:pt idx="63">
                  <c:v>75.511604999999989</c:v>
                </c:pt>
                <c:pt idx="64">
                  <c:v>75.537539999999993</c:v>
                </c:pt>
                <c:pt idx="65">
                  <c:v>75.563474999999997</c:v>
                </c:pt>
                <c:pt idx="66">
                  <c:v>75.589410000000001</c:v>
                </c:pt>
                <c:pt idx="67">
                  <c:v>75.615344999999991</c:v>
                </c:pt>
                <c:pt idx="68">
                  <c:v>75.641279999999995</c:v>
                </c:pt>
                <c:pt idx="69">
                  <c:v>75.667214999999999</c:v>
                </c:pt>
                <c:pt idx="70">
                  <c:v>75.693149999999989</c:v>
                </c:pt>
                <c:pt idx="71">
                  <c:v>75.719084999999993</c:v>
                </c:pt>
                <c:pt idx="72">
                  <c:v>75.745019999999997</c:v>
                </c:pt>
                <c:pt idx="73">
                  <c:v>75.770955000000001</c:v>
                </c:pt>
                <c:pt idx="74">
                  <c:v>75.796889999999991</c:v>
                </c:pt>
                <c:pt idx="75">
                  <c:v>75.822824999999995</c:v>
                </c:pt>
                <c:pt idx="76">
                  <c:v>75.848759999999999</c:v>
                </c:pt>
                <c:pt idx="77">
                  <c:v>75.874694999999988</c:v>
                </c:pt>
                <c:pt idx="78">
                  <c:v>75.900629999999992</c:v>
                </c:pt>
                <c:pt idx="79">
                  <c:v>75.926564999999997</c:v>
                </c:pt>
                <c:pt idx="80">
                  <c:v>75.952500000000001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'Cooler&amp;Wetter'!$X$18:$X$128</c:f>
              <c:numCache>
                <c:formatCode>0.00</c:formatCode>
                <c:ptCount val="111"/>
                <c:pt idx="0">
                  <c:v>74.099999999999994</c:v>
                </c:pt>
                <c:pt idx="1">
                  <c:v>74.10987999999999</c:v>
                </c:pt>
                <c:pt idx="2">
                  <c:v>74.119759999999999</c:v>
                </c:pt>
                <c:pt idx="3">
                  <c:v>74.129639999999995</c:v>
                </c:pt>
                <c:pt idx="4">
                  <c:v>74.13951999999999</c:v>
                </c:pt>
                <c:pt idx="5">
                  <c:v>74.1494</c:v>
                </c:pt>
                <c:pt idx="6">
                  <c:v>74.159279999999995</c:v>
                </c:pt>
                <c:pt idx="7">
                  <c:v>74.169159999999991</c:v>
                </c:pt>
                <c:pt idx="8">
                  <c:v>74.179040000000001</c:v>
                </c:pt>
                <c:pt idx="9">
                  <c:v>74.188919999999996</c:v>
                </c:pt>
                <c:pt idx="10">
                  <c:v>74.198799999999991</c:v>
                </c:pt>
                <c:pt idx="11">
                  <c:v>74.208680000000001</c:v>
                </c:pt>
                <c:pt idx="12">
                  <c:v>74.218559999999997</c:v>
                </c:pt>
                <c:pt idx="13">
                  <c:v>74.228439999999992</c:v>
                </c:pt>
                <c:pt idx="14">
                  <c:v>74.238319999999987</c:v>
                </c:pt>
                <c:pt idx="15">
                  <c:v>74.248199999999997</c:v>
                </c:pt>
                <c:pt idx="16">
                  <c:v>74.258079999999993</c:v>
                </c:pt>
                <c:pt idx="17">
                  <c:v>74.267959999999988</c:v>
                </c:pt>
                <c:pt idx="18">
                  <c:v>74.277839999999998</c:v>
                </c:pt>
                <c:pt idx="19">
                  <c:v>74.287719999999993</c:v>
                </c:pt>
                <c:pt idx="20">
                  <c:v>74.297599999999989</c:v>
                </c:pt>
                <c:pt idx="21">
                  <c:v>74.317359999999994</c:v>
                </c:pt>
                <c:pt idx="22">
                  <c:v>74.337119999999999</c:v>
                </c:pt>
                <c:pt idx="23">
                  <c:v>74.35687999999999</c:v>
                </c:pt>
                <c:pt idx="24">
                  <c:v>74.376639999999995</c:v>
                </c:pt>
                <c:pt idx="25">
                  <c:v>74.3964</c:v>
                </c:pt>
                <c:pt idx="26">
                  <c:v>74.416159999999991</c:v>
                </c:pt>
                <c:pt idx="27">
                  <c:v>74.435919999999996</c:v>
                </c:pt>
                <c:pt idx="28">
                  <c:v>74.455680000000001</c:v>
                </c:pt>
                <c:pt idx="29">
                  <c:v>74.475439999999992</c:v>
                </c:pt>
                <c:pt idx="30">
                  <c:v>74.495199999999997</c:v>
                </c:pt>
                <c:pt idx="31">
                  <c:v>74.514959999999988</c:v>
                </c:pt>
                <c:pt idx="32">
                  <c:v>74.534719999999993</c:v>
                </c:pt>
                <c:pt idx="33">
                  <c:v>74.554479999999998</c:v>
                </c:pt>
                <c:pt idx="34">
                  <c:v>74.574239999999989</c:v>
                </c:pt>
                <c:pt idx="35">
                  <c:v>74.593999999999994</c:v>
                </c:pt>
                <c:pt idx="36">
                  <c:v>74.613759999999999</c:v>
                </c:pt>
                <c:pt idx="37">
                  <c:v>74.63351999999999</c:v>
                </c:pt>
                <c:pt idx="38">
                  <c:v>74.653279999999995</c:v>
                </c:pt>
                <c:pt idx="39">
                  <c:v>74.67304</c:v>
                </c:pt>
                <c:pt idx="40">
                  <c:v>74.692799999999991</c:v>
                </c:pt>
                <c:pt idx="41">
                  <c:v>74.718734999999995</c:v>
                </c:pt>
                <c:pt idx="42">
                  <c:v>74.744669999999999</c:v>
                </c:pt>
                <c:pt idx="43">
                  <c:v>74.770604999999989</c:v>
                </c:pt>
                <c:pt idx="44">
                  <c:v>74.796539999999993</c:v>
                </c:pt>
                <c:pt idx="45">
                  <c:v>74.822474999999997</c:v>
                </c:pt>
                <c:pt idx="46">
                  <c:v>74.848410000000001</c:v>
                </c:pt>
                <c:pt idx="47">
                  <c:v>74.874344999999991</c:v>
                </c:pt>
                <c:pt idx="48">
                  <c:v>74.900279999999995</c:v>
                </c:pt>
                <c:pt idx="49">
                  <c:v>74.926214999999999</c:v>
                </c:pt>
                <c:pt idx="50">
                  <c:v>74.952149999999989</c:v>
                </c:pt>
                <c:pt idx="51">
                  <c:v>74.978084999999993</c:v>
                </c:pt>
                <c:pt idx="52">
                  <c:v>75.004019999999997</c:v>
                </c:pt>
                <c:pt idx="53">
                  <c:v>75.029955000000001</c:v>
                </c:pt>
                <c:pt idx="54">
                  <c:v>75.055889999999991</c:v>
                </c:pt>
                <c:pt idx="55">
                  <c:v>75.081824999999995</c:v>
                </c:pt>
                <c:pt idx="56">
                  <c:v>75.107759999999999</c:v>
                </c:pt>
                <c:pt idx="57">
                  <c:v>75.133694999999989</c:v>
                </c:pt>
                <c:pt idx="58">
                  <c:v>75.159629999999993</c:v>
                </c:pt>
                <c:pt idx="59">
                  <c:v>75.185564999999997</c:v>
                </c:pt>
                <c:pt idx="60">
                  <c:v>75.211500000000001</c:v>
                </c:pt>
                <c:pt idx="61">
                  <c:v>75.226320000000001</c:v>
                </c:pt>
                <c:pt idx="62">
                  <c:v>75.241139999999987</c:v>
                </c:pt>
                <c:pt idx="63">
                  <c:v>75.255959999999988</c:v>
                </c:pt>
                <c:pt idx="64">
                  <c:v>75.270779999999988</c:v>
                </c:pt>
                <c:pt idx="65">
                  <c:v>75.285599999999988</c:v>
                </c:pt>
                <c:pt idx="66">
                  <c:v>75.300419999999988</c:v>
                </c:pt>
                <c:pt idx="67">
                  <c:v>75.315239999999989</c:v>
                </c:pt>
                <c:pt idx="68">
                  <c:v>75.330059999999989</c:v>
                </c:pt>
                <c:pt idx="69">
                  <c:v>75.344879999999989</c:v>
                </c:pt>
                <c:pt idx="70">
                  <c:v>75.359699999999989</c:v>
                </c:pt>
                <c:pt idx="71">
                  <c:v>75.37451999999999</c:v>
                </c:pt>
                <c:pt idx="72">
                  <c:v>75.38933999999999</c:v>
                </c:pt>
                <c:pt idx="73">
                  <c:v>75.40415999999999</c:v>
                </c:pt>
                <c:pt idx="74">
                  <c:v>75.418979999999991</c:v>
                </c:pt>
                <c:pt idx="75">
                  <c:v>75.433799999999991</c:v>
                </c:pt>
                <c:pt idx="76">
                  <c:v>75.448619999999991</c:v>
                </c:pt>
                <c:pt idx="77">
                  <c:v>75.463439999999991</c:v>
                </c:pt>
                <c:pt idx="78">
                  <c:v>75.478259999999992</c:v>
                </c:pt>
                <c:pt idx="79">
                  <c:v>75.493079999999992</c:v>
                </c:pt>
                <c:pt idx="80">
                  <c:v>75.507899999999992</c:v>
                </c:pt>
              </c:numCache>
            </c:numRef>
          </c:yVal>
          <c:smooth val="1"/>
        </c:ser>
        <c:dLbls/>
        <c:axId val="76254208"/>
        <c:axId val="76285056"/>
      </c:scatterChart>
      <c:valAx>
        <c:axId val="7625420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285056"/>
        <c:crosses val="autoZero"/>
        <c:crossBetween val="midCat"/>
      </c:valAx>
      <c:valAx>
        <c:axId val="76285056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25420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6666666666666666"/>
          <c:y val="7.8319845435987162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0.75</c:v>
                </c:pt>
                <c:pt idx="42">
                  <c:v>0.8</c:v>
                </c:pt>
                <c:pt idx="43">
                  <c:v>0.85000000000000009</c:v>
                </c:pt>
                <c:pt idx="44">
                  <c:v>0.90000000000000013</c:v>
                </c:pt>
                <c:pt idx="45">
                  <c:v>0.95000000000000018</c:v>
                </c:pt>
                <c:pt idx="46">
                  <c:v>1.0000000000000002</c:v>
                </c:pt>
                <c:pt idx="47">
                  <c:v>1.0500000000000003</c:v>
                </c:pt>
                <c:pt idx="48">
                  <c:v>1.1000000000000003</c:v>
                </c:pt>
                <c:pt idx="49">
                  <c:v>1.1500000000000004</c:v>
                </c:pt>
                <c:pt idx="50">
                  <c:v>1.2000000000000004</c:v>
                </c:pt>
                <c:pt idx="51">
                  <c:v>1.2500000000000004</c:v>
                </c:pt>
                <c:pt idx="52">
                  <c:v>1.3000000000000005</c:v>
                </c:pt>
                <c:pt idx="53">
                  <c:v>1.3500000000000005</c:v>
                </c:pt>
                <c:pt idx="54">
                  <c:v>1.4000000000000006</c:v>
                </c:pt>
                <c:pt idx="55">
                  <c:v>1.4500000000000006</c:v>
                </c:pt>
                <c:pt idx="56">
                  <c:v>1.5000000000000007</c:v>
                </c:pt>
                <c:pt idx="57">
                  <c:v>1.5500000000000007</c:v>
                </c:pt>
                <c:pt idx="58">
                  <c:v>1.6000000000000008</c:v>
                </c:pt>
                <c:pt idx="59">
                  <c:v>1.6500000000000008</c:v>
                </c:pt>
                <c:pt idx="60">
                  <c:v>1.7</c:v>
                </c:pt>
                <c:pt idx="61">
                  <c:v>1.73</c:v>
                </c:pt>
                <c:pt idx="62">
                  <c:v>1.76</c:v>
                </c:pt>
                <c:pt idx="63">
                  <c:v>1.79</c:v>
                </c:pt>
                <c:pt idx="64">
                  <c:v>1.82</c:v>
                </c:pt>
                <c:pt idx="65">
                  <c:v>1.85</c:v>
                </c:pt>
                <c:pt idx="66">
                  <c:v>1.8800000000000001</c:v>
                </c:pt>
                <c:pt idx="67">
                  <c:v>1.9100000000000001</c:v>
                </c:pt>
                <c:pt idx="68">
                  <c:v>1.9400000000000002</c:v>
                </c:pt>
                <c:pt idx="69">
                  <c:v>1.9700000000000002</c:v>
                </c:pt>
                <c:pt idx="70">
                  <c:v>2</c:v>
                </c:pt>
                <c:pt idx="71">
                  <c:v>2.0299999999999998</c:v>
                </c:pt>
                <c:pt idx="72">
                  <c:v>2.0599999999999996</c:v>
                </c:pt>
                <c:pt idx="73">
                  <c:v>2.0899999999999994</c:v>
                </c:pt>
                <c:pt idx="74">
                  <c:v>2.1199999999999992</c:v>
                </c:pt>
                <c:pt idx="75">
                  <c:v>2.149999999999999</c:v>
                </c:pt>
                <c:pt idx="76">
                  <c:v>2.1799999999999988</c:v>
                </c:pt>
                <c:pt idx="77">
                  <c:v>2.2099999999999986</c:v>
                </c:pt>
                <c:pt idx="78">
                  <c:v>2.2399999999999984</c:v>
                </c:pt>
                <c:pt idx="79">
                  <c:v>2.2699999999999982</c:v>
                </c:pt>
                <c:pt idx="80">
                  <c:v>2.2999999999999998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0.73499999999999999</c:v>
                </c:pt>
                <c:pt idx="42">
                  <c:v>0.77</c:v>
                </c:pt>
                <c:pt idx="43">
                  <c:v>0.80500000000000005</c:v>
                </c:pt>
                <c:pt idx="44">
                  <c:v>0.84000000000000008</c:v>
                </c:pt>
                <c:pt idx="45">
                  <c:v>0.87500000000000011</c:v>
                </c:pt>
                <c:pt idx="46">
                  <c:v>0.91000000000000014</c:v>
                </c:pt>
                <c:pt idx="47">
                  <c:v>0.94500000000000017</c:v>
                </c:pt>
                <c:pt idx="48">
                  <c:v>0.9800000000000002</c:v>
                </c:pt>
                <c:pt idx="49">
                  <c:v>1.0150000000000001</c:v>
                </c:pt>
                <c:pt idx="50">
                  <c:v>1.05</c:v>
                </c:pt>
                <c:pt idx="51">
                  <c:v>1.085</c:v>
                </c:pt>
                <c:pt idx="52">
                  <c:v>1.1199999999999999</c:v>
                </c:pt>
                <c:pt idx="53">
                  <c:v>1.1549999999999998</c:v>
                </c:pt>
                <c:pt idx="54">
                  <c:v>1.1899999999999997</c:v>
                </c:pt>
                <c:pt idx="55">
                  <c:v>1.2249999999999996</c:v>
                </c:pt>
                <c:pt idx="56">
                  <c:v>1.2599999999999996</c:v>
                </c:pt>
                <c:pt idx="57">
                  <c:v>1.2949999999999995</c:v>
                </c:pt>
                <c:pt idx="58">
                  <c:v>1.3299999999999994</c:v>
                </c:pt>
                <c:pt idx="59">
                  <c:v>1.3649999999999993</c:v>
                </c:pt>
                <c:pt idx="60">
                  <c:v>1.4</c:v>
                </c:pt>
                <c:pt idx="61">
                  <c:v>1.4149999999999998</c:v>
                </c:pt>
                <c:pt idx="62">
                  <c:v>1.4299999999999997</c:v>
                </c:pt>
                <c:pt idx="63">
                  <c:v>1.4449999999999996</c:v>
                </c:pt>
                <c:pt idx="64">
                  <c:v>1.4599999999999995</c:v>
                </c:pt>
                <c:pt idx="65">
                  <c:v>1.4749999999999994</c:v>
                </c:pt>
                <c:pt idx="66">
                  <c:v>1.4899999999999993</c:v>
                </c:pt>
                <c:pt idx="67">
                  <c:v>1.5049999999999992</c:v>
                </c:pt>
                <c:pt idx="68">
                  <c:v>1.5199999999999991</c:v>
                </c:pt>
                <c:pt idx="69">
                  <c:v>1.534999999999999</c:v>
                </c:pt>
                <c:pt idx="70">
                  <c:v>1.5499999999999989</c:v>
                </c:pt>
                <c:pt idx="71">
                  <c:v>1.5649999999999988</c:v>
                </c:pt>
                <c:pt idx="72">
                  <c:v>1.5799999999999987</c:v>
                </c:pt>
                <c:pt idx="73">
                  <c:v>1.5949999999999986</c:v>
                </c:pt>
                <c:pt idx="74">
                  <c:v>1.6099999999999985</c:v>
                </c:pt>
                <c:pt idx="75">
                  <c:v>1.6249999999999984</c:v>
                </c:pt>
                <c:pt idx="76">
                  <c:v>1.6399999999999983</c:v>
                </c:pt>
                <c:pt idx="77">
                  <c:v>1.6549999999999983</c:v>
                </c:pt>
                <c:pt idx="78">
                  <c:v>1.6699999999999982</c:v>
                </c:pt>
                <c:pt idx="79">
                  <c:v>1.6849999999999981</c:v>
                </c:pt>
                <c:pt idx="80">
                  <c:v>1.7</c:v>
                </c:pt>
              </c:numCache>
            </c:numRef>
          </c:yVal>
          <c:smooth val="1"/>
        </c:ser>
        <c:dLbls/>
        <c:axId val="76324864"/>
        <c:axId val="76326784"/>
      </c:scatterChart>
      <c:valAx>
        <c:axId val="7632486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326784"/>
        <c:crosses val="autoZero"/>
        <c:crossBetween val="midCat"/>
      </c:valAx>
      <c:valAx>
        <c:axId val="76326784"/>
        <c:scaling>
          <c:orientation val="minMax"/>
          <c:max val="4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</c:title>
        <c:numFmt formatCode="0.0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7632486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'Cooler&amp;Wetter'!$F$18:$F$98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0.85000000000000009</c:v>
                </c:pt>
                <c:pt idx="42">
                  <c:v>0.90000000000000013</c:v>
                </c:pt>
                <c:pt idx="43">
                  <c:v>0.95000000000000018</c:v>
                </c:pt>
                <c:pt idx="44">
                  <c:v>1.0000000000000002</c:v>
                </c:pt>
                <c:pt idx="45">
                  <c:v>1.0500000000000003</c:v>
                </c:pt>
                <c:pt idx="46">
                  <c:v>1.1000000000000003</c:v>
                </c:pt>
                <c:pt idx="47">
                  <c:v>1.1500000000000004</c:v>
                </c:pt>
                <c:pt idx="48">
                  <c:v>1.2000000000000004</c:v>
                </c:pt>
                <c:pt idx="49">
                  <c:v>1.2500000000000004</c:v>
                </c:pt>
                <c:pt idx="50">
                  <c:v>1.3000000000000005</c:v>
                </c:pt>
                <c:pt idx="51">
                  <c:v>1.3500000000000005</c:v>
                </c:pt>
                <c:pt idx="52">
                  <c:v>1.4000000000000006</c:v>
                </c:pt>
                <c:pt idx="53">
                  <c:v>1.4500000000000006</c:v>
                </c:pt>
                <c:pt idx="54">
                  <c:v>1.5000000000000007</c:v>
                </c:pt>
                <c:pt idx="55">
                  <c:v>1.5500000000000007</c:v>
                </c:pt>
                <c:pt idx="56">
                  <c:v>1.6000000000000008</c:v>
                </c:pt>
                <c:pt idx="57">
                  <c:v>1.6500000000000008</c:v>
                </c:pt>
                <c:pt idx="58">
                  <c:v>1.7000000000000008</c:v>
                </c:pt>
                <c:pt idx="59">
                  <c:v>1.7500000000000009</c:v>
                </c:pt>
                <c:pt idx="60">
                  <c:v>1.8</c:v>
                </c:pt>
                <c:pt idx="61">
                  <c:v>1.835</c:v>
                </c:pt>
                <c:pt idx="62">
                  <c:v>1.8699999999999999</c:v>
                </c:pt>
                <c:pt idx="63">
                  <c:v>1.9049999999999998</c:v>
                </c:pt>
                <c:pt idx="64">
                  <c:v>1.9399999999999997</c:v>
                </c:pt>
                <c:pt idx="65">
                  <c:v>1.9749999999999996</c:v>
                </c:pt>
                <c:pt idx="66">
                  <c:v>2.0099999999999998</c:v>
                </c:pt>
                <c:pt idx="67">
                  <c:v>2.0449999999999999</c:v>
                </c:pt>
                <c:pt idx="68">
                  <c:v>2.08</c:v>
                </c:pt>
                <c:pt idx="69">
                  <c:v>2.1150000000000002</c:v>
                </c:pt>
                <c:pt idx="70">
                  <c:v>2.1500000000000004</c:v>
                </c:pt>
                <c:pt idx="71">
                  <c:v>2.1850000000000005</c:v>
                </c:pt>
                <c:pt idx="72">
                  <c:v>2.2200000000000006</c:v>
                </c:pt>
                <c:pt idx="73">
                  <c:v>2.2550000000000008</c:v>
                </c:pt>
                <c:pt idx="74">
                  <c:v>2.2900000000000009</c:v>
                </c:pt>
                <c:pt idx="75">
                  <c:v>2.3250000000000011</c:v>
                </c:pt>
                <c:pt idx="76">
                  <c:v>2.3600000000000012</c:v>
                </c:pt>
                <c:pt idx="77">
                  <c:v>2.3950000000000014</c:v>
                </c:pt>
                <c:pt idx="78">
                  <c:v>2.4300000000000015</c:v>
                </c:pt>
                <c:pt idx="79">
                  <c:v>2.4650000000000016</c:v>
                </c:pt>
                <c:pt idx="80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'Cooler&amp;Wetter'!$G$18:$G$98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0.83500000000000008</c:v>
                </c:pt>
                <c:pt idx="42">
                  <c:v>0.87000000000000011</c:v>
                </c:pt>
                <c:pt idx="43">
                  <c:v>0.90500000000000014</c:v>
                </c:pt>
                <c:pt idx="44">
                  <c:v>0.94000000000000017</c:v>
                </c:pt>
                <c:pt idx="45">
                  <c:v>0.9750000000000002</c:v>
                </c:pt>
                <c:pt idx="46">
                  <c:v>1.0100000000000002</c:v>
                </c:pt>
                <c:pt idx="47">
                  <c:v>1.0450000000000002</c:v>
                </c:pt>
                <c:pt idx="48">
                  <c:v>1.08</c:v>
                </c:pt>
                <c:pt idx="49">
                  <c:v>1.115</c:v>
                </c:pt>
                <c:pt idx="50">
                  <c:v>1.1499999999999999</c:v>
                </c:pt>
                <c:pt idx="51">
                  <c:v>1.1849999999999998</c:v>
                </c:pt>
                <c:pt idx="52">
                  <c:v>1.2199999999999998</c:v>
                </c:pt>
                <c:pt idx="53">
                  <c:v>1.2549999999999997</c:v>
                </c:pt>
                <c:pt idx="54">
                  <c:v>1.2899999999999996</c:v>
                </c:pt>
                <c:pt idx="55">
                  <c:v>1.3249999999999995</c:v>
                </c:pt>
                <c:pt idx="56">
                  <c:v>1.3599999999999994</c:v>
                </c:pt>
                <c:pt idx="57">
                  <c:v>1.3949999999999994</c:v>
                </c:pt>
                <c:pt idx="58">
                  <c:v>1.4299999999999993</c:v>
                </c:pt>
                <c:pt idx="59">
                  <c:v>1.4649999999999992</c:v>
                </c:pt>
                <c:pt idx="60">
                  <c:v>1.5</c:v>
                </c:pt>
                <c:pt idx="61">
                  <c:v>1.52</c:v>
                </c:pt>
                <c:pt idx="62">
                  <c:v>1.54</c:v>
                </c:pt>
                <c:pt idx="63">
                  <c:v>1.56</c:v>
                </c:pt>
                <c:pt idx="64">
                  <c:v>1.58</c:v>
                </c:pt>
                <c:pt idx="65">
                  <c:v>1.6</c:v>
                </c:pt>
                <c:pt idx="66">
                  <c:v>1.62</c:v>
                </c:pt>
                <c:pt idx="67">
                  <c:v>1.6400000000000001</c:v>
                </c:pt>
                <c:pt idx="68">
                  <c:v>1.6600000000000001</c:v>
                </c:pt>
                <c:pt idx="69">
                  <c:v>1.6800000000000002</c:v>
                </c:pt>
                <c:pt idx="70">
                  <c:v>1.7000000000000002</c:v>
                </c:pt>
                <c:pt idx="71">
                  <c:v>1.7200000000000002</c:v>
                </c:pt>
                <c:pt idx="72">
                  <c:v>1.7400000000000002</c:v>
                </c:pt>
                <c:pt idx="73">
                  <c:v>1.7600000000000002</c:v>
                </c:pt>
                <c:pt idx="74">
                  <c:v>1.7800000000000002</c:v>
                </c:pt>
                <c:pt idx="75">
                  <c:v>1.8000000000000003</c:v>
                </c:pt>
                <c:pt idx="76">
                  <c:v>1.8200000000000003</c:v>
                </c:pt>
                <c:pt idx="77">
                  <c:v>1.8400000000000003</c:v>
                </c:pt>
                <c:pt idx="78">
                  <c:v>1.8600000000000003</c:v>
                </c:pt>
                <c:pt idx="79">
                  <c:v>1.8800000000000003</c:v>
                </c:pt>
                <c:pt idx="80">
                  <c:v>1.9</c:v>
                </c:pt>
              </c:numCache>
            </c:numRef>
          </c:yVal>
          <c:smooth val="1"/>
        </c:ser>
        <c:dLbls/>
        <c:axId val="86020864"/>
        <c:axId val="86022784"/>
      </c:scatterChart>
      <c:valAx>
        <c:axId val="8602086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6022784"/>
        <c:crosses val="autoZero"/>
        <c:crossBetween val="midCat"/>
      </c:valAx>
      <c:valAx>
        <c:axId val="860227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02086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'Cooler&amp;Wetter'!$D$5:$D$9</c:f>
              <c:numCache>
                <c:formatCode>0.00</c:formatCode>
                <c:ptCount val="5"/>
                <c:pt idx="0">
                  <c:v>0</c:v>
                </c:pt>
                <c:pt idx="1">
                  <c:v>1.1333333333333333</c:v>
                </c:pt>
                <c:pt idx="2" formatCode="General">
                  <c:v>3.4</c:v>
                </c:pt>
                <c:pt idx="3" formatCode="General">
                  <c:v>8.3000000000000007</c:v>
                </c:pt>
                <c:pt idx="4" formatCode="General">
                  <c:v>11.5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'Cooler&amp;Wetter'!$E$5:$E$9</c:f>
              <c:numCache>
                <c:formatCode>0.00</c:formatCode>
                <c:ptCount val="5"/>
                <c:pt idx="0">
                  <c:v>0</c:v>
                </c:pt>
                <c:pt idx="1">
                  <c:v>1.2</c:v>
                </c:pt>
                <c:pt idx="2" formatCode="General">
                  <c:v>3.6</c:v>
                </c:pt>
                <c:pt idx="3" formatCode="General">
                  <c:v>6.7</c:v>
                </c:pt>
                <c:pt idx="4" formatCode="General">
                  <c:v>8.5</c:v>
                </c:pt>
              </c:numCache>
            </c:numRef>
          </c:yVal>
          <c:smooth val="1"/>
        </c:ser>
        <c:dLbls/>
        <c:axId val="86061056"/>
        <c:axId val="86062976"/>
      </c:scatterChart>
      <c:valAx>
        <c:axId val="8606105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6062976"/>
        <c:crosses val="autoZero"/>
        <c:crossBetween val="midCat"/>
      </c:valAx>
      <c:valAx>
        <c:axId val="860629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06105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'Cooler&amp;Wetter'!$U$18:$U$128</c:f>
              <c:numCache>
                <c:formatCode>0.00</c:formatCode>
                <c:ptCount val="111"/>
                <c:pt idx="0">
                  <c:v>1094</c:v>
                </c:pt>
                <c:pt idx="1">
                  <c:v>1094.6199333333334</c:v>
                </c:pt>
                <c:pt idx="2">
                  <c:v>1095.2398666666666</c:v>
                </c:pt>
                <c:pt idx="3">
                  <c:v>1095.8598</c:v>
                </c:pt>
                <c:pt idx="4">
                  <c:v>1096.4797333333333</c:v>
                </c:pt>
                <c:pt idx="5">
                  <c:v>1097.0996666666667</c:v>
                </c:pt>
                <c:pt idx="6">
                  <c:v>1097.7195999999999</c:v>
                </c:pt>
                <c:pt idx="7">
                  <c:v>1098.3395333333333</c:v>
                </c:pt>
                <c:pt idx="8">
                  <c:v>1098.9594666666667</c:v>
                </c:pt>
                <c:pt idx="9">
                  <c:v>1099.5794000000001</c:v>
                </c:pt>
                <c:pt idx="10">
                  <c:v>1100.1993333333332</c:v>
                </c:pt>
                <c:pt idx="11">
                  <c:v>1100.8192666666666</c:v>
                </c:pt>
                <c:pt idx="12">
                  <c:v>1101.4392</c:v>
                </c:pt>
                <c:pt idx="13">
                  <c:v>1102.0591333333334</c:v>
                </c:pt>
                <c:pt idx="14">
                  <c:v>1102.6790666666666</c:v>
                </c:pt>
                <c:pt idx="15">
                  <c:v>1103.299</c:v>
                </c:pt>
                <c:pt idx="16">
                  <c:v>1103.9189333333334</c:v>
                </c:pt>
                <c:pt idx="17">
                  <c:v>1104.5388666666668</c:v>
                </c:pt>
                <c:pt idx="18">
                  <c:v>1105.1587999999999</c:v>
                </c:pt>
                <c:pt idx="19">
                  <c:v>1105.7787333333333</c:v>
                </c:pt>
                <c:pt idx="20">
                  <c:v>1106.3986666666667</c:v>
                </c:pt>
                <c:pt idx="21">
                  <c:v>1107.6385333333333</c:v>
                </c:pt>
                <c:pt idx="22">
                  <c:v>1108.8784000000001</c:v>
                </c:pt>
                <c:pt idx="23">
                  <c:v>1110.1182666666666</c:v>
                </c:pt>
                <c:pt idx="24">
                  <c:v>1111.3581333333334</c:v>
                </c:pt>
                <c:pt idx="25">
                  <c:v>1112.598</c:v>
                </c:pt>
                <c:pt idx="26">
                  <c:v>1113.8378666666667</c:v>
                </c:pt>
                <c:pt idx="27">
                  <c:v>1115.0777333333333</c:v>
                </c:pt>
                <c:pt idx="28">
                  <c:v>1116.3176000000001</c:v>
                </c:pt>
                <c:pt idx="29">
                  <c:v>1117.5574666666666</c:v>
                </c:pt>
                <c:pt idx="30">
                  <c:v>1118.7973333333334</c:v>
                </c:pt>
                <c:pt idx="31">
                  <c:v>1120.0372</c:v>
                </c:pt>
                <c:pt idx="32">
                  <c:v>1121.2770666666668</c:v>
                </c:pt>
                <c:pt idx="33">
                  <c:v>1122.5169333333333</c:v>
                </c:pt>
                <c:pt idx="34">
                  <c:v>1123.7567999999999</c:v>
                </c:pt>
                <c:pt idx="35">
                  <c:v>1124.9966666666667</c:v>
                </c:pt>
                <c:pt idx="36">
                  <c:v>1126.2365333333332</c:v>
                </c:pt>
                <c:pt idx="37">
                  <c:v>1127.4764</c:v>
                </c:pt>
                <c:pt idx="38">
                  <c:v>1128.7162666666666</c:v>
                </c:pt>
                <c:pt idx="39">
                  <c:v>1129.9561333333334</c:v>
                </c:pt>
                <c:pt idx="40">
                  <c:v>1131.1959999999999</c:v>
                </c:pt>
                <c:pt idx="41">
                  <c:v>1133.8762999999999</c:v>
                </c:pt>
                <c:pt idx="42">
                  <c:v>1136.5565999999999</c:v>
                </c:pt>
                <c:pt idx="43">
                  <c:v>1139.2369000000001</c:v>
                </c:pt>
                <c:pt idx="44">
                  <c:v>1141.9172000000001</c:v>
                </c:pt>
                <c:pt idx="45">
                  <c:v>1144.5975000000001</c:v>
                </c:pt>
                <c:pt idx="46">
                  <c:v>1147.2778000000001</c:v>
                </c:pt>
                <c:pt idx="47">
                  <c:v>1149.9581000000001</c:v>
                </c:pt>
                <c:pt idx="48">
                  <c:v>1152.6384</c:v>
                </c:pt>
                <c:pt idx="49">
                  <c:v>1155.3187</c:v>
                </c:pt>
                <c:pt idx="50">
                  <c:v>1157.999</c:v>
                </c:pt>
                <c:pt idx="51">
                  <c:v>1160.6793</c:v>
                </c:pt>
                <c:pt idx="52">
                  <c:v>1163.3596</c:v>
                </c:pt>
                <c:pt idx="53">
                  <c:v>1166.0399</c:v>
                </c:pt>
                <c:pt idx="54">
                  <c:v>1168.7202</c:v>
                </c:pt>
                <c:pt idx="55">
                  <c:v>1171.4005</c:v>
                </c:pt>
                <c:pt idx="56">
                  <c:v>1174.0808</c:v>
                </c:pt>
                <c:pt idx="57">
                  <c:v>1176.7610999999999</c:v>
                </c:pt>
                <c:pt idx="58">
                  <c:v>1179.4413999999999</c:v>
                </c:pt>
                <c:pt idx="59">
                  <c:v>1182.1216999999999</c:v>
                </c:pt>
                <c:pt idx="60">
                  <c:v>1184.8019999999999</c:v>
                </c:pt>
                <c:pt idx="61">
                  <c:v>1186.5524</c:v>
                </c:pt>
                <c:pt idx="62">
                  <c:v>1188.3027999999999</c:v>
                </c:pt>
                <c:pt idx="63">
                  <c:v>1190.0532000000001</c:v>
                </c:pt>
                <c:pt idx="64">
                  <c:v>1191.8036</c:v>
                </c:pt>
                <c:pt idx="65">
                  <c:v>1193.5540000000001</c:v>
                </c:pt>
                <c:pt idx="66">
                  <c:v>1195.3044</c:v>
                </c:pt>
                <c:pt idx="67">
                  <c:v>1197.0548000000001</c:v>
                </c:pt>
                <c:pt idx="68">
                  <c:v>1198.8052</c:v>
                </c:pt>
                <c:pt idx="69">
                  <c:v>1200.5555999999999</c:v>
                </c:pt>
                <c:pt idx="70">
                  <c:v>1202.306</c:v>
                </c:pt>
                <c:pt idx="71">
                  <c:v>1204.0563999999999</c:v>
                </c:pt>
                <c:pt idx="72">
                  <c:v>1205.8068000000001</c:v>
                </c:pt>
                <c:pt idx="73">
                  <c:v>1207.5572</c:v>
                </c:pt>
                <c:pt idx="74">
                  <c:v>1209.3076000000001</c:v>
                </c:pt>
                <c:pt idx="75">
                  <c:v>1211.058</c:v>
                </c:pt>
                <c:pt idx="76">
                  <c:v>1212.8084000000001</c:v>
                </c:pt>
                <c:pt idx="77">
                  <c:v>1214.5588</c:v>
                </c:pt>
                <c:pt idx="78">
                  <c:v>1216.3092000000001</c:v>
                </c:pt>
                <c:pt idx="79">
                  <c:v>1218.0596</c:v>
                </c:pt>
                <c:pt idx="80">
                  <c:v>1219.81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'Cooler&amp;Wetter'!$V$18:$V$128</c:f>
              <c:numCache>
                <c:formatCode>0.00</c:formatCode>
                <c:ptCount val="111"/>
                <c:pt idx="0">
                  <c:v>1094</c:v>
                </c:pt>
                <c:pt idx="1">
                  <c:v>1094.6564000000001</c:v>
                </c:pt>
                <c:pt idx="2">
                  <c:v>1095.3127999999999</c:v>
                </c:pt>
                <c:pt idx="3">
                  <c:v>1095.9692</c:v>
                </c:pt>
                <c:pt idx="4">
                  <c:v>1096.6256000000001</c:v>
                </c:pt>
                <c:pt idx="5">
                  <c:v>1097.2819999999999</c:v>
                </c:pt>
                <c:pt idx="6">
                  <c:v>1097.9384</c:v>
                </c:pt>
                <c:pt idx="7">
                  <c:v>1098.5948000000001</c:v>
                </c:pt>
                <c:pt idx="8">
                  <c:v>1099.2511999999999</c:v>
                </c:pt>
                <c:pt idx="9">
                  <c:v>1099.9076</c:v>
                </c:pt>
                <c:pt idx="10">
                  <c:v>1100.5640000000001</c:v>
                </c:pt>
                <c:pt idx="11">
                  <c:v>1101.2203999999999</c:v>
                </c:pt>
                <c:pt idx="12">
                  <c:v>1101.8768</c:v>
                </c:pt>
                <c:pt idx="13">
                  <c:v>1102.5332000000001</c:v>
                </c:pt>
                <c:pt idx="14">
                  <c:v>1103.1895999999999</c:v>
                </c:pt>
                <c:pt idx="15">
                  <c:v>1103.846</c:v>
                </c:pt>
                <c:pt idx="16">
                  <c:v>1104.5024000000001</c:v>
                </c:pt>
                <c:pt idx="17">
                  <c:v>1105.1587999999999</c:v>
                </c:pt>
                <c:pt idx="18">
                  <c:v>1105.8152</c:v>
                </c:pt>
                <c:pt idx="19">
                  <c:v>1106.4716000000001</c:v>
                </c:pt>
                <c:pt idx="20">
                  <c:v>1107.1279999999999</c:v>
                </c:pt>
                <c:pt idx="21">
                  <c:v>1108.4408000000001</c:v>
                </c:pt>
                <c:pt idx="22">
                  <c:v>1109.7536</c:v>
                </c:pt>
                <c:pt idx="23">
                  <c:v>1111.0663999999999</c:v>
                </c:pt>
                <c:pt idx="24">
                  <c:v>1112.3792000000001</c:v>
                </c:pt>
                <c:pt idx="25">
                  <c:v>1113.692</c:v>
                </c:pt>
                <c:pt idx="26">
                  <c:v>1115.0047999999999</c:v>
                </c:pt>
                <c:pt idx="27">
                  <c:v>1116.3176000000001</c:v>
                </c:pt>
                <c:pt idx="28">
                  <c:v>1117.6304</c:v>
                </c:pt>
                <c:pt idx="29">
                  <c:v>1118.9431999999999</c:v>
                </c:pt>
                <c:pt idx="30">
                  <c:v>1120.2560000000001</c:v>
                </c:pt>
                <c:pt idx="31">
                  <c:v>1121.5688</c:v>
                </c:pt>
                <c:pt idx="32">
                  <c:v>1122.8815999999999</c:v>
                </c:pt>
                <c:pt idx="33">
                  <c:v>1124.1944000000001</c:v>
                </c:pt>
                <c:pt idx="34">
                  <c:v>1125.5072</c:v>
                </c:pt>
                <c:pt idx="35">
                  <c:v>1126.82</c:v>
                </c:pt>
                <c:pt idx="36">
                  <c:v>1128.1328000000001</c:v>
                </c:pt>
                <c:pt idx="37">
                  <c:v>1129.4456</c:v>
                </c:pt>
                <c:pt idx="38">
                  <c:v>1130.7583999999999</c:v>
                </c:pt>
                <c:pt idx="39">
                  <c:v>1132.0712000000001</c:v>
                </c:pt>
                <c:pt idx="40">
                  <c:v>1133.384</c:v>
                </c:pt>
                <c:pt idx="41">
                  <c:v>1135.0797</c:v>
                </c:pt>
                <c:pt idx="42">
                  <c:v>1136.7754</c:v>
                </c:pt>
                <c:pt idx="43">
                  <c:v>1138.4711</c:v>
                </c:pt>
                <c:pt idx="44">
                  <c:v>1140.1668</c:v>
                </c:pt>
                <c:pt idx="45">
                  <c:v>1141.8625</c:v>
                </c:pt>
                <c:pt idx="46">
                  <c:v>1143.5581999999999</c:v>
                </c:pt>
                <c:pt idx="47">
                  <c:v>1145.2538999999999</c:v>
                </c:pt>
                <c:pt idx="48">
                  <c:v>1146.9495999999999</c:v>
                </c:pt>
                <c:pt idx="49">
                  <c:v>1148.6452999999999</c:v>
                </c:pt>
                <c:pt idx="50">
                  <c:v>1150.3410000000001</c:v>
                </c:pt>
                <c:pt idx="51">
                  <c:v>1152.0367000000001</c:v>
                </c:pt>
                <c:pt idx="52">
                  <c:v>1153.7324000000001</c:v>
                </c:pt>
                <c:pt idx="53">
                  <c:v>1155.4281000000001</c:v>
                </c:pt>
                <c:pt idx="54">
                  <c:v>1157.1238000000001</c:v>
                </c:pt>
                <c:pt idx="55">
                  <c:v>1158.8195000000001</c:v>
                </c:pt>
                <c:pt idx="56">
                  <c:v>1160.5152</c:v>
                </c:pt>
                <c:pt idx="57">
                  <c:v>1162.2109</c:v>
                </c:pt>
                <c:pt idx="58">
                  <c:v>1163.9066</c:v>
                </c:pt>
                <c:pt idx="59">
                  <c:v>1165.6023</c:v>
                </c:pt>
                <c:pt idx="60">
                  <c:v>1167.298</c:v>
                </c:pt>
                <c:pt idx="61">
                  <c:v>1168.2826</c:v>
                </c:pt>
                <c:pt idx="62">
                  <c:v>1169.2672</c:v>
                </c:pt>
                <c:pt idx="63">
                  <c:v>1170.2518</c:v>
                </c:pt>
                <c:pt idx="64">
                  <c:v>1171.2364</c:v>
                </c:pt>
                <c:pt idx="65">
                  <c:v>1172.221</c:v>
                </c:pt>
                <c:pt idx="66">
                  <c:v>1173.2056</c:v>
                </c:pt>
                <c:pt idx="67">
                  <c:v>1174.1902</c:v>
                </c:pt>
                <c:pt idx="68">
                  <c:v>1175.1748</c:v>
                </c:pt>
                <c:pt idx="69">
                  <c:v>1176.1594</c:v>
                </c:pt>
                <c:pt idx="70">
                  <c:v>1177.144</c:v>
                </c:pt>
                <c:pt idx="71">
                  <c:v>1178.1286</c:v>
                </c:pt>
                <c:pt idx="72">
                  <c:v>1179.1132</c:v>
                </c:pt>
                <c:pt idx="73">
                  <c:v>1180.0978</c:v>
                </c:pt>
                <c:pt idx="74">
                  <c:v>1181.0824</c:v>
                </c:pt>
                <c:pt idx="75">
                  <c:v>1182.067</c:v>
                </c:pt>
                <c:pt idx="76">
                  <c:v>1183.0516</c:v>
                </c:pt>
                <c:pt idx="77">
                  <c:v>1184.0362</c:v>
                </c:pt>
                <c:pt idx="78">
                  <c:v>1185.0208</c:v>
                </c:pt>
                <c:pt idx="79">
                  <c:v>1186.0054</c:v>
                </c:pt>
                <c:pt idx="80">
                  <c:v>1186.99</c:v>
                </c:pt>
              </c:numCache>
            </c:numRef>
          </c:yVal>
          <c:smooth val="1"/>
        </c:ser>
        <c:dLbls/>
        <c:axId val="86092800"/>
        <c:axId val="86131840"/>
      </c:scatterChart>
      <c:valAx>
        <c:axId val="8609280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131840"/>
        <c:crosses val="autoZero"/>
        <c:crossBetween val="midCat"/>
      </c:valAx>
      <c:valAx>
        <c:axId val="8613184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</c:title>
        <c:numFmt formatCode="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09280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4"/>
          <c:y val="9.2208734324876071E-2"/>
          <c:w val="0.13325021872265966"/>
          <c:h val="0.1674343832020998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'Cooler&amp;Wetter'!$D$18:$D$98</c:f>
              <c:numCache>
                <c:formatCode>0.0000</c:formatCode>
                <c:ptCount val="81"/>
                <c:pt idx="0">
                  <c:v>0</c:v>
                </c:pt>
                <c:pt idx="1">
                  <c:v>5.6666666666666664E-2</c:v>
                </c:pt>
                <c:pt idx="2">
                  <c:v>0.11333333333333333</c:v>
                </c:pt>
                <c:pt idx="3">
                  <c:v>0.16999999999999998</c:v>
                </c:pt>
                <c:pt idx="4">
                  <c:v>0.22666666666666666</c:v>
                </c:pt>
                <c:pt idx="5">
                  <c:v>0.28333333333333333</c:v>
                </c:pt>
                <c:pt idx="6">
                  <c:v>0.33999999999999997</c:v>
                </c:pt>
                <c:pt idx="7">
                  <c:v>0.39666666666666661</c:v>
                </c:pt>
                <c:pt idx="8">
                  <c:v>0.45333333333333325</c:v>
                </c:pt>
                <c:pt idx="9">
                  <c:v>0.5099999999999999</c:v>
                </c:pt>
                <c:pt idx="10">
                  <c:v>0.56666666666666654</c:v>
                </c:pt>
                <c:pt idx="11">
                  <c:v>0.62333333333333318</c:v>
                </c:pt>
                <c:pt idx="12">
                  <c:v>0.67999999999999983</c:v>
                </c:pt>
                <c:pt idx="13">
                  <c:v>0.73666666666666647</c:v>
                </c:pt>
                <c:pt idx="14">
                  <c:v>0.79333333333333311</c:v>
                </c:pt>
                <c:pt idx="15">
                  <c:v>0.84999999999999976</c:v>
                </c:pt>
                <c:pt idx="16">
                  <c:v>0.9066666666666664</c:v>
                </c:pt>
                <c:pt idx="17">
                  <c:v>0.96333333333333304</c:v>
                </c:pt>
                <c:pt idx="18">
                  <c:v>1.0199999999999998</c:v>
                </c:pt>
                <c:pt idx="19">
                  <c:v>1.0766666666666664</c:v>
                </c:pt>
                <c:pt idx="20">
                  <c:v>1.1333333333333333</c:v>
                </c:pt>
                <c:pt idx="21">
                  <c:v>1.2466666666666666</c:v>
                </c:pt>
                <c:pt idx="22">
                  <c:v>1.3599999999999999</c:v>
                </c:pt>
                <c:pt idx="23">
                  <c:v>1.4733333333333332</c:v>
                </c:pt>
                <c:pt idx="24">
                  <c:v>1.5866666666666664</c:v>
                </c:pt>
                <c:pt idx="25">
                  <c:v>1.6999999999999997</c:v>
                </c:pt>
                <c:pt idx="26">
                  <c:v>1.813333333333333</c:v>
                </c:pt>
                <c:pt idx="27">
                  <c:v>1.9266666666666663</c:v>
                </c:pt>
                <c:pt idx="28">
                  <c:v>2.0399999999999996</c:v>
                </c:pt>
                <c:pt idx="29">
                  <c:v>2.1533333333333329</c:v>
                </c:pt>
                <c:pt idx="30">
                  <c:v>2.2666666666666662</c:v>
                </c:pt>
                <c:pt idx="31">
                  <c:v>2.3799999999999994</c:v>
                </c:pt>
                <c:pt idx="32">
                  <c:v>2.4933333333333327</c:v>
                </c:pt>
                <c:pt idx="33">
                  <c:v>2.606666666666666</c:v>
                </c:pt>
                <c:pt idx="34">
                  <c:v>2.7199999999999993</c:v>
                </c:pt>
                <c:pt idx="35">
                  <c:v>2.8333333333333326</c:v>
                </c:pt>
                <c:pt idx="36">
                  <c:v>2.9466666666666659</c:v>
                </c:pt>
                <c:pt idx="37">
                  <c:v>3.0599999999999992</c:v>
                </c:pt>
                <c:pt idx="38">
                  <c:v>3.1733333333333325</c:v>
                </c:pt>
                <c:pt idx="39">
                  <c:v>3.2866666666666657</c:v>
                </c:pt>
                <c:pt idx="40">
                  <c:v>3.4</c:v>
                </c:pt>
                <c:pt idx="41">
                  <c:v>3.645</c:v>
                </c:pt>
                <c:pt idx="42">
                  <c:v>3.89</c:v>
                </c:pt>
                <c:pt idx="43">
                  <c:v>4.1349999999999998</c:v>
                </c:pt>
                <c:pt idx="44">
                  <c:v>4.38</c:v>
                </c:pt>
                <c:pt idx="45">
                  <c:v>4.625</c:v>
                </c:pt>
                <c:pt idx="46">
                  <c:v>4.87</c:v>
                </c:pt>
                <c:pt idx="47">
                  <c:v>5.1150000000000002</c:v>
                </c:pt>
                <c:pt idx="48">
                  <c:v>5.36</c:v>
                </c:pt>
                <c:pt idx="49">
                  <c:v>5.6050000000000004</c:v>
                </c:pt>
                <c:pt idx="50">
                  <c:v>5.8500000000000005</c:v>
                </c:pt>
                <c:pt idx="51">
                  <c:v>6.0950000000000006</c:v>
                </c:pt>
                <c:pt idx="52">
                  <c:v>6.3400000000000007</c:v>
                </c:pt>
                <c:pt idx="53">
                  <c:v>6.5850000000000009</c:v>
                </c:pt>
                <c:pt idx="54">
                  <c:v>6.830000000000001</c:v>
                </c:pt>
                <c:pt idx="55">
                  <c:v>7.0750000000000011</c:v>
                </c:pt>
                <c:pt idx="56">
                  <c:v>7.3200000000000012</c:v>
                </c:pt>
                <c:pt idx="57">
                  <c:v>7.5650000000000013</c:v>
                </c:pt>
                <c:pt idx="58">
                  <c:v>7.8100000000000014</c:v>
                </c:pt>
                <c:pt idx="59">
                  <c:v>8.0550000000000015</c:v>
                </c:pt>
                <c:pt idx="60">
                  <c:v>8.3000000000000007</c:v>
                </c:pt>
                <c:pt idx="61">
                  <c:v>8.4600000000000009</c:v>
                </c:pt>
                <c:pt idx="62">
                  <c:v>8.620000000000001</c:v>
                </c:pt>
                <c:pt idx="63">
                  <c:v>8.7800000000000011</c:v>
                </c:pt>
                <c:pt idx="64">
                  <c:v>8.9400000000000013</c:v>
                </c:pt>
                <c:pt idx="65">
                  <c:v>9.1000000000000014</c:v>
                </c:pt>
                <c:pt idx="66">
                  <c:v>9.2600000000000016</c:v>
                </c:pt>
                <c:pt idx="67">
                  <c:v>9.4200000000000017</c:v>
                </c:pt>
                <c:pt idx="68">
                  <c:v>9.5800000000000018</c:v>
                </c:pt>
                <c:pt idx="69">
                  <c:v>9.740000000000002</c:v>
                </c:pt>
                <c:pt idx="70">
                  <c:v>9.9000000000000021</c:v>
                </c:pt>
                <c:pt idx="71">
                  <c:v>10.060000000000002</c:v>
                </c:pt>
                <c:pt idx="72">
                  <c:v>10.220000000000002</c:v>
                </c:pt>
                <c:pt idx="73">
                  <c:v>10.380000000000003</c:v>
                </c:pt>
                <c:pt idx="74">
                  <c:v>10.540000000000003</c:v>
                </c:pt>
                <c:pt idx="75">
                  <c:v>10.700000000000003</c:v>
                </c:pt>
                <c:pt idx="76">
                  <c:v>10.860000000000003</c:v>
                </c:pt>
                <c:pt idx="77">
                  <c:v>11.020000000000003</c:v>
                </c:pt>
                <c:pt idx="78">
                  <c:v>11.180000000000003</c:v>
                </c:pt>
                <c:pt idx="79">
                  <c:v>11.340000000000003</c:v>
                </c:pt>
                <c:pt idx="80">
                  <c:v>11.5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'Cooler&amp;Wetter'!$E$18:$E$98</c:f>
              <c:numCache>
                <c:formatCode>0.0000</c:formatCode>
                <c:ptCount val="81"/>
                <c:pt idx="0">
                  <c:v>0</c:v>
                </c:pt>
                <c:pt idx="1">
                  <c:v>0.06</c:v>
                </c:pt>
                <c:pt idx="2">
                  <c:v>0.12</c:v>
                </c:pt>
                <c:pt idx="3">
                  <c:v>0.18</c:v>
                </c:pt>
                <c:pt idx="4">
                  <c:v>0.24</c:v>
                </c:pt>
                <c:pt idx="5">
                  <c:v>0.3</c:v>
                </c:pt>
                <c:pt idx="6">
                  <c:v>0.36</c:v>
                </c:pt>
                <c:pt idx="7">
                  <c:v>0.42</c:v>
                </c:pt>
                <c:pt idx="8">
                  <c:v>0.48</c:v>
                </c:pt>
                <c:pt idx="9">
                  <c:v>0.54</c:v>
                </c:pt>
                <c:pt idx="10">
                  <c:v>0.60000000000000009</c:v>
                </c:pt>
                <c:pt idx="11">
                  <c:v>0.66000000000000014</c:v>
                </c:pt>
                <c:pt idx="12">
                  <c:v>0.7200000000000002</c:v>
                </c:pt>
                <c:pt idx="13">
                  <c:v>0.78000000000000025</c:v>
                </c:pt>
                <c:pt idx="14">
                  <c:v>0.8400000000000003</c:v>
                </c:pt>
                <c:pt idx="15">
                  <c:v>0.90000000000000036</c:v>
                </c:pt>
                <c:pt idx="16">
                  <c:v>0.96000000000000041</c:v>
                </c:pt>
                <c:pt idx="17">
                  <c:v>1.0200000000000005</c:v>
                </c:pt>
                <c:pt idx="18">
                  <c:v>1.0800000000000005</c:v>
                </c:pt>
                <c:pt idx="19">
                  <c:v>1.1400000000000006</c:v>
                </c:pt>
                <c:pt idx="20">
                  <c:v>1.2</c:v>
                </c:pt>
                <c:pt idx="21">
                  <c:v>1.32</c:v>
                </c:pt>
                <c:pt idx="22">
                  <c:v>1.4400000000000002</c:v>
                </c:pt>
                <c:pt idx="23">
                  <c:v>1.5600000000000003</c:v>
                </c:pt>
                <c:pt idx="24">
                  <c:v>1.6800000000000004</c:v>
                </c:pt>
                <c:pt idx="25">
                  <c:v>1.8000000000000005</c:v>
                </c:pt>
                <c:pt idx="26">
                  <c:v>1.9200000000000006</c:v>
                </c:pt>
                <c:pt idx="27">
                  <c:v>2.0400000000000005</c:v>
                </c:pt>
                <c:pt idx="28">
                  <c:v>2.1600000000000006</c:v>
                </c:pt>
                <c:pt idx="29">
                  <c:v>2.2800000000000007</c:v>
                </c:pt>
                <c:pt idx="30">
                  <c:v>2.4000000000000008</c:v>
                </c:pt>
                <c:pt idx="31">
                  <c:v>2.5200000000000009</c:v>
                </c:pt>
                <c:pt idx="32">
                  <c:v>2.640000000000001</c:v>
                </c:pt>
                <c:pt idx="33">
                  <c:v>2.7600000000000011</c:v>
                </c:pt>
                <c:pt idx="34">
                  <c:v>2.8800000000000012</c:v>
                </c:pt>
                <c:pt idx="35">
                  <c:v>3.0000000000000013</c:v>
                </c:pt>
                <c:pt idx="36">
                  <c:v>3.1200000000000014</c:v>
                </c:pt>
                <c:pt idx="37">
                  <c:v>3.2400000000000015</c:v>
                </c:pt>
                <c:pt idx="38">
                  <c:v>3.3600000000000017</c:v>
                </c:pt>
                <c:pt idx="39">
                  <c:v>3.4800000000000018</c:v>
                </c:pt>
                <c:pt idx="40">
                  <c:v>3.6</c:v>
                </c:pt>
                <c:pt idx="41">
                  <c:v>3.7549999999999999</c:v>
                </c:pt>
                <c:pt idx="42">
                  <c:v>3.9099999999999997</c:v>
                </c:pt>
                <c:pt idx="43">
                  <c:v>4.0649999999999995</c:v>
                </c:pt>
                <c:pt idx="44">
                  <c:v>4.22</c:v>
                </c:pt>
                <c:pt idx="45">
                  <c:v>4.375</c:v>
                </c:pt>
                <c:pt idx="46">
                  <c:v>4.53</c:v>
                </c:pt>
                <c:pt idx="47">
                  <c:v>4.6850000000000005</c:v>
                </c:pt>
                <c:pt idx="48">
                  <c:v>4.8400000000000007</c:v>
                </c:pt>
                <c:pt idx="49">
                  <c:v>4.995000000000001</c:v>
                </c:pt>
                <c:pt idx="50">
                  <c:v>5.1500000000000012</c:v>
                </c:pt>
                <c:pt idx="51">
                  <c:v>5.3050000000000015</c:v>
                </c:pt>
                <c:pt idx="52">
                  <c:v>5.4600000000000017</c:v>
                </c:pt>
                <c:pt idx="53">
                  <c:v>5.615000000000002</c:v>
                </c:pt>
                <c:pt idx="54">
                  <c:v>5.7700000000000022</c:v>
                </c:pt>
                <c:pt idx="55">
                  <c:v>5.9250000000000025</c:v>
                </c:pt>
                <c:pt idx="56">
                  <c:v>6.0800000000000027</c:v>
                </c:pt>
                <c:pt idx="57">
                  <c:v>6.235000000000003</c:v>
                </c:pt>
                <c:pt idx="58">
                  <c:v>6.3900000000000032</c:v>
                </c:pt>
                <c:pt idx="59">
                  <c:v>6.5450000000000035</c:v>
                </c:pt>
                <c:pt idx="60">
                  <c:v>6.7</c:v>
                </c:pt>
                <c:pt idx="61">
                  <c:v>6.79</c:v>
                </c:pt>
                <c:pt idx="62">
                  <c:v>6.88</c:v>
                </c:pt>
                <c:pt idx="63">
                  <c:v>6.97</c:v>
                </c:pt>
                <c:pt idx="64">
                  <c:v>7.06</c:v>
                </c:pt>
                <c:pt idx="65">
                  <c:v>7.1499999999999995</c:v>
                </c:pt>
                <c:pt idx="66">
                  <c:v>7.2399999999999993</c:v>
                </c:pt>
                <c:pt idx="67">
                  <c:v>7.3299999999999992</c:v>
                </c:pt>
                <c:pt idx="68">
                  <c:v>7.419999999999999</c:v>
                </c:pt>
                <c:pt idx="69">
                  <c:v>7.5099999999999989</c:v>
                </c:pt>
                <c:pt idx="70">
                  <c:v>7.5999999999999988</c:v>
                </c:pt>
                <c:pt idx="71">
                  <c:v>7.6899999999999986</c:v>
                </c:pt>
                <c:pt idx="72">
                  <c:v>7.7799999999999985</c:v>
                </c:pt>
                <c:pt idx="73">
                  <c:v>7.8699999999999983</c:v>
                </c:pt>
                <c:pt idx="74">
                  <c:v>7.9599999999999982</c:v>
                </c:pt>
                <c:pt idx="75">
                  <c:v>8.0499999999999989</c:v>
                </c:pt>
                <c:pt idx="76">
                  <c:v>8.1399999999999988</c:v>
                </c:pt>
                <c:pt idx="77">
                  <c:v>8.2299999999999986</c:v>
                </c:pt>
                <c:pt idx="78">
                  <c:v>8.3199999999999985</c:v>
                </c:pt>
                <c:pt idx="79">
                  <c:v>8.4099999999999984</c:v>
                </c:pt>
                <c:pt idx="80">
                  <c:v>8.5</c:v>
                </c:pt>
              </c:numCache>
            </c:numRef>
          </c:yVal>
          <c:smooth val="1"/>
        </c:ser>
        <c:dLbls/>
        <c:axId val="86167552"/>
        <c:axId val="86169472"/>
      </c:scatterChart>
      <c:valAx>
        <c:axId val="8616755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6169472"/>
        <c:crosses val="autoZero"/>
        <c:crossBetween val="midCat"/>
      </c:valAx>
      <c:valAx>
        <c:axId val="8616947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16755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'Cooler&amp;Wetter'!$H$5:$H$9</c:f>
              <c:numCache>
                <c:formatCode>0.00</c:formatCode>
                <c:ptCount val="5"/>
                <c:pt idx="0">
                  <c:v>0</c:v>
                </c:pt>
                <c:pt idx="1">
                  <c:v>0.33666666666666667</c:v>
                </c:pt>
                <c:pt idx="2">
                  <c:v>1.01</c:v>
                </c:pt>
                <c:pt idx="3" formatCode="General">
                  <c:v>2.1</c:v>
                </c:pt>
                <c:pt idx="4">
                  <c:v>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'Cooler&amp;Wetter'!$I$5:$I$9</c:f>
              <c:numCache>
                <c:formatCode>0.00</c:formatCode>
                <c:ptCount val="5"/>
                <c:pt idx="0">
                  <c:v>0</c:v>
                </c:pt>
                <c:pt idx="1">
                  <c:v>0.35000000000000003</c:v>
                </c:pt>
                <c:pt idx="2">
                  <c:v>1.05</c:v>
                </c:pt>
                <c:pt idx="3" formatCode="General">
                  <c:v>1.78</c:v>
                </c:pt>
                <c:pt idx="4">
                  <c:v>2.4900000000000002</c:v>
                </c:pt>
              </c:numCache>
            </c:numRef>
          </c:yVal>
          <c:smooth val="1"/>
        </c:ser>
        <c:dLbls/>
        <c:axId val="86207488"/>
        <c:axId val="86226048"/>
      </c:scatterChart>
      <c:valAx>
        <c:axId val="8620748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6226048"/>
        <c:crosses val="autoZero"/>
        <c:crossBetween val="midCat"/>
      </c:valAx>
      <c:valAx>
        <c:axId val="862260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20748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'Cooler&amp;Wetter'!$Y$18:$Y$98</c:f>
              <c:numCache>
                <c:formatCode>0.00</c:formatCode>
                <c:ptCount val="81"/>
                <c:pt idx="0">
                  <c:v>19.3</c:v>
                </c:pt>
                <c:pt idx="1">
                  <c:v>19.316833333333335</c:v>
                </c:pt>
                <c:pt idx="2">
                  <c:v>19.333666666666666</c:v>
                </c:pt>
                <c:pt idx="3">
                  <c:v>19.3505</c:v>
                </c:pt>
                <c:pt idx="4">
                  <c:v>19.367333333333335</c:v>
                </c:pt>
                <c:pt idx="5">
                  <c:v>19.384166666666669</c:v>
                </c:pt>
                <c:pt idx="6">
                  <c:v>19.401</c:v>
                </c:pt>
                <c:pt idx="7">
                  <c:v>19.417833333333334</c:v>
                </c:pt>
                <c:pt idx="8">
                  <c:v>19.434666666666669</c:v>
                </c:pt>
                <c:pt idx="9">
                  <c:v>19.451499999999999</c:v>
                </c:pt>
                <c:pt idx="10">
                  <c:v>19.468333333333334</c:v>
                </c:pt>
                <c:pt idx="11">
                  <c:v>19.485166666666668</c:v>
                </c:pt>
                <c:pt idx="12">
                  <c:v>19.502000000000002</c:v>
                </c:pt>
                <c:pt idx="13">
                  <c:v>19.518833333333333</c:v>
                </c:pt>
                <c:pt idx="14">
                  <c:v>19.535666666666668</c:v>
                </c:pt>
                <c:pt idx="15">
                  <c:v>19.552500000000002</c:v>
                </c:pt>
                <c:pt idx="16">
                  <c:v>19.569333333333333</c:v>
                </c:pt>
                <c:pt idx="17">
                  <c:v>19.586166666666667</c:v>
                </c:pt>
                <c:pt idx="18">
                  <c:v>19.603000000000002</c:v>
                </c:pt>
                <c:pt idx="19">
                  <c:v>19.619833333333332</c:v>
                </c:pt>
                <c:pt idx="20">
                  <c:v>19.636666666666667</c:v>
                </c:pt>
                <c:pt idx="21">
                  <c:v>19.670333333333335</c:v>
                </c:pt>
                <c:pt idx="22">
                  <c:v>19.704000000000001</c:v>
                </c:pt>
                <c:pt idx="23">
                  <c:v>19.737666666666666</c:v>
                </c:pt>
                <c:pt idx="24">
                  <c:v>19.771333333333335</c:v>
                </c:pt>
                <c:pt idx="25">
                  <c:v>19.805</c:v>
                </c:pt>
                <c:pt idx="26">
                  <c:v>19.838666666666668</c:v>
                </c:pt>
                <c:pt idx="27">
                  <c:v>19.872333333333334</c:v>
                </c:pt>
                <c:pt idx="28">
                  <c:v>19.905999999999999</c:v>
                </c:pt>
                <c:pt idx="29">
                  <c:v>19.939666666666668</c:v>
                </c:pt>
                <c:pt idx="30">
                  <c:v>19.973333333333333</c:v>
                </c:pt>
                <c:pt idx="31">
                  <c:v>20.007000000000001</c:v>
                </c:pt>
                <c:pt idx="32">
                  <c:v>20.040666666666667</c:v>
                </c:pt>
                <c:pt idx="33">
                  <c:v>20.074333333333335</c:v>
                </c:pt>
                <c:pt idx="34">
                  <c:v>20.108000000000001</c:v>
                </c:pt>
                <c:pt idx="35">
                  <c:v>20.141666666666666</c:v>
                </c:pt>
                <c:pt idx="36">
                  <c:v>20.175333333333334</c:v>
                </c:pt>
                <c:pt idx="37">
                  <c:v>20.209</c:v>
                </c:pt>
                <c:pt idx="38">
                  <c:v>20.242666666666668</c:v>
                </c:pt>
                <c:pt idx="39">
                  <c:v>20.276333333333334</c:v>
                </c:pt>
                <c:pt idx="40">
                  <c:v>20.310000000000002</c:v>
                </c:pt>
                <c:pt idx="41">
                  <c:v>20.3645</c:v>
                </c:pt>
                <c:pt idx="42">
                  <c:v>20.419</c:v>
                </c:pt>
                <c:pt idx="43">
                  <c:v>20.473500000000001</c:v>
                </c:pt>
                <c:pt idx="44">
                  <c:v>20.528000000000002</c:v>
                </c:pt>
                <c:pt idx="45">
                  <c:v>20.5825</c:v>
                </c:pt>
                <c:pt idx="46">
                  <c:v>20.637</c:v>
                </c:pt>
                <c:pt idx="47">
                  <c:v>20.691500000000001</c:v>
                </c:pt>
                <c:pt idx="48">
                  <c:v>20.746000000000002</c:v>
                </c:pt>
                <c:pt idx="49">
                  <c:v>20.8005</c:v>
                </c:pt>
                <c:pt idx="50">
                  <c:v>20.855</c:v>
                </c:pt>
                <c:pt idx="51">
                  <c:v>20.909500000000001</c:v>
                </c:pt>
                <c:pt idx="52">
                  <c:v>20.964000000000002</c:v>
                </c:pt>
                <c:pt idx="53">
                  <c:v>21.0185</c:v>
                </c:pt>
                <c:pt idx="54">
                  <c:v>21.073</c:v>
                </c:pt>
                <c:pt idx="55">
                  <c:v>21.127500000000001</c:v>
                </c:pt>
                <c:pt idx="56">
                  <c:v>21.182000000000002</c:v>
                </c:pt>
                <c:pt idx="57">
                  <c:v>21.236499999999999</c:v>
                </c:pt>
                <c:pt idx="58">
                  <c:v>21.291</c:v>
                </c:pt>
                <c:pt idx="59">
                  <c:v>21.345500000000001</c:v>
                </c:pt>
                <c:pt idx="60">
                  <c:v>21.400000000000002</c:v>
                </c:pt>
                <c:pt idx="61">
                  <c:v>21.464000000000002</c:v>
                </c:pt>
                <c:pt idx="62">
                  <c:v>21.528000000000002</c:v>
                </c:pt>
                <c:pt idx="63">
                  <c:v>21.592000000000002</c:v>
                </c:pt>
                <c:pt idx="64">
                  <c:v>21.656000000000002</c:v>
                </c:pt>
                <c:pt idx="65">
                  <c:v>21.720000000000002</c:v>
                </c:pt>
                <c:pt idx="66">
                  <c:v>21.784000000000002</c:v>
                </c:pt>
                <c:pt idx="67">
                  <c:v>21.848000000000003</c:v>
                </c:pt>
                <c:pt idx="68">
                  <c:v>21.912000000000003</c:v>
                </c:pt>
                <c:pt idx="69">
                  <c:v>21.976000000000003</c:v>
                </c:pt>
                <c:pt idx="70">
                  <c:v>22.040000000000003</c:v>
                </c:pt>
                <c:pt idx="71">
                  <c:v>22.104000000000003</c:v>
                </c:pt>
                <c:pt idx="72">
                  <c:v>22.168000000000003</c:v>
                </c:pt>
                <c:pt idx="73">
                  <c:v>22.232000000000003</c:v>
                </c:pt>
                <c:pt idx="74">
                  <c:v>22.296000000000003</c:v>
                </c:pt>
                <c:pt idx="75">
                  <c:v>22.360000000000003</c:v>
                </c:pt>
                <c:pt idx="76">
                  <c:v>22.424000000000003</c:v>
                </c:pt>
                <c:pt idx="77">
                  <c:v>22.488000000000003</c:v>
                </c:pt>
                <c:pt idx="78">
                  <c:v>22.552000000000003</c:v>
                </c:pt>
                <c:pt idx="79">
                  <c:v>22.616000000000003</c:v>
                </c:pt>
                <c:pt idx="80">
                  <c:v>22.68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'Cooler&amp;Wetter'!$Z$18:$Z$98</c:f>
              <c:numCache>
                <c:formatCode>0.00</c:formatCode>
                <c:ptCount val="81"/>
                <c:pt idx="0">
                  <c:v>19.3</c:v>
                </c:pt>
                <c:pt idx="1">
                  <c:v>19.317499999999999</c:v>
                </c:pt>
                <c:pt idx="2">
                  <c:v>19.335000000000001</c:v>
                </c:pt>
                <c:pt idx="3">
                  <c:v>19.352499999999999</c:v>
                </c:pt>
                <c:pt idx="4">
                  <c:v>19.37</c:v>
                </c:pt>
                <c:pt idx="5">
                  <c:v>19.387499999999999</c:v>
                </c:pt>
                <c:pt idx="6">
                  <c:v>19.405000000000001</c:v>
                </c:pt>
                <c:pt idx="7">
                  <c:v>19.422499999999999</c:v>
                </c:pt>
                <c:pt idx="8">
                  <c:v>19.440000000000001</c:v>
                </c:pt>
                <c:pt idx="9">
                  <c:v>19.4575</c:v>
                </c:pt>
                <c:pt idx="10">
                  <c:v>19.475000000000001</c:v>
                </c:pt>
                <c:pt idx="11">
                  <c:v>19.4925</c:v>
                </c:pt>
                <c:pt idx="12">
                  <c:v>19.510000000000002</c:v>
                </c:pt>
                <c:pt idx="13">
                  <c:v>19.5275</c:v>
                </c:pt>
                <c:pt idx="14">
                  <c:v>19.545000000000002</c:v>
                </c:pt>
                <c:pt idx="15">
                  <c:v>19.5625</c:v>
                </c:pt>
                <c:pt idx="16">
                  <c:v>19.580000000000002</c:v>
                </c:pt>
                <c:pt idx="17">
                  <c:v>19.5975</c:v>
                </c:pt>
                <c:pt idx="18">
                  <c:v>19.615000000000002</c:v>
                </c:pt>
                <c:pt idx="19">
                  <c:v>19.6325</c:v>
                </c:pt>
                <c:pt idx="20">
                  <c:v>19.650000000000002</c:v>
                </c:pt>
                <c:pt idx="21">
                  <c:v>19.685000000000002</c:v>
                </c:pt>
                <c:pt idx="22">
                  <c:v>19.720000000000002</c:v>
                </c:pt>
                <c:pt idx="23">
                  <c:v>19.754999999999999</c:v>
                </c:pt>
                <c:pt idx="24">
                  <c:v>19.79</c:v>
                </c:pt>
                <c:pt idx="25">
                  <c:v>19.824999999999999</c:v>
                </c:pt>
                <c:pt idx="26">
                  <c:v>19.86</c:v>
                </c:pt>
                <c:pt idx="27">
                  <c:v>19.895</c:v>
                </c:pt>
                <c:pt idx="28">
                  <c:v>19.93</c:v>
                </c:pt>
                <c:pt idx="29">
                  <c:v>19.965</c:v>
                </c:pt>
                <c:pt idx="30">
                  <c:v>20</c:v>
                </c:pt>
                <c:pt idx="31">
                  <c:v>20.035</c:v>
                </c:pt>
                <c:pt idx="32">
                  <c:v>20.07</c:v>
                </c:pt>
                <c:pt idx="33">
                  <c:v>20.105</c:v>
                </c:pt>
                <c:pt idx="34">
                  <c:v>20.14</c:v>
                </c:pt>
                <c:pt idx="35">
                  <c:v>20.175000000000001</c:v>
                </c:pt>
                <c:pt idx="36">
                  <c:v>20.21</c:v>
                </c:pt>
                <c:pt idx="37">
                  <c:v>20.245000000000001</c:v>
                </c:pt>
                <c:pt idx="38">
                  <c:v>20.28</c:v>
                </c:pt>
                <c:pt idx="39">
                  <c:v>20.315000000000001</c:v>
                </c:pt>
                <c:pt idx="40">
                  <c:v>20.350000000000001</c:v>
                </c:pt>
                <c:pt idx="41">
                  <c:v>20.386500000000002</c:v>
                </c:pt>
                <c:pt idx="42">
                  <c:v>20.423000000000002</c:v>
                </c:pt>
                <c:pt idx="43">
                  <c:v>20.459500000000002</c:v>
                </c:pt>
                <c:pt idx="44">
                  <c:v>20.496000000000002</c:v>
                </c:pt>
                <c:pt idx="45">
                  <c:v>20.532499999999999</c:v>
                </c:pt>
                <c:pt idx="46">
                  <c:v>20.568999999999999</c:v>
                </c:pt>
                <c:pt idx="47">
                  <c:v>20.605499999999999</c:v>
                </c:pt>
                <c:pt idx="48">
                  <c:v>20.641999999999999</c:v>
                </c:pt>
                <c:pt idx="49">
                  <c:v>20.6785</c:v>
                </c:pt>
                <c:pt idx="50">
                  <c:v>20.715</c:v>
                </c:pt>
                <c:pt idx="51">
                  <c:v>20.7515</c:v>
                </c:pt>
                <c:pt idx="52">
                  <c:v>20.788</c:v>
                </c:pt>
                <c:pt idx="53">
                  <c:v>20.8245</c:v>
                </c:pt>
                <c:pt idx="54">
                  <c:v>20.861000000000001</c:v>
                </c:pt>
                <c:pt idx="55">
                  <c:v>20.897500000000001</c:v>
                </c:pt>
                <c:pt idx="56">
                  <c:v>20.934000000000001</c:v>
                </c:pt>
                <c:pt idx="57">
                  <c:v>20.970500000000001</c:v>
                </c:pt>
                <c:pt idx="58">
                  <c:v>21.007000000000001</c:v>
                </c:pt>
                <c:pt idx="59">
                  <c:v>21.043500000000002</c:v>
                </c:pt>
                <c:pt idx="60">
                  <c:v>21.080000000000002</c:v>
                </c:pt>
                <c:pt idx="61">
                  <c:v>21.115500000000001</c:v>
                </c:pt>
                <c:pt idx="62">
                  <c:v>21.151</c:v>
                </c:pt>
                <c:pt idx="63">
                  <c:v>21.186500000000002</c:v>
                </c:pt>
                <c:pt idx="64">
                  <c:v>21.222000000000001</c:v>
                </c:pt>
                <c:pt idx="65">
                  <c:v>21.2575</c:v>
                </c:pt>
                <c:pt idx="66">
                  <c:v>21.293000000000003</c:v>
                </c:pt>
                <c:pt idx="67">
                  <c:v>21.328500000000002</c:v>
                </c:pt>
                <c:pt idx="68">
                  <c:v>21.364000000000001</c:v>
                </c:pt>
                <c:pt idx="69">
                  <c:v>21.3995</c:v>
                </c:pt>
                <c:pt idx="70">
                  <c:v>21.435000000000002</c:v>
                </c:pt>
                <c:pt idx="71">
                  <c:v>21.470500000000001</c:v>
                </c:pt>
                <c:pt idx="72">
                  <c:v>21.506</c:v>
                </c:pt>
                <c:pt idx="73">
                  <c:v>21.541499999999999</c:v>
                </c:pt>
                <c:pt idx="74">
                  <c:v>21.577000000000002</c:v>
                </c:pt>
                <c:pt idx="75">
                  <c:v>21.612500000000001</c:v>
                </c:pt>
                <c:pt idx="76">
                  <c:v>21.648</c:v>
                </c:pt>
                <c:pt idx="77">
                  <c:v>21.683499999999999</c:v>
                </c:pt>
                <c:pt idx="78">
                  <c:v>21.719000000000001</c:v>
                </c:pt>
                <c:pt idx="79">
                  <c:v>21.7545</c:v>
                </c:pt>
                <c:pt idx="80">
                  <c:v>21.79</c:v>
                </c:pt>
              </c:numCache>
            </c:numRef>
          </c:yVal>
          <c:smooth val="1"/>
        </c:ser>
        <c:dLbls/>
        <c:axId val="86282240"/>
        <c:axId val="86284160"/>
      </c:scatterChart>
      <c:valAx>
        <c:axId val="86282240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6284160"/>
        <c:crosses val="autoZero"/>
        <c:crossBetween val="midCat"/>
      </c:valAx>
      <c:valAx>
        <c:axId val="8628416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28224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1.6833333333333332E-2</c:v>
                </c:pt>
                <c:pt idx="2">
                  <c:v>3.3666666666666664E-2</c:v>
                </c:pt>
                <c:pt idx="3">
                  <c:v>5.0499999999999996E-2</c:v>
                </c:pt>
                <c:pt idx="4">
                  <c:v>6.7333333333333328E-2</c:v>
                </c:pt>
                <c:pt idx="5">
                  <c:v>8.4166666666666667E-2</c:v>
                </c:pt>
                <c:pt idx="6">
                  <c:v>0.10100000000000001</c:v>
                </c:pt>
                <c:pt idx="7">
                  <c:v>0.11783333333333335</c:v>
                </c:pt>
                <c:pt idx="8">
                  <c:v>0.13466666666666668</c:v>
                </c:pt>
                <c:pt idx="9">
                  <c:v>0.15150000000000002</c:v>
                </c:pt>
                <c:pt idx="10">
                  <c:v>0.16833333333333336</c:v>
                </c:pt>
                <c:pt idx="11">
                  <c:v>0.1851666666666667</c:v>
                </c:pt>
                <c:pt idx="12">
                  <c:v>0.20200000000000004</c:v>
                </c:pt>
                <c:pt idx="13">
                  <c:v>0.21883333333333338</c:v>
                </c:pt>
                <c:pt idx="14">
                  <c:v>0.23566666666666672</c:v>
                </c:pt>
                <c:pt idx="15">
                  <c:v>0.25250000000000006</c:v>
                </c:pt>
                <c:pt idx="16">
                  <c:v>0.26933333333333337</c:v>
                </c:pt>
                <c:pt idx="17">
                  <c:v>0.28616666666666668</c:v>
                </c:pt>
                <c:pt idx="18">
                  <c:v>0.30299999999999999</c:v>
                </c:pt>
                <c:pt idx="19">
                  <c:v>0.3198333333333333</c:v>
                </c:pt>
                <c:pt idx="20">
                  <c:v>0.33666666666666667</c:v>
                </c:pt>
                <c:pt idx="21">
                  <c:v>0.37033333333333335</c:v>
                </c:pt>
                <c:pt idx="22">
                  <c:v>0.40400000000000003</c:v>
                </c:pt>
                <c:pt idx="23">
                  <c:v>0.4376666666666667</c:v>
                </c:pt>
                <c:pt idx="24">
                  <c:v>0.47133333333333338</c:v>
                </c:pt>
                <c:pt idx="25">
                  <c:v>0.505</c:v>
                </c:pt>
                <c:pt idx="26">
                  <c:v>0.53866666666666663</c:v>
                </c:pt>
                <c:pt idx="27">
                  <c:v>0.57233333333333325</c:v>
                </c:pt>
                <c:pt idx="28">
                  <c:v>0.60599999999999987</c:v>
                </c:pt>
                <c:pt idx="29">
                  <c:v>0.63966666666666649</c:v>
                </c:pt>
                <c:pt idx="30">
                  <c:v>0.67333333333333312</c:v>
                </c:pt>
                <c:pt idx="31">
                  <c:v>0.70699999999999974</c:v>
                </c:pt>
                <c:pt idx="32">
                  <c:v>0.74066666666666636</c:v>
                </c:pt>
                <c:pt idx="33">
                  <c:v>0.77433333333333298</c:v>
                </c:pt>
                <c:pt idx="34">
                  <c:v>0.80799999999999961</c:v>
                </c:pt>
                <c:pt idx="35">
                  <c:v>0.84166666666666623</c:v>
                </c:pt>
                <c:pt idx="36">
                  <c:v>0.87533333333333285</c:v>
                </c:pt>
                <c:pt idx="37">
                  <c:v>0.90899999999999948</c:v>
                </c:pt>
                <c:pt idx="38">
                  <c:v>0.9426666666666661</c:v>
                </c:pt>
                <c:pt idx="39">
                  <c:v>0.97633333333333272</c:v>
                </c:pt>
                <c:pt idx="40">
                  <c:v>1.01</c:v>
                </c:pt>
                <c:pt idx="41">
                  <c:v>1.0645</c:v>
                </c:pt>
                <c:pt idx="42">
                  <c:v>1.119</c:v>
                </c:pt>
                <c:pt idx="43">
                  <c:v>1.1735</c:v>
                </c:pt>
                <c:pt idx="44">
                  <c:v>1.228</c:v>
                </c:pt>
                <c:pt idx="45">
                  <c:v>1.2825</c:v>
                </c:pt>
                <c:pt idx="46">
                  <c:v>1.337</c:v>
                </c:pt>
                <c:pt idx="47">
                  <c:v>1.3915</c:v>
                </c:pt>
                <c:pt idx="48">
                  <c:v>1.446</c:v>
                </c:pt>
                <c:pt idx="49">
                  <c:v>1.5004999999999999</c:v>
                </c:pt>
                <c:pt idx="50">
                  <c:v>1.5549999999999999</c:v>
                </c:pt>
                <c:pt idx="51">
                  <c:v>1.6094999999999999</c:v>
                </c:pt>
                <c:pt idx="52">
                  <c:v>1.6639999999999999</c:v>
                </c:pt>
                <c:pt idx="53">
                  <c:v>1.7184999999999999</c:v>
                </c:pt>
                <c:pt idx="54">
                  <c:v>1.7729999999999999</c:v>
                </c:pt>
                <c:pt idx="55">
                  <c:v>1.8274999999999999</c:v>
                </c:pt>
                <c:pt idx="56">
                  <c:v>1.8819999999999999</c:v>
                </c:pt>
                <c:pt idx="57">
                  <c:v>1.9364999999999999</c:v>
                </c:pt>
                <c:pt idx="58">
                  <c:v>1.9909999999999999</c:v>
                </c:pt>
                <c:pt idx="59">
                  <c:v>2.0455000000000001</c:v>
                </c:pt>
                <c:pt idx="60">
                  <c:v>2.1</c:v>
                </c:pt>
                <c:pt idx="61">
                  <c:v>2.1640000000000001</c:v>
                </c:pt>
                <c:pt idx="62">
                  <c:v>2.2280000000000002</c:v>
                </c:pt>
                <c:pt idx="63">
                  <c:v>2.2920000000000003</c:v>
                </c:pt>
                <c:pt idx="64">
                  <c:v>2.3560000000000003</c:v>
                </c:pt>
                <c:pt idx="65">
                  <c:v>2.4200000000000004</c:v>
                </c:pt>
                <c:pt idx="66">
                  <c:v>2.4840000000000004</c:v>
                </c:pt>
                <c:pt idx="67">
                  <c:v>2.5480000000000005</c:v>
                </c:pt>
                <c:pt idx="68">
                  <c:v>2.6120000000000005</c:v>
                </c:pt>
                <c:pt idx="69">
                  <c:v>2.6760000000000006</c:v>
                </c:pt>
                <c:pt idx="70">
                  <c:v>2.7400000000000007</c:v>
                </c:pt>
                <c:pt idx="71">
                  <c:v>2.8040000000000007</c:v>
                </c:pt>
                <c:pt idx="72">
                  <c:v>2.8680000000000008</c:v>
                </c:pt>
                <c:pt idx="73">
                  <c:v>2.9320000000000008</c:v>
                </c:pt>
                <c:pt idx="74">
                  <c:v>2.9960000000000009</c:v>
                </c:pt>
                <c:pt idx="75">
                  <c:v>3.0600000000000009</c:v>
                </c:pt>
                <c:pt idx="76">
                  <c:v>3.124000000000001</c:v>
                </c:pt>
                <c:pt idx="77">
                  <c:v>3.1880000000000011</c:v>
                </c:pt>
                <c:pt idx="78">
                  <c:v>3.2520000000000011</c:v>
                </c:pt>
                <c:pt idx="79">
                  <c:v>3.3160000000000012</c:v>
                </c:pt>
                <c:pt idx="80">
                  <c:v>3.38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0.35000000000000003</c:v>
                </c:pt>
                <c:pt idx="21">
                  <c:v>0.38500000000000001</c:v>
                </c:pt>
                <c:pt idx="22">
                  <c:v>0.42</c:v>
                </c:pt>
                <c:pt idx="23">
                  <c:v>0.45499999999999996</c:v>
                </c:pt>
                <c:pt idx="24">
                  <c:v>0.48999999999999994</c:v>
                </c:pt>
                <c:pt idx="25">
                  <c:v>0.52499999999999991</c:v>
                </c:pt>
                <c:pt idx="26">
                  <c:v>0.55999999999999994</c:v>
                </c:pt>
                <c:pt idx="27">
                  <c:v>0.59499999999999997</c:v>
                </c:pt>
                <c:pt idx="28">
                  <c:v>0.63</c:v>
                </c:pt>
                <c:pt idx="29">
                  <c:v>0.66500000000000004</c:v>
                </c:pt>
                <c:pt idx="30">
                  <c:v>0.70000000000000007</c:v>
                </c:pt>
                <c:pt idx="31">
                  <c:v>0.7350000000000001</c:v>
                </c:pt>
                <c:pt idx="32">
                  <c:v>0.77000000000000013</c:v>
                </c:pt>
                <c:pt idx="33">
                  <c:v>0.80500000000000016</c:v>
                </c:pt>
                <c:pt idx="34">
                  <c:v>0.84000000000000019</c:v>
                </c:pt>
                <c:pt idx="35">
                  <c:v>0.87500000000000022</c:v>
                </c:pt>
                <c:pt idx="36">
                  <c:v>0.91000000000000025</c:v>
                </c:pt>
                <c:pt idx="37">
                  <c:v>0.94500000000000028</c:v>
                </c:pt>
                <c:pt idx="38">
                  <c:v>0.98000000000000032</c:v>
                </c:pt>
                <c:pt idx="39">
                  <c:v>1.0150000000000003</c:v>
                </c:pt>
                <c:pt idx="40">
                  <c:v>1.05</c:v>
                </c:pt>
                <c:pt idx="41">
                  <c:v>1.0865</c:v>
                </c:pt>
                <c:pt idx="42">
                  <c:v>1.123</c:v>
                </c:pt>
                <c:pt idx="43">
                  <c:v>1.1595</c:v>
                </c:pt>
                <c:pt idx="44">
                  <c:v>1.196</c:v>
                </c:pt>
                <c:pt idx="45">
                  <c:v>1.2324999999999999</c:v>
                </c:pt>
                <c:pt idx="46">
                  <c:v>1.2689999999999999</c:v>
                </c:pt>
                <c:pt idx="47">
                  <c:v>1.3054999999999999</c:v>
                </c:pt>
                <c:pt idx="48">
                  <c:v>1.3419999999999999</c:v>
                </c:pt>
                <c:pt idx="49">
                  <c:v>1.3784999999999998</c:v>
                </c:pt>
                <c:pt idx="50">
                  <c:v>1.4149999999999998</c:v>
                </c:pt>
                <c:pt idx="51">
                  <c:v>1.4514999999999998</c:v>
                </c:pt>
                <c:pt idx="52">
                  <c:v>1.4879999999999998</c:v>
                </c:pt>
                <c:pt idx="53">
                  <c:v>1.5244999999999997</c:v>
                </c:pt>
                <c:pt idx="54">
                  <c:v>1.5609999999999997</c:v>
                </c:pt>
                <c:pt idx="55">
                  <c:v>1.5974999999999997</c:v>
                </c:pt>
                <c:pt idx="56">
                  <c:v>1.6339999999999997</c:v>
                </c:pt>
                <c:pt idx="57">
                  <c:v>1.6704999999999997</c:v>
                </c:pt>
                <c:pt idx="58">
                  <c:v>1.7069999999999996</c:v>
                </c:pt>
                <c:pt idx="59">
                  <c:v>1.7434999999999996</c:v>
                </c:pt>
                <c:pt idx="60">
                  <c:v>1.78</c:v>
                </c:pt>
                <c:pt idx="61">
                  <c:v>1.8155000000000001</c:v>
                </c:pt>
                <c:pt idx="62">
                  <c:v>1.8510000000000002</c:v>
                </c:pt>
                <c:pt idx="63">
                  <c:v>1.8865000000000003</c:v>
                </c:pt>
                <c:pt idx="64">
                  <c:v>1.9220000000000004</c:v>
                </c:pt>
                <c:pt idx="65">
                  <c:v>1.9575000000000005</c:v>
                </c:pt>
                <c:pt idx="66">
                  <c:v>1.9930000000000005</c:v>
                </c:pt>
                <c:pt idx="67">
                  <c:v>2.0285000000000006</c:v>
                </c:pt>
                <c:pt idx="68">
                  <c:v>2.0640000000000005</c:v>
                </c:pt>
                <c:pt idx="69">
                  <c:v>2.0995000000000004</c:v>
                </c:pt>
                <c:pt idx="70">
                  <c:v>2.1350000000000002</c:v>
                </c:pt>
                <c:pt idx="71">
                  <c:v>2.1705000000000001</c:v>
                </c:pt>
                <c:pt idx="72">
                  <c:v>2.206</c:v>
                </c:pt>
                <c:pt idx="73">
                  <c:v>2.2414999999999998</c:v>
                </c:pt>
                <c:pt idx="74">
                  <c:v>2.2769999999999997</c:v>
                </c:pt>
                <c:pt idx="75">
                  <c:v>2.3124999999999996</c:v>
                </c:pt>
                <c:pt idx="76">
                  <c:v>2.3479999999999994</c:v>
                </c:pt>
                <c:pt idx="77">
                  <c:v>2.3834999999999993</c:v>
                </c:pt>
                <c:pt idx="78">
                  <c:v>2.4189999999999992</c:v>
                </c:pt>
                <c:pt idx="79">
                  <c:v>2.454499999999999</c:v>
                </c:pt>
                <c:pt idx="80">
                  <c:v>2.4900000000000002</c:v>
                </c:pt>
              </c:numCache>
            </c:numRef>
          </c:yVal>
          <c:smooth val="1"/>
        </c:ser>
        <c:dLbls/>
        <c:axId val="86319872"/>
        <c:axId val="86321792"/>
      </c:scatterChart>
      <c:valAx>
        <c:axId val="86319872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6321792"/>
        <c:crosses val="autoZero"/>
        <c:crossBetween val="midCat"/>
      </c:valAx>
      <c:valAx>
        <c:axId val="863217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319872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'Cooler&amp;Wetter'!$J$5:$J$9</c:f>
              <c:numCache>
                <c:formatCode>0.00</c:formatCode>
                <c:ptCount val="5"/>
                <c:pt idx="0">
                  <c:v>0</c:v>
                </c:pt>
                <c:pt idx="1">
                  <c:v>1.6666666666666666E-2</c:v>
                </c:pt>
                <c:pt idx="2">
                  <c:v>0.05</c:v>
                </c:pt>
                <c:pt idx="3" formatCode="General">
                  <c:v>0.1</c:v>
                </c:pt>
                <c:pt idx="4">
                  <c:v>0.17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'Cooler&amp;Wetter'!$K$5:$K$9</c:f>
              <c:numCache>
                <c:formatCode>0.00</c:formatCode>
                <c:ptCount val="5"/>
                <c:pt idx="0">
                  <c:v>0</c:v>
                </c:pt>
                <c:pt idx="1">
                  <c:v>1.6666666666666666E-2</c:v>
                </c:pt>
                <c:pt idx="2">
                  <c:v>0.05</c:v>
                </c:pt>
                <c:pt idx="3" formatCode="General">
                  <c:v>0.09</c:v>
                </c:pt>
                <c:pt idx="4">
                  <c:v>0.12</c:v>
                </c:pt>
              </c:numCache>
            </c:numRef>
          </c:yVal>
          <c:smooth val="1"/>
        </c:ser>
        <c:dLbls/>
        <c:axId val="86343680"/>
        <c:axId val="86345600"/>
      </c:scatterChart>
      <c:valAx>
        <c:axId val="8634368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6345600"/>
        <c:crosses val="autoZero"/>
        <c:crossBetween val="midCat"/>
      </c:valAx>
      <c:valAx>
        <c:axId val="863456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343680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'Cooler&amp;Wetter'!$AA$18:$AA$98</c:f>
              <c:numCache>
                <c:formatCode>0.00</c:formatCode>
                <c:ptCount val="81"/>
                <c:pt idx="0">
                  <c:v>35.5</c:v>
                </c:pt>
                <c:pt idx="1">
                  <c:v>35.500833333333333</c:v>
                </c:pt>
                <c:pt idx="2">
                  <c:v>35.501666666666665</c:v>
                </c:pt>
                <c:pt idx="3">
                  <c:v>35.502499999999998</c:v>
                </c:pt>
                <c:pt idx="4">
                  <c:v>35.50333333333333</c:v>
                </c:pt>
                <c:pt idx="5">
                  <c:v>35.50416666666667</c:v>
                </c:pt>
                <c:pt idx="6">
                  <c:v>35.505000000000003</c:v>
                </c:pt>
                <c:pt idx="7">
                  <c:v>35.505833333333335</c:v>
                </c:pt>
                <c:pt idx="8">
                  <c:v>35.506666666666668</c:v>
                </c:pt>
                <c:pt idx="9">
                  <c:v>35.5075</c:v>
                </c:pt>
                <c:pt idx="10">
                  <c:v>35.508333333333333</c:v>
                </c:pt>
                <c:pt idx="11">
                  <c:v>35.509166666666665</c:v>
                </c:pt>
                <c:pt idx="12">
                  <c:v>35.51</c:v>
                </c:pt>
                <c:pt idx="13">
                  <c:v>35.510833333333331</c:v>
                </c:pt>
                <c:pt idx="14">
                  <c:v>35.511666666666663</c:v>
                </c:pt>
                <c:pt idx="15">
                  <c:v>35.512500000000003</c:v>
                </c:pt>
                <c:pt idx="16">
                  <c:v>35.513333333333335</c:v>
                </c:pt>
                <c:pt idx="17">
                  <c:v>35.514166666666668</c:v>
                </c:pt>
                <c:pt idx="18">
                  <c:v>35.515000000000001</c:v>
                </c:pt>
                <c:pt idx="19">
                  <c:v>35.515833333333333</c:v>
                </c:pt>
                <c:pt idx="20">
                  <c:v>35.516666666666666</c:v>
                </c:pt>
                <c:pt idx="21">
                  <c:v>35.518333333333331</c:v>
                </c:pt>
                <c:pt idx="22">
                  <c:v>35.520000000000003</c:v>
                </c:pt>
                <c:pt idx="23">
                  <c:v>35.521666666666668</c:v>
                </c:pt>
                <c:pt idx="24">
                  <c:v>35.523333333333333</c:v>
                </c:pt>
                <c:pt idx="25">
                  <c:v>35.524999999999999</c:v>
                </c:pt>
                <c:pt idx="26">
                  <c:v>35.526666666666664</c:v>
                </c:pt>
                <c:pt idx="27">
                  <c:v>35.528333333333336</c:v>
                </c:pt>
                <c:pt idx="28">
                  <c:v>35.53</c:v>
                </c:pt>
                <c:pt idx="29">
                  <c:v>35.531666666666666</c:v>
                </c:pt>
                <c:pt idx="30">
                  <c:v>35.533333333333331</c:v>
                </c:pt>
                <c:pt idx="31">
                  <c:v>35.534999999999997</c:v>
                </c:pt>
                <c:pt idx="32">
                  <c:v>35.536666666666669</c:v>
                </c:pt>
                <c:pt idx="33">
                  <c:v>35.538333333333334</c:v>
                </c:pt>
                <c:pt idx="34">
                  <c:v>35.54</c:v>
                </c:pt>
                <c:pt idx="35">
                  <c:v>35.541666666666664</c:v>
                </c:pt>
                <c:pt idx="36">
                  <c:v>35.543333333333337</c:v>
                </c:pt>
                <c:pt idx="37">
                  <c:v>35.545000000000002</c:v>
                </c:pt>
                <c:pt idx="38">
                  <c:v>35.546666666666667</c:v>
                </c:pt>
                <c:pt idx="39">
                  <c:v>35.548333333333332</c:v>
                </c:pt>
                <c:pt idx="40">
                  <c:v>35.549999999999997</c:v>
                </c:pt>
                <c:pt idx="41">
                  <c:v>35.552500000000002</c:v>
                </c:pt>
                <c:pt idx="42">
                  <c:v>35.555</c:v>
                </c:pt>
                <c:pt idx="43">
                  <c:v>35.557499999999997</c:v>
                </c:pt>
                <c:pt idx="44">
                  <c:v>35.56</c:v>
                </c:pt>
                <c:pt idx="45">
                  <c:v>35.5625</c:v>
                </c:pt>
                <c:pt idx="46">
                  <c:v>35.564999999999998</c:v>
                </c:pt>
                <c:pt idx="47">
                  <c:v>35.567500000000003</c:v>
                </c:pt>
                <c:pt idx="48">
                  <c:v>35.57</c:v>
                </c:pt>
                <c:pt idx="49">
                  <c:v>35.572499999999998</c:v>
                </c:pt>
                <c:pt idx="50">
                  <c:v>35.575000000000003</c:v>
                </c:pt>
                <c:pt idx="51">
                  <c:v>35.577500000000001</c:v>
                </c:pt>
                <c:pt idx="52">
                  <c:v>35.58</c:v>
                </c:pt>
                <c:pt idx="53">
                  <c:v>35.582500000000003</c:v>
                </c:pt>
                <c:pt idx="54">
                  <c:v>35.585000000000001</c:v>
                </c:pt>
                <c:pt idx="55">
                  <c:v>35.587499999999999</c:v>
                </c:pt>
                <c:pt idx="56">
                  <c:v>35.590000000000003</c:v>
                </c:pt>
                <c:pt idx="57">
                  <c:v>35.592500000000001</c:v>
                </c:pt>
                <c:pt idx="58">
                  <c:v>35.594999999999999</c:v>
                </c:pt>
                <c:pt idx="59">
                  <c:v>35.597499999999997</c:v>
                </c:pt>
                <c:pt idx="60">
                  <c:v>35.6</c:v>
                </c:pt>
                <c:pt idx="61">
                  <c:v>35.603499999999997</c:v>
                </c:pt>
                <c:pt idx="62">
                  <c:v>35.606999999999999</c:v>
                </c:pt>
                <c:pt idx="63">
                  <c:v>35.610500000000002</c:v>
                </c:pt>
                <c:pt idx="64">
                  <c:v>35.613999999999997</c:v>
                </c:pt>
                <c:pt idx="65">
                  <c:v>35.6175</c:v>
                </c:pt>
                <c:pt idx="66">
                  <c:v>35.621000000000002</c:v>
                </c:pt>
                <c:pt idx="67">
                  <c:v>35.624499999999998</c:v>
                </c:pt>
                <c:pt idx="68">
                  <c:v>35.628</c:v>
                </c:pt>
                <c:pt idx="69">
                  <c:v>35.631500000000003</c:v>
                </c:pt>
                <c:pt idx="70">
                  <c:v>35.634999999999998</c:v>
                </c:pt>
                <c:pt idx="71">
                  <c:v>35.638500000000001</c:v>
                </c:pt>
                <c:pt idx="72">
                  <c:v>35.642000000000003</c:v>
                </c:pt>
                <c:pt idx="73">
                  <c:v>35.645499999999998</c:v>
                </c:pt>
                <c:pt idx="74">
                  <c:v>35.649000000000001</c:v>
                </c:pt>
                <c:pt idx="75">
                  <c:v>35.652500000000003</c:v>
                </c:pt>
                <c:pt idx="76">
                  <c:v>35.655999999999999</c:v>
                </c:pt>
                <c:pt idx="77">
                  <c:v>35.659500000000001</c:v>
                </c:pt>
                <c:pt idx="78">
                  <c:v>35.662999999999997</c:v>
                </c:pt>
                <c:pt idx="79">
                  <c:v>35.666499999999999</c:v>
                </c:pt>
                <c:pt idx="80">
                  <c:v>35.67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'Cooler&amp;Wetter'!$AB$18:$AB$98</c:f>
              <c:numCache>
                <c:formatCode>0.00</c:formatCode>
                <c:ptCount val="81"/>
                <c:pt idx="0">
                  <c:v>35.5</c:v>
                </c:pt>
                <c:pt idx="1">
                  <c:v>35.500833333333333</c:v>
                </c:pt>
                <c:pt idx="2">
                  <c:v>35.501666666666665</c:v>
                </c:pt>
                <c:pt idx="3">
                  <c:v>35.502499999999998</c:v>
                </c:pt>
                <c:pt idx="4">
                  <c:v>35.50333333333333</c:v>
                </c:pt>
                <c:pt idx="5">
                  <c:v>35.50416666666667</c:v>
                </c:pt>
                <c:pt idx="6">
                  <c:v>35.505000000000003</c:v>
                </c:pt>
                <c:pt idx="7">
                  <c:v>35.505833333333335</c:v>
                </c:pt>
                <c:pt idx="8">
                  <c:v>35.506666666666668</c:v>
                </c:pt>
                <c:pt idx="9">
                  <c:v>35.5075</c:v>
                </c:pt>
                <c:pt idx="10">
                  <c:v>35.508333333333333</c:v>
                </c:pt>
                <c:pt idx="11">
                  <c:v>35.509166666666665</c:v>
                </c:pt>
                <c:pt idx="12">
                  <c:v>35.51</c:v>
                </c:pt>
                <c:pt idx="13">
                  <c:v>35.510833333333331</c:v>
                </c:pt>
                <c:pt idx="14">
                  <c:v>35.511666666666663</c:v>
                </c:pt>
                <c:pt idx="15">
                  <c:v>35.512500000000003</c:v>
                </c:pt>
                <c:pt idx="16">
                  <c:v>35.513333333333335</c:v>
                </c:pt>
                <c:pt idx="17">
                  <c:v>35.514166666666668</c:v>
                </c:pt>
                <c:pt idx="18">
                  <c:v>35.515000000000001</c:v>
                </c:pt>
                <c:pt idx="19">
                  <c:v>35.515833333333333</c:v>
                </c:pt>
                <c:pt idx="20">
                  <c:v>35.516666666666666</c:v>
                </c:pt>
                <c:pt idx="21">
                  <c:v>35.518333333333331</c:v>
                </c:pt>
                <c:pt idx="22">
                  <c:v>35.520000000000003</c:v>
                </c:pt>
                <c:pt idx="23">
                  <c:v>35.521666666666668</c:v>
                </c:pt>
                <c:pt idx="24">
                  <c:v>35.523333333333333</c:v>
                </c:pt>
                <c:pt idx="25">
                  <c:v>35.524999999999999</c:v>
                </c:pt>
                <c:pt idx="26">
                  <c:v>35.526666666666664</c:v>
                </c:pt>
                <c:pt idx="27">
                  <c:v>35.528333333333336</c:v>
                </c:pt>
                <c:pt idx="28">
                  <c:v>35.53</c:v>
                </c:pt>
                <c:pt idx="29">
                  <c:v>35.531666666666666</c:v>
                </c:pt>
                <c:pt idx="30">
                  <c:v>35.533333333333331</c:v>
                </c:pt>
                <c:pt idx="31">
                  <c:v>35.534999999999997</c:v>
                </c:pt>
                <c:pt idx="32">
                  <c:v>35.536666666666669</c:v>
                </c:pt>
                <c:pt idx="33">
                  <c:v>35.538333333333334</c:v>
                </c:pt>
                <c:pt idx="34">
                  <c:v>35.54</c:v>
                </c:pt>
                <c:pt idx="35">
                  <c:v>35.541666666666664</c:v>
                </c:pt>
                <c:pt idx="36">
                  <c:v>35.543333333333337</c:v>
                </c:pt>
                <c:pt idx="37">
                  <c:v>35.545000000000002</c:v>
                </c:pt>
                <c:pt idx="38">
                  <c:v>35.546666666666667</c:v>
                </c:pt>
                <c:pt idx="39">
                  <c:v>35.548333333333332</c:v>
                </c:pt>
                <c:pt idx="40">
                  <c:v>35.549999999999997</c:v>
                </c:pt>
                <c:pt idx="41">
                  <c:v>35.552</c:v>
                </c:pt>
                <c:pt idx="42">
                  <c:v>35.554000000000002</c:v>
                </c:pt>
                <c:pt idx="43">
                  <c:v>35.555999999999997</c:v>
                </c:pt>
                <c:pt idx="44">
                  <c:v>35.558</c:v>
                </c:pt>
                <c:pt idx="45">
                  <c:v>35.56</c:v>
                </c:pt>
                <c:pt idx="46">
                  <c:v>35.561999999999998</c:v>
                </c:pt>
                <c:pt idx="47">
                  <c:v>35.564</c:v>
                </c:pt>
                <c:pt idx="48">
                  <c:v>35.566000000000003</c:v>
                </c:pt>
                <c:pt idx="49">
                  <c:v>35.567999999999998</c:v>
                </c:pt>
                <c:pt idx="50">
                  <c:v>35.57</c:v>
                </c:pt>
                <c:pt idx="51">
                  <c:v>35.572000000000003</c:v>
                </c:pt>
                <c:pt idx="52">
                  <c:v>35.573999999999998</c:v>
                </c:pt>
                <c:pt idx="53">
                  <c:v>35.576000000000001</c:v>
                </c:pt>
                <c:pt idx="54">
                  <c:v>35.578000000000003</c:v>
                </c:pt>
                <c:pt idx="55">
                  <c:v>35.58</c:v>
                </c:pt>
                <c:pt idx="56">
                  <c:v>35.582000000000001</c:v>
                </c:pt>
                <c:pt idx="57">
                  <c:v>35.584000000000003</c:v>
                </c:pt>
                <c:pt idx="58">
                  <c:v>35.585999999999999</c:v>
                </c:pt>
                <c:pt idx="59">
                  <c:v>35.588000000000001</c:v>
                </c:pt>
                <c:pt idx="60">
                  <c:v>35.590000000000003</c:v>
                </c:pt>
                <c:pt idx="61">
                  <c:v>35.591500000000003</c:v>
                </c:pt>
                <c:pt idx="62">
                  <c:v>35.593000000000004</c:v>
                </c:pt>
                <c:pt idx="63">
                  <c:v>35.594499999999996</c:v>
                </c:pt>
                <c:pt idx="64">
                  <c:v>35.595999999999997</c:v>
                </c:pt>
                <c:pt idx="65">
                  <c:v>35.597499999999997</c:v>
                </c:pt>
                <c:pt idx="66">
                  <c:v>35.598999999999997</c:v>
                </c:pt>
                <c:pt idx="67">
                  <c:v>35.600499999999997</c:v>
                </c:pt>
                <c:pt idx="68">
                  <c:v>35.601999999999997</c:v>
                </c:pt>
                <c:pt idx="69">
                  <c:v>35.603499999999997</c:v>
                </c:pt>
                <c:pt idx="70">
                  <c:v>35.604999999999997</c:v>
                </c:pt>
                <c:pt idx="71">
                  <c:v>35.606499999999997</c:v>
                </c:pt>
                <c:pt idx="72">
                  <c:v>35.607999999999997</c:v>
                </c:pt>
                <c:pt idx="73">
                  <c:v>35.609499999999997</c:v>
                </c:pt>
                <c:pt idx="74">
                  <c:v>35.610999999999997</c:v>
                </c:pt>
                <c:pt idx="75">
                  <c:v>35.612499999999997</c:v>
                </c:pt>
                <c:pt idx="76">
                  <c:v>35.613999999999997</c:v>
                </c:pt>
                <c:pt idx="77">
                  <c:v>35.615499999999997</c:v>
                </c:pt>
                <c:pt idx="78">
                  <c:v>35.616999999999997</c:v>
                </c:pt>
                <c:pt idx="79">
                  <c:v>35.618499999999997</c:v>
                </c:pt>
                <c:pt idx="80">
                  <c:v>35.619999999999997</c:v>
                </c:pt>
              </c:numCache>
            </c:numRef>
          </c:yVal>
          <c:smooth val="1"/>
        </c:ser>
        <c:dLbls/>
        <c:axId val="86471808"/>
        <c:axId val="86473728"/>
      </c:scatterChart>
      <c:valAx>
        <c:axId val="86471808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6473728"/>
        <c:crosses val="autoZero"/>
        <c:crossBetween val="midCat"/>
      </c:valAx>
      <c:valAx>
        <c:axId val="86473728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47180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'Cooler&amp;Wetter'!$J$18:$J$98</c:f>
              <c:numCache>
                <c:formatCode>0.0000</c:formatCode>
                <c:ptCount val="81"/>
                <c:pt idx="0">
                  <c:v>0</c:v>
                </c:pt>
                <c:pt idx="1">
                  <c:v>8.3333333333333328E-4</c:v>
                </c:pt>
                <c:pt idx="2">
                  <c:v>1.6666666666666666E-3</c:v>
                </c:pt>
                <c:pt idx="3">
                  <c:v>2.4999999999999996E-3</c:v>
                </c:pt>
                <c:pt idx="4">
                  <c:v>3.3333333333333331E-3</c:v>
                </c:pt>
                <c:pt idx="5">
                  <c:v>4.1666666666666666E-3</c:v>
                </c:pt>
                <c:pt idx="6">
                  <c:v>5.0000000000000001E-3</c:v>
                </c:pt>
                <c:pt idx="7">
                  <c:v>5.8333333333333336E-3</c:v>
                </c:pt>
                <c:pt idx="8">
                  <c:v>6.6666666666666671E-3</c:v>
                </c:pt>
                <c:pt idx="9">
                  <c:v>7.5000000000000006E-3</c:v>
                </c:pt>
                <c:pt idx="10">
                  <c:v>8.3333333333333332E-3</c:v>
                </c:pt>
                <c:pt idx="11">
                  <c:v>9.1666666666666667E-3</c:v>
                </c:pt>
                <c:pt idx="12">
                  <c:v>0.01</c:v>
                </c:pt>
                <c:pt idx="13">
                  <c:v>1.0833333333333334E-2</c:v>
                </c:pt>
                <c:pt idx="14">
                  <c:v>1.1666666666666667E-2</c:v>
                </c:pt>
                <c:pt idx="15">
                  <c:v>1.2500000000000001E-2</c:v>
                </c:pt>
                <c:pt idx="16">
                  <c:v>1.3333333333333334E-2</c:v>
                </c:pt>
                <c:pt idx="17">
                  <c:v>1.4166666666666668E-2</c:v>
                </c:pt>
                <c:pt idx="18">
                  <c:v>1.5000000000000001E-2</c:v>
                </c:pt>
                <c:pt idx="19">
                  <c:v>1.5833333333333335E-2</c:v>
                </c:pt>
                <c:pt idx="20">
                  <c:v>1.6666666666666666E-2</c:v>
                </c:pt>
                <c:pt idx="21">
                  <c:v>1.8333333333333333E-2</c:v>
                </c:pt>
                <c:pt idx="22">
                  <c:v>0.02</c:v>
                </c:pt>
                <c:pt idx="23">
                  <c:v>2.1666666666666667E-2</c:v>
                </c:pt>
                <c:pt idx="24">
                  <c:v>2.3333333333333334E-2</c:v>
                </c:pt>
                <c:pt idx="25">
                  <c:v>2.5000000000000001E-2</c:v>
                </c:pt>
                <c:pt idx="26">
                  <c:v>2.6666666666666668E-2</c:v>
                </c:pt>
                <c:pt idx="27">
                  <c:v>2.8333333333333335E-2</c:v>
                </c:pt>
                <c:pt idx="28">
                  <c:v>3.0000000000000002E-2</c:v>
                </c:pt>
                <c:pt idx="29">
                  <c:v>3.1666666666666669E-2</c:v>
                </c:pt>
                <c:pt idx="30">
                  <c:v>3.333333333333334E-2</c:v>
                </c:pt>
                <c:pt idx="31">
                  <c:v>3.5000000000000003E-2</c:v>
                </c:pt>
                <c:pt idx="32">
                  <c:v>3.6666666666666667E-2</c:v>
                </c:pt>
                <c:pt idx="33">
                  <c:v>3.833333333333333E-2</c:v>
                </c:pt>
                <c:pt idx="34">
                  <c:v>3.9999999999999994E-2</c:v>
                </c:pt>
                <c:pt idx="35">
                  <c:v>4.1666666666666657E-2</c:v>
                </c:pt>
                <c:pt idx="36">
                  <c:v>4.3333333333333321E-2</c:v>
                </c:pt>
                <c:pt idx="37">
                  <c:v>4.4999999999999984E-2</c:v>
                </c:pt>
                <c:pt idx="38">
                  <c:v>4.6666666666666648E-2</c:v>
                </c:pt>
                <c:pt idx="39">
                  <c:v>4.8333333333333311E-2</c:v>
                </c:pt>
                <c:pt idx="40">
                  <c:v>0.05</c:v>
                </c:pt>
                <c:pt idx="41">
                  <c:v>5.2500000000000005E-2</c:v>
                </c:pt>
                <c:pt idx="42">
                  <c:v>5.5000000000000007E-2</c:v>
                </c:pt>
                <c:pt idx="43">
                  <c:v>5.7500000000000009E-2</c:v>
                </c:pt>
                <c:pt idx="44">
                  <c:v>6.0000000000000012E-2</c:v>
                </c:pt>
                <c:pt idx="45">
                  <c:v>6.2500000000000014E-2</c:v>
                </c:pt>
                <c:pt idx="46">
                  <c:v>6.5000000000000016E-2</c:v>
                </c:pt>
                <c:pt idx="47">
                  <c:v>6.7500000000000018E-2</c:v>
                </c:pt>
                <c:pt idx="48">
                  <c:v>7.0000000000000021E-2</c:v>
                </c:pt>
                <c:pt idx="49">
                  <c:v>7.2500000000000023E-2</c:v>
                </c:pt>
                <c:pt idx="50">
                  <c:v>7.5000000000000025E-2</c:v>
                </c:pt>
                <c:pt idx="51">
                  <c:v>7.7500000000000027E-2</c:v>
                </c:pt>
                <c:pt idx="52">
                  <c:v>8.0000000000000029E-2</c:v>
                </c:pt>
                <c:pt idx="53">
                  <c:v>8.2500000000000032E-2</c:v>
                </c:pt>
                <c:pt idx="54">
                  <c:v>8.5000000000000034E-2</c:v>
                </c:pt>
                <c:pt idx="55">
                  <c:v>8.7500000000000036E-2</c:v>
                </c:pt>
                <c:pt idx="56">
                  <c:v>9.0000000000000038E-2</c:v>
                </c:pt>
                <c:pt idx="57">
                  <c:v>9.2500000000000041E-2</c:v>
                </c:pt>
                <c:pt idx="58">
                  <c:v>9.5000000000000043E-2</c:v>
                </c:pt>
                <c:pt idx="59">
                  <c:v>9.7500000000000045E-2</c:v>
                </c:pt>
                <c:pt idx="60">
                  <c:v>0.1</c:v>
                </c:pt>
                <c:pt idx="61">
                  <c:v>0.10350000000000001</c:v>
                </c:pt>
                <c:pt idx="62">
                  <c:v>0.10700000000000001</c:v>
                </c:pt>
                <c:pt idx="63">
                  <c:v>0.11050000000000001</c:v>
                </c:pt>
                <c:pt idx="64">
                  <c:v>0.11400000000000002</c:v>
                </c:pt>
                <c:pt idx="65">
                  <c:v>0.11750000000000002</c:v>
                </c:pt>
                <c:pt idx="66">
                  <c:v>0.12100000000000002</c:v>
                </c:pt>
                <c:pt idx="67">
                  <c:v>0.12450000000000003</c:v>
                </c:pt>
                <c:pt idx="68">
                  <c:v>0.12800000000000003</c:v>
                </c:pt>
                <c:pt idx="69">
                  <c:v>0.13150000000000003</c:v>
                </c:pt>
                <c:pt idx="70">
                  <c:v>0.13500000000000004</c:v>
                </c:pt>
                <c:pt idx="71">
                  <c:v>0.13850000000000004</c:v>
                </c:pt>
                <c:pt idx="72">
                  <c:v>0.14200000000000004</c:v>
                </c:pt>
                <c:pt idx="73">
                  <c:v>0.14550000000000005</c:v>
                </c:pt>
                <c:pt idx="74">
                  <c:v>0.14900000000000005</c:v>
                </c:pt>
                <c:pt idx="75">
                  <c:v>0.15250000000000005</c:v>
                </c:pt>
                <c:pt idx="76">
                  <c:v>0.15600000000000006</c:v>
                </c:pt>
                <c:pt idx="77">
                  <c:v>0.15950000000000006</c:v>
                </c:pt>
                <c:pt idx="78">
                  <c:v>0.16300000000000006</c:v>
                </c:pt>
                <c:pt idx="79">
                  <c:v>0.16650000000000006</c:v>
                </c:pt>
                <c:pt idx="80">
                  <c:v>0.17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'Cooler&amp;Wetter'!$K$18:$K$98</c:f>
              <c:numCache>
                <c:formatCode>0.0000</c:formatCode>
                <c:ptCount val="81"/>
                <c:pt idx="0">
                  <c:v>0</c:v>
                </c:pt>
                <c:pt idx="1">
                  <c:v>8.3333333333333328E-4</c:v>
                </c:pt>
                <c:pt idx="2">
                  <c:v>1.6666666666666666E-3</c:v>
                </c:pt>
                <c:pt idx="3">
                  <c:v>2.4999999999999996E-3</c:v>
                </c:pt>
                <c:pt idx="4">
                  <c:v>3.3333333333333331E-3</c:v>
                </c:pt>
                <c:pt idx="5">
                  <c:v>4.1666666666666666E-3</c:v>
                </c:pt>
                <c:pt idx="6">
                  <c:v>5.0000000000000001E-3</c:v>
                </c:pt>
                <c:pt idx="7">
                  <c:v>5.8333333333333336E-3</c:v>
                </c:pt>
                <c:pt idx="8">
                  <c:v>6.6666666666666671E-3</c:v>
                </c:pt>
                <c:pt idx="9">
                  <c:v>7.5000000000000006E-3</c:v>
                </c:pt>
                <c:pt idx="10">
                  <c:v>8.3333333333333332E-3</c:v>
                </c:pt>
                <c:pt idx="11">
                  <c:v>9.1666666666666667E-3</c:v>
                </c:pt>
                <c:pt idx="12">
                  <c:v>0.01</c:v>
                </c:pt>
                <c:pt idx="13">
                  <c:v>1.0833333333333334E-2</c:v>
                </c:pt>
                <c:pt idx="14">
                  <c:v>1.1666666666666667E-2</c:v>
                </c:pt>
                <c:pt idx="15">
                  <c:v>1.2500000000000001E-2</c:v>
                </c:pt>
                <c:pt idx="16">
                  <c:v>1.3333333333333334E-2</c:v>
                </c:pt>
                <c:pt idx="17">
                  <c:v>1.4166666666666668E-2</c:v>
                </c:pt>
                <c:pt idx="18">
                  <c:v>1.5000000000000001E-2</c:v>
                </c:pt>
                <c:pt idx="19">
                  <c:v>1.5833333333333335E-2</c:v>
                </c:pt>
                <c:pt idx="20">
                  <c:v>1.6666666666666666E-2</c:v>
                </c:pt>
                <c:pt idx="21">
                  <c:v>1.8333333333333333E-2</c:v>
                </c:pt>
                <c:pt idx="22">
                  <c:v>0.02</c:v>
                </c:pt>
                <c:pt idx="23">
                  <c:v>2.1666666666666667E-2</c:v>
                </c:pt>
                <c:pt idx="24">
                  <c:v>2.3333333333333334E-2</c:v>
                </c:pt>
                <c:pt idx="25">
                  <c:v>2.5000000000000001E-2</c:v>
                </c:pt>
                <c:pt idx="26">
                  <c:v>2.6666666666666668E-2</c:v>
                </c:pt>
                <c:pt idx="27">
                  <c:v>2.8333333333333335E-2</c:v>
                </c:pt>
                <c:pt idx="28">
                  <c:v>3.0000000000000002E-2</c:v>
                </c:pt>
                <c:pt idx="29">
                  <c:v>3.1666666666666669E-2</c:v>
                </c:pt>
                <c:pt idx="30">
                  <c:v>3.333333333333334E-2</c:v>
                </c:pt>
                <c:pt idx="31">
                  <c:v>3.5000000000000003E-2</c:v>
                </c:pt>
                <c:pt idx="32">
                  <c:v>3.6666666666666667E-2</c:v>
                </c:pt>
                <c:pt idx="33">
                  <c:v>3.833333333333333E-2</c:v>
                </c:pt>
                <c:pt idx="34">
                  <c:v>3.9999999999999994E-2</c:v>
                </c:pt>
                <c:pt idx="35">
                  <c:v>4.1666666666666657E-2</c:v>
                </c:pt>
                <c:pt idx="36">
                  <c:v>4.3333333333333321E-2</c:v>
                </c:pt>
                <c:pt idx="37">
                  <c:v>4.4999999999999984E-2</c:v>
                </c:pt>
                <c:pt idx="38">
                  <c:v>4.6666666666666648E-2</c:v>
                </c:pt>
                <c:pt idx="39">
                  <c:v>4.8333333333333311E-2</c:v>
                </c:pt>
                <c:pt idx="40">
                  <c:v>0.05</c:v>
                </c:pt>
                <c:pt idx="41">
                  <c:v>5.2000000000000005E-2</c:v>
                </c:pt>
                <c:pt idx="42">
                  <c:v>5.4000000000000006E-2</c:v>
                </c:pt>
                <c:pt idx="43">
                  <c:v>5.6000000000000008E-2</c:v>
                </c:pt>
                <c:pt idx="44">
                  <c:v>5.800000000000001E-2</c:v>
                </c:pt>
                <c:pt idx="45">
                  <c:v>6.0000000000000012E-2</c:v>
                </c:pt>
                <c:pt idx="46">
                  <c:v>6.2000000000000013E-2</c:v>
                </c:pt>
                <c:pt idx="47">
                  <c:v>6.4000000000000015E-2</c:v>
                </c:pt>
                <c:pt idx="48">
                  <c:v>6.6000000000000017E-2</c:v>
                </c:pt>
                <c:pt idx="49">
                  <c:v>6.8000000000000019E-2</c:v>
                </c:pt>
                <c:pt idx="50">
                  <c:v>7.0000000000000021E-2</c:v>
                </c:pt>
                <c:pt idx="51">
                  <c:v>7.2000000000000022E-2</c:v>
                </c:pt>
                <c:pt idx="52">
                  <c:v>7.4000000000000024E-2</c:v>
                </c:pt>
                <c:pt idx="53">
                  <c:v>7.6000000000000026E-2</c:v>
                </c:pt>
                <c:pt idx="54">
                  <c:v>7.8000000000000028E-2</c:v>
                </c:pt>
                <c:pt idx="55">
                  <c:v>8.0000000000000029E-2</c:v>
                </c:pt>
                <c:pt idx="56">
                  <c:v>8.2000000000000031E-2</c:v>
                </c:pt>
                <c:pt idx="57">
                  <c:v>8.4000000000000033E-2</c:v>
                </c:pt>
                <c:pt idx="58">
                  <c:v>8.6000000000000035E-2</c:v>
                </c:pt>
                <c:pt idx="59">
                  <c:v>8.8000000000000037E-2</c:v>
                </c:pt>
                <c:pt idx="60">
                  <c:v>0.09</c:v>
                </c:pt>
                <c:pt idx="61">
                  <c:v>9.1499999999999998E-2</c:v>
                </c:pt>
                <c:pt idx="62">
                  <c:v>9.2999999999999999E-2</c:v>
                </c:pt>
                <c:pt idx="63">
                  <c:v>9.4500000000000001E-2</c:v>
                </c:pt>
                <c:pt idx="64">
                  <c:v>9.6000000000000002E-2</c:v>
                </c:pt>
                <c:pt idx="65">
                  <c:v>9.7500000000000003E-2</c:v>
                </c:pt>
                <c:pt idx="66">
                  <c:v>9.9000000000000005E-2</c:v>
                </c:pt>
                <c:pt idx="67">
                  <c:v>0.10050000000000001</c:v>
                </c:pt>
                <c:pt idx="68">
                  <c:v>0.10200000000000001</c:v>
                </c:pt>
                <c:pt idx="69">
                  <c:v>0.10350000000000001</c:v>
                </c:pt>
                <c:pt idx="70">
                  <c:v>0.10500000000000001</c:v>
                </c:pt>
                <c:pt idx="71">
                  <c:v>0.10650000000000001</c:v>
                </c:pt>
                <c:pt idx="72">
                  <c:v>0.10800000000000001</c:v>
                </c:pt>
                <c:pt idx="73">
                  <c:v>0.10950000000000001</c:v>
                </c:pt>
                <c:pt idx="74">
                  <c:v>0.11100000000000002</c:v>
                </c:pt>
                <c:pt idx="75">
                  <c:v>0.11250000000000002</c:v>
                </c:pt>
                <c:pt idx="76">
                  <c:v>0.11400000000000002</c:v>
                </c:pt>
                <c:pt idx="77">
                  <c:v>0.11550000000000002</c:v>
                </c:pt>
                <c:pt idx="78">
                  <c:v>0.11700000000000002</c:v>
                </c:pt>
                <c:pt idx="79">
                  <c:v>0.11850000000000002</c:v>
                </c:pt>
                <c:pt idx="80">
                  <c:v>0.12</c:v>
                </c:pt>
              </c:numCache>
            </c:numRef>
          </c:yVal>
          <c:smooth val="1"/>
        </c:ser>
        <c:dLbls/>
        <c:axId val="86395136"/>
        <c:axId val="86409600"/>
      </c:scatterChart>
      <c:valAx>
        <c:axId val="8639513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6409600"/>
        <c:crosses val="autoZero"/>
        <c:crossBetween val="midCat"/>
      </c:valAx>
      <c:valAx>
        <c:axId val="864096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39513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'Cooler&amp;Wetter'!$L$5:$L$9</c:f>
              <c:numCache>
                <c:formatCode>0.00</c:formatCode>
                <c:ptCount val="5"/>
                <c:pt idx="0">
                  <c:v>0</c:v>
                </c:pt>
                <c:pt idx="1">
                  <c:v>0.31666666666666665</c:v>
                </c:pt>
                <c:pt idx="2">
                  <c:v>0.95</c:v>
                </c:pt>
                <c:pt idx="3">
                  <c:v>1.98</c:v>
                </c:pt>
                <c:pt idx="4">
                  <c:v>3.18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'Cooler&amp;Wetter'!$M$5:$M$9</c:f>
              <c:numCache>
                <c:formatCode>0.00</c:formatCode>
                <c:ptCount val="5"/>
                <c:pt idx="0">
                  <c:v>0</c:v>
                </c:pt>
                <c:pt idx="1">
                  <c:v>0.32666666666666666</c:v>
                </c:pt>
                <c:pt idx="2">
                  <c:v>0.98</c:v>
                </c:pt>
                <c:pt idx="3">
                  <c:v>1.67</c:v>
                </c:pt>
                <c:pt idx="4">
                  <c:v>2.33</c:v>
                </c:pt>
              </c:numCache>
            </c:numRef>
          </c:yVal>
          <c:smooth val="1"/>
        </c:ser>
        <c:dLbls/>
        <c:axId val="86509056"/>
        <c:axId val="86510976"/>
      </c:scatterChart>
      <c:valAx>
        <c:axId val="8650905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6510976"/>
        <c:crosses val="autoZero"/>
        <c:crossBetween val="midCat"/>
      </c:valAx>
      <c:valAx>
        <c:axId val="865109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50905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'Cooler&amp;Wetter'!$AC$18:$AC$98</c:f>
              <c:numCache>
                <c:formatCode>0.00</c:formatCode>
                <c:ptCount val="81"/>
                <c:pt idx="0">
                  <c:v>21.5</c:v>
                </c:pt>
                <c:pt idx="1">
                  <c:v>21.515833333333333</c:v>
                </c:pt>
                <c:pt idx="2">
                  <c:v>21.531666666666666</c:v>
                </c:pt>
                <c:pt idx="3">
                  <c:v>21.547499999999999</c:v>
                </c:pt>
                <c:pt idx="4">
                  <c:v>21.563333333333333</c:v>
                </c:pt>
                <c:pt idx="5">
                  <c:v>21.579166666666666</c:v>
                </c:pt>
                <c:pt idx="6">
                  <c:v>21.594999999999999</c:v>
                </c:pt>
                <c:pt idx="7">
                  <c:v>21.610833333333332</c:v>
                </c:pt>
                <c:pt idx="8">
                  <c:v>21.626666666666665</c:v>
                </c:pt>
                <c:pt idx="9">
                  <c:v>21.642499999999998</c:v>
                </c:pt>
                <c:pt idx="10">
                  <c:v>21.658333333333335</c:v>
                </c:pt>
                <c:pt idx="11">
                  <c:v>21.674166666666668</c:v>
                </c:pt>
                <c:pt idx="12">
                  <c:v>21.69</c:v>
                </c:pt>
                <c:pt idx="13">
                  <c:v>21.705833333333334</c:v>
                </c:pt>
                <c:pt idx="14">
                  <c:v>21.721666666666668</c:v>
                </c:pt>
                <c:pt idx="15">
                  <c:v>21.737500000000001</c:v>
                </c:pt>
                <c:pt idx="16">
                  <c:v>21.753333333333334</c:v>
                </c:pt>
                <c:pt idx="17">
                  <c:v>21.769166666666667</c:v>
                </c:pt>
                <c:pt idx="18">
                  <c:v>21.785</c:v>
                </c:pt>
                <c:pt idx="19">
                  <c:v>21.800833333333333</c:v>
                </c:pt>
                <c:pt idx="20">
                  <c:v>21.816666666666666</c:v>
                </c:pt>
                <c:pt idx="21">
                  <c:v>21.848333333333333</c:v>
                </c:pt>
                <c:pt idx="22">
                  <c:v>21.88</c:v>
                </c:pt>
                <c:pt idx="23">
                  <c:v>21.911666666666665</c:v>
                </c:pt>
                <c:pt idx="24">
                  <c:v>21.943333333333335</c:v>
                </c:pt>
                <c:pt idx="25">
                  <c:v>21.975000000000001</c:v>
                </c:pt>
                <c:pt idx="26">
                  <c:v>22.006666666666668</c:v>
                </c:pt>
                <c:pt idx="27">
                  <c:v>22.038333333333334</c:v>
                </c:pt>
                <c:pt idx="28">
                  <c:v>22.07</c:v>
                </c:pt>
                <c:pt idx="29">
                  <c:v>22.101666666666667</c:v>
                </c:pt>
                <c:pt idx="30">
                  <c:v>22.133333333333333</c:v>
                </c:pt>
                <c:pt idx="31">
                  <c:v>22.164999999999999</c:v>
                </c:pt>
                <c:pt idx="32">
                  <c:v>22.196666666666665</c:v>
                </c:pt>
                <c:pt idx="33">
                  <c:v>22.228333333333332</c:v>
                </c:pt>
                <c:pt idx="34">
                  <c:v>22.259999999999998</c:v>
                </c:pt>
                <c:pt idx="35">
                  <c:v>22.291666666666668</c:v>
                </c:pt>
                <c:pt idx="36">
                  <c:v>22.323333333333334</c:v>
                </c:pt>
                <c:pt idx="37">
                  <c:v>22.355</c:v>
                </c:pt>
                <c:pt idx="38">
                  <c:v>22.386666666666667</c:v>
                </c:pt>
                <c:pt idx="39">
                  <c:v>22.418333333333333</c:v>
                </c:pt>
                <c:pt idx="40">
                  <c:v>22.45</c:v>
                </c:pt>
                <c:pt idx="41">
                  <c:v>22.5015</c:v>
                </c:pt>
                <c:pt idx="42">
                  <c:v>22.553000000000001</c:v>
                </c:pt>
                <c:pt idx="43">
                  <c:v>22.604500000000002</c:v>
                </c:pt>
                <c:pt idx="44">
                  <c:v>22.655999999999999</c:v>
                </c:pt>
                <c:pt idx="45">
                  <c:v>22.7075</c:v>
                </c:pt>
                <c:pt idx="46">
                  <c:v>22.759</c:v>
                </c:pt>
                <c:pt idx="47">
                  <c:v>22.810500000000001</c:v>
                </c:pt>
                <c:pt idx="48">
                  <c:v>22.862000000000002</c:v>
                </c:pt>
                <c:pt idx="49">
                  <c:v>22.913499999999999</c:v>
                </c:pt>
                <c:pt idx="50">
                  <c:v>22.965</c:v>
                </c:pt>
                <c:pt idx="51">
                  <c:v>23.016500000000001</c:v>
                </c:pt>
                <c:pt idx="52">
                  <c:v>23.068000000000001</c:v>
                </c:pt>
                <c:pt idx="53">
                  <c:v>23.119500000000002</c:v>
                </c:pt>
                <c:pt idx="54">
                  <c:v>23.171000000000003</c:v>
                </c:pt>
                <c:pt idx="55">
                  <c:v>23.2225</c:v>
                </c:pt>
                <c:pt idx="56">
                  <c:v>23.274000000000001</c:v>
                </c:pt>
                <c:pt idx="57">
                  <c:v>23.325500000000002</c:v>
                </c:pt>
                <c:pt idx="58">
                  <c:v>23.377000000000002</c:v>
                </c:pt>
                <c:pt idx="59">
                  <c:v>23.428500000000003</c:v>
                </c:pt>
                <c:pt idx="60">
                  <c:v>23.48</c:v>
                </c:pt>
                <c:pt idx="61">
                  <c:v>23.54</c:v>
                </c:pt>
                <c:pt idx="62">
                  <c:v>23.6</c:v>
                </c:pt>
                <c:pt idx="63">
                  <c:v>23.66</c:v>
                </c:pt>
                <c:pt idx="64">
                  <c:v>23.72</c:v>
                </c:pt>
                <c:pt idx="65">
                  <c:v>23.78</c:v>
                </c:pt>
                <c:pt idx="66">
                  <c:v>23.84</c:v>
                </c:pt>
                <c:pt idx="67">
                  <c:v>23.9</c:v>
                </c:pt>
                <c:pt idx="68">
                  <c:v>23.96</c:v>
                </c:pt>
                <c:pt idx="69">
                  <c:v>24.02</c:v>
                </c:pt>
                <c:pt idx="70">
                  <c:v>24.080000000000002</c:v>
                </c:pt>
                <c:pt idx="71">
                  <c:v>24.14</c:v>
                </c:pt>
                <c:pt idx="72">
                  <c:v>24.2</c:v>
                </c:pt>
                <c:pt idx="73">
                  <c:v>24.26</c:v>
                </c:pt>
                <c:pt idx="74">
                  <c:v>24.32</c:v>
                </c:pt>
                <c:pt idx="75">
                  <c:v>24.380000000000003</c:v>
                </c:pt>
                <c:pt idx="76">
                  <c:v>24.44</c:v>
                </c:pt>
                <c:pt idx="77">
                  <c:v>24.5</c:v>
                </c:pt>
                <c:pt idx="78">
                  <c:v>24.560000000000002</c:v>
                </c:pt>
                <c:pt idx="79">
                  <c:v>24.62</c:v>
                </c:pt>
                <c:pt idx="80">
                  <c:v>24.68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'Cooler&amp;Wetter'!$AD$18:$AD$98</c:f>
              <c:numCache>
                <c:formatCode>0.00</c:formatCode>
                <c:ptCount val="81"/>
                <c:pt idx="0">
                  <c:v>21.5</c:v>
                </c:pt>
                <c:pt idx="1">
                  <c:v>21.516333333333332</c:v>
                </c:pt>
                <c:pt idx="2">
                  <c:v>21.532666666666668</c:v>
                </c:pt>
                <c:pt idx="3">
                  <c:v>21.548999999999999</c:v>
                </c:pt>
                <c:pt idx="4">
                  <c:v>21.565333333333335</c:v>
                </c:pt>
                <c:pt idx="5">
                  <c:v>21.581666666666667</c:v>
                </c:pt>
                <c:pt idx="6">
                  <c:v>21.597999999999999</c:v>
                </c:pt>
                <c:pt idx="7">
                  <c:v>21.614333333333335</c:v>
                </c:pt>
                <c:pt idx="8">
                  <c:v>21.630666666666666</c:v>
                </c:pt>
                <c:pt idx="9">
                  <c:v>21.646999999999998</c:v>
                </c:pt>
                <c:pt idx="10">
                  <c:v>21.663333333333334</c:v>
                </c:pt>
                <c:pt idx="11">
                  <c:v>21.679666666666666</c:v>
                </c:pt>
                <c:pt idx="12">
                  <c:v>21.696000000000002</c:v>
                </c:pt>
                <c:pt idx="13">
                  <c:v>21.712333333333333</c:v>
                </c:pt>
                <c:pt idx="14">
                  <c:v>21.728666666666665</c:v>
                </c:pt>
                <c:pt idx="15">
                  <c:v>21.745000000000001</c:v>
                </c:pt>
                <c:pt idx="16">
                  <c:v>21.761333333333333</c:v>
                </c:pt>
                <c:pt idx="17">
                  <c:v>21.777666666666665</c:v>
                </c:pt>
                <c:pt idx="18">
                  <c:v>21.794</c:v>
                </c:pt>
                <c:pt idx="19">
                  <c:v>21.810333333333332</c:v>
                </c:pt>
                <c:pt idx="20">
                  <c:v>21.826666666666668</c:v>
                </c:pt>
                <c:pt idx="21">
                  <c:v>21.859333333333332</c:v>
                </c:pt>
                <c:pt idx="22">
                  <c:v>21.891999999999999</c:v>
                </c:pt>
                <c:pt idx="23">
                  <c:v>21.924666666666667</c:v>
                </c:pt>
                <c:pt idx="24">
                  <c:v>21.957333333333334</c:v>
                </c:pt>
                <c:pt idx="25">
                  <c:v>21.99</c:v>
                </c:pt>
                <c:pt idx="26">
                  <c:v>22.022666666666666</c:v>
                </c:pt>
                <c:pt idx="27">
                  <c:v>22.055333333333333</c:v>
                </c:pt>
                <c:pt idx="28">
                  <c:v>22.088000000000001</c:v>
                </c:pt>
                <c:pt idx="29">
                  <c:v>22.120666666666665</c:v>
                </c:pt>
                <c:pt idx="30">
                  <c:v>22.153333333333332</c:v>
                </c:pt>
                <c:pt idx="31">
                  <c:v>22.186</c:v>
                </c:pt>
                <c:pt idx="32">
                  <c:v>22.218666666666667</c:v>
                </c:pt>
                <c:pt idx="33">
                  <c:v>22.251333333333331</c:v>
                </c:pt>
                <c:pt idx="34">
                  <c:v>22.283999999999999</c:v>
                </c:pt>
                <c:pt idx="35">
                  <c:v>22.316666666666666</c:v>
                </c:pt>
                <c:pt idx="36">
                  <c:v>22.349333333333334</c:v>
                </c:pt>
                <c:pt idx="37">
                  <c:v>22.381999999999998</c:v>
                </c:pt>
                <c:pt idx="38">
                  <c:v>22.414666666666665</c:v>
                </c:pt>
                <c:pt idx="39">
                  <c:v>22.447333333333333</c:v>
                </c:pt>
                <c:pt idx="40">
                  <c:v>22.48</c:v>
                </c:pt>
                <c:pt idx="41">
                  <c:v>22.514499999999998</c:v>
                </c:pt>
                <c:pt idx="42">
                  <c:v>22.548999999999999</c:v>
                </c:pt>
                <c:pt idx="43">
                  <c:v>22.583500000000001</c:v>
                </c:pt>
                <c:pt idx="44">
                  <c:v>22.617999999999999</c:v>
                </c:pt>
                <c:pt idx="45">
                  <c:v>22.6525</c:v>
                </c:pt>
                <c:pt idx="46">
                  <c:v>22.687000000000001</c:v>
                </c:pt>
                <c:pt idx="47">
                  <c:v>22.721499999999999</c:v>
                </c:pt>
                <c:pt idx="48">
                  <c:v>22.756</c:v>
                </c:pt>
                <c:pt idx="49">
                  <c:v>22.790500000000002</c:v>
                </c:pt>
                <c:pt idx="50">
                  <c:v>22.824999999999999</c:v>
                </c:pt>
                <c:pt idx="51">
                  <c:v>22.859500000000001</c:v>
                </c:pt>
                <c:pt idx="52">
                  <c:v>22.893999999999998</c:v>
                </c:pt>
                <c:pt idx="53">
                  <c:v>22.9285</c:v>
                </c:pt>
                <c:pt idx="54">
                  <c:v>22.963000000000001</c:v>
                </c:pt>
                <c:pt idx="55">
                  <c:v>22.997499999999999</c:v>
                </c:pt>
                <c:pt idx="56">
                  <c:v>23.032</c:v>
                </c:pt>
                <c:pt idx="57">
                  <c:v>23.066499999999998</c:v>
                </c:pt>
                <c:pt idx="58">
                  <c:v>23.100999999999999</c:v>
                </c:pt>
                <c:pt idx="59">
                  <c:v>23.1355</c:v>
                </c:pt>
                <c:pt idx="60">
                  <c:v>23.17</c:v>
                </c:pt>
                <c:pt idx="61">
                  <c:v>23.202999999999999</c:v>
                </c:pt>
                <c:pt idx="62">
                  <c:v>23.236000000000001</c:v>
                </c:pt>
                <c:pt idx="63">
                  <c:v>23.268999999999998</c:v>
                </c:pt>
                <c:pt idx="64">
                  <c:v>23.302</c:v>
                </c:pt>
                <c:pt idx="65">
                  <c:v>23.335000000000001</c:v>
                </c:pt>
                <c:pt idx="66">
                  <c:v>23.367999999999999</c:v>
                </c:pt>
                <c:pt idx="67">
                  <c:v>23.401</c:v>
                </c:pt>
                <c:pt idx="68">
                  <c:v>23.433999999999997</c:v>
                </c:pt>
                <c:pt idx="69">
                  <c:v>23.466999999999999</c:v>
                </c:pt>
                <c:pt idx="70">
                  <c:v>23.5</c:v>
                </c:pt>
                <c:pt idx="71">
                  <c:v>23.532999999999998</c:v>
                </c:pt>
                <c:pt idx="72">
                  <c:v>23.565999999999999</c:v>
                </c:pt>
                <c:pt idx="73">
                  <c:v>23.599</c:v>
                </c:pt>
                <c:pt idx="74">
                  <c:v>23.631999999999998</c:v>
                </c:pt>
                <c:pt idx="75">
                  <c:v>23.664999999999999</c:v>
                </c:pt>
                <c:pt idx="76">
                  <c:v>23.698</c:v>
                </c:pt>
                <c:pt idx="77">
                  <c:v>23.730999999999998</c:v>
                </c:pt>
                <c:pt idx="78">
                  <c:v>23.763999999999999</c:v>
                </c:pt>
                <c:pt idx="79">
                  <c:v>23.796999999999997</c:v>
                </c:pt>
                <c:pt idx="80">
                  <c:v>23.83</c:v>
                </c:pt>
              </c:numCache>
            </c:numRef>
          </c:yVal>
          <c:smooth val="1"/>
        </c:ser>
        <c:dLbls/>
        <c:axId val="86558592"/>
        <c:axId val="86577152"/>
      </c:scatterChart>
      <c:valAx>
        <c:axId val="86558592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6577152"/>
        <c:crosses val="autoZero"/>
        <c:crossBetween val="midCat"/>
      </c:valAx>
      <c:valAx>
        <c:axId val="86577152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55859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1.5833333333333331E-2</c:v>
                </c:pt>
                <c:pt idx="2">
                  <c:v>3.1666666666666662E-2</c:v>
                </c:pt>
                <c:pt idx="3">
                  <c:v>4.7499999999999994E-2</c:v>
                </c:pt>
                <c:pt idx="4">
                  <c:v>6.3333333333333325E-2</c:v>
                </c:pt>
                <c:pt idx="5">
                  <c:v>7.9166666666666663E-2</c:v>
                </c:pt>
                <c:pt idx="6">
                  <c:v>9.5000000000000001E-2</c:v>
                </c:pt>
                <c:pt idx="7">
                  <c:v>0.11083333333333334</c:v>
                </c:pt>
                <c:pt idx="8">
                  <c:v>0.12666666666666668</c:v>
                </c:pt>
                <c:pt idx="9">
                  <c:v>0.14250000000000002</c:v>
                </c:pt>
                <c:pt idx="10">
                  <c:v>0.15833333333333335</c:v>
                </c:pt>
                <c:pt idx="11">
                  <c:v>0.17416666666666669</c:v>
                </c:pt>
                <c:pt idx="12">
                  <c:v>0.19000000000000003</c:v>
                </c:pt>
                <c:pt idx="13">
                  <c:v>0.20583333333333337</c:v>
                </c:pt>
                <c:pt idx="14">
                  <c:v>0.22166666666666671</c:v>
                </c:pt>
                <c:pt idx="15">
                  <c:v>0.23750000000000004</c:v>
                </c:pt>
                <c:pt idx="16">
                  <c:v>0.25333333333333335</c:v>
                </c:pt>
                <c:pt idx="17">
                  <c:v>0.26916666666666667</c:v>
                </c:pt>
                <c:pt idx="18">
                  <c:v>0.28499999999999998</c:v>
                </c:pt>
                <c:pt idx="19">
                  <c:v>0.30083333333333329</c:v>
                </c:pt>
                <c:pt idx="20">
                  <c:v>0.31666666666666665</c:v>
                </c:pt>
                <c:pt idx="21">
                  <c:v>0.34833333333333333</c:v>
                </c:pt>
                <c:pt idx="22">
                  <c:v>0.38</c:v>
                </c:pt>
                <c:pt idx="23">
                  <c:v>0.41166666666666668</c:v>
                </c:pt>
                <c:pt idx="24">
                  <c:v>0.44333333333333336</c:v>
                </c:pt>
                <c:pt idx="25">
                  <c:v>0.47500000000000003</c:v>
                </c:pt>
                <c:pt idx="26">
                  <c:v>0.50666666666666671</c:v>
                </c:pt>
                <c:pt idx="27">
                  <c:v>0.53833333333333333</c:v>
                </c:pt>
                <c:pt idx="28">
                  <c:v>0.56999999999999995</c:v>
                </c:pt>
                <c:pt idx="29">
                  <c:v>0.60166666666666657</c:v>
                </c:pt>
                <c:pt idx="30">
                  <c:v>0.63333333333333319</c:v>
                </c:pt>
                <c:pt idx="31">
                  <c:v>0.66499999999999981</c:v>
                </c:pt>
                <c:pt idx="32">
                  <c:v>0.69666666666666643</c:v>
                </c:pt>
                <c:pt idx="33">
                  <c:v>0.72833333333333306</c:v>
                </c:pt>
                <c:pt idx="34">
                  <c:v>0.75999999999999968</c:v>
                </c:pt>
                <c:pt idx="35">
                  <c:v>0.7916666666666663</c:v>
                </c:pt>
                <c:pt idx="36">
                  <c:v>0.82333333333333292</c:v>
                </c:pt>
                <c:pt idx="37">
                  <c:v>0.85499999999999954</c:v>
                </c:pt>
                <c:pt idx="38">
                  <c:v>0.88666666666666616</c:v>
                </c:pt>
                <c:pt idx="39">
                  <c:v>0.91833333333333278</c:v>
                </c:pt>
                <c:pt idx="40">
                  <c:v>0.95</c:v>
                </c:pt>
                <c:pt idx="41">
                  <c:v>1.0015000000000001</c:v>
                </c:pt>
                <c:pt idx="42">
                  <c:v>1.0530000000000002</c:v>
                </c:pt>
                <c:pt idx="43">
                  <c:v>1.1045000000000003</c:v>
                </c:pt>
                <c:pt idx="44">
                  <c:v>1.1560000000000004</c:v>
                </c:pt>
                <c:pt idx="45">
                  <c:v>1.2075000000000005</c:v>
                </c:pt>
                <c:pt idx="46">
                  <c:v>1.2590000000000006</c:v>
                </c:pt>
                <c:pt idx="47">
                  <c:v>1.3105000000000007</c:v>
                </c:pt>
                <c:pt idx="48">
                  <c:v>1.3620000000000008</c:v>
                </c:pt>
                <c:pt idx="49">
                  <c:v>1.4135000000000009</c:v>
                </c:pt>
                <c:pt idx="50">
                  <c:v>1.465000000000001</c:v>
                </c:pt>
                <c:pt idx="51">
                  <c:v>1.5165000000000011</c:v>
                </c:pt>
                <c:pt idx="52">
                  <c:v>1.5680000000000012</c:v>
                </c:pt>
                <c:pt idx="53">
                  <c:v>1.6195000000000013</c:v>
                </c:pt>
                <c:pt idx="54">
                  <c:v>1.6710000000000014</c:v>
                </c:pt>
                <c:pt idx="55">
                  <c:v>1.7225000000000015</c:v>
                </c:pt>
                <c:pt idx="56">
                  <c:v>1.7740000000000016</c:v>
                </c:pt>
                <c:pt idx="57">
                  <c:v>1.8255000000000017</c:v>
                </c:pt>
                <c:pt idx="58">
                  <c:v>1.8770000000000018</c:v>
                </c:pt>
                <c:pt idx="59">
                  <c:v>1.9285000000000019</c:v>
                </c:pt>
                <c:pt idx="60">
                  <c:v>1.98</c:v>
                </c:pt>
                <c:pt idx="61">
                  <c:v>2.04</c:v>
                </c:pt>
                <c:pt idx="62">
                  <c:v>2.1</c:v>
                </c:pt>
                <c:pt idx="63">
                  <c:v>2.16</c:v>
                </c:pt>
                <c:pt idx="64">
                  <c:v>2.2200000000000002</c:v>
                </c:pt>
                <c:pt idx="65">
                  <c:v>2.2800000000000002</c:v>
                </c:pt>
                <c:pt idx="66">
                  <c:v>2.3400000000000003</c:v>
                </c:pt>
                <c:pt idx="67">
                  <c:v>2.4000000000000004</c:v>
                </c:pt>
                <c:pt idx="68">
                  <c:v>2.4600000000000004</c:v>
                </c:pt>
                <c:pt idx="69">
                  <c:v>2.5200000000000005</c:v>
                </c:pt>
                <c:pt idx="70">
                  <c:v>2.5800000000000005</c:v>
                </c:pt>
                <c:pt idx="71">
                  <c:v>2.6400000000000006</c:v>
                </c:pt>
                <c:pt idx="72">
                  <c:v>2.7000000000000006</c:v>
                </c:pt>
                <c:pt idx="73">
                  <c:v>2.7600000000000007</c:v>
                </c:pt>
                <c:pt idx="74">
                  <c:v>2.8200000000000007</c:v>
                </c:pt>
                <c:pt idx="75">
                  <c:v>2.8800000000000008</c:v>
                </c:pt>
                <c:pt idx="76">
                  <c:v>2.9400000000000008</c:v>
                </c:pt>
                <c:pt idx="77">
                  <c:v>3.0000000000000009</c:v>
                </c:pt>
                <c:pt idx="78">
                  <c:v>3.0600000000000009</c:v>
                </c:pt>
                <c:pt idx="79">
                  <c:v>3.120000000000001</c:v>
                </c:pt>
                <c:pt idx="80">
                  <c:v>3.18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1.6333333333333332E-2</c:v>
                </c:pt>
                <c:pt idx="2">
                  <c:v>3.2666666666666663E-2</c:v>
                </c:pt>
                <c:pt idx="3">
                  <c:v>4.8999999999999995E-2</c:v>
                </c:pt>
                <c:pt idx="4">
                  <c:v>6.5333333333333327E-2</c:v>
                </c:pt>
                <c:pt idx="5">
                  <c:v>8.1666666666666665E-2</c:v>
                </c:pt>
                <c:pt idx="6">
                  <c:v>9.8000000000000004E-2</c:v>
                </c:pt>
                <c:pt idx="7">
                  <c:v>0.11433333333333334</c:v>
                </c:pt>
                <c:pt idx="8">
                  <c:v>0.13066666666666668</c:v>
                </c:pt>
                <c:pt idx="9">
                  <c:v>0.14700000000000002</c:v>
                </c:pt>
                <c:pt idx="10">
                  <c:v>0.16333333333333336</c:v>
                </c:pt>
                <c:pt idx="11">
                  <c:v>0.1796666666666667</c:v>
                </c:pt>
                <c:pt idx="12">
                  <c:v>0.19600000000000004</c:v>
                </c:pt>
                <c:pt idx="13">
                  <c:v>0.21233333333333337</c:v>
                </c:pt>
                <c:pt idx="14">
                  <c:v>0.22866666666666671</c:v>
                </c:pt>
                <c:pt idx="15">
                  <c:v>0.24500000000000005</c:v>
                </c:pt>
                <c:pt idx="16">
                  <c:v>0.26133333333333336</c:v>
                </c:pt>
                <c:pt idx="17">
                  <c:v>0.27766666666666667</c:v>
                </c:pt>
                <c:pt idx="18">
                  <c:v>0.29399999999999998</c:v>
                </c:pt>
                <c:pt idx="19">
                  <c:v>0.31033333333333329</c:v>
                </c:pt>
                <c:pt idx="20">
                  <c:v>0.32666666666666666</c:v>
                </c:pt>
                <c:pt idx="21">
                  <c:v>0.35933333333333334</c:v>
                </c:pt>
                <c:pt idx="22">
                  <c:v>0.39200000000000002</c:v>
                </c:pt>
                <c:pt idx="23">
                  <c:v>0.42466666666666669</c:v>
                </c:pt>
                <c:pt idx="24">
                  <c:v>0.45733333333333337</c:v>
                </c:pt>
                <c:pt idx="25">
                  <c:v>0.49000000000000005</c:v>
                </c:pt>
                <c:pt idx="26">
                  <c:v>0.52266666666666672</c:v>
                </c:pt>
                <c:pt idx="27">
                  <c:v>0.55533333333333335</c:v>
                </c:pt>
                <c:pt idx="28">
                  <c:v>0.58799999999999997</c:v>
                </c:pt>
                <c:pt idx="29">
                  <c:v>0.62066666666666659</c:v>
                </c:pt>
                <c:pt idx="30">
                  <c:v>0.65333333333333321</c:v>
                </c:pt>
                <c:pt idx="31">
                  <c:v>0.68599999999999983</c:v>
                </c:pt>
                <c:pt idx="32">
                  <c:v>0.71866666666666645</c:v>
                </c:pt>
                <c:pt idx="33">
                  <c:v>0.75133333333333308</c:v>
                </c:pt>
                <c:pt idx="34">
                  <c:v>0.7839999999999997</c:v>
                </c:pt>
                <c:pt idx="35">
                  <c:v>0.81666666666666632</c:v>
                </c:pt>
                <c:pt idx="36">
                  <c:v>0.84933333333333294</c:v>
                </c:pt>
                <c:pt idx="37">
                  <c:v>0.88199999999999956</c:v>
                </c:pt>
                <c:pt idx="38">
                  <c:v>0.91466666666666618</c:v>
                </c:pt>
                <c:pt idx="39">
                  <c:v>0.94733333333333281</c:v>
                </c:pt>
                <c:pt idx="40">
                  <c:v>0.98</c:v>
                </c:pt>
                <c:pt idx="41">
                  <c:v>1.0145</c:v>
                </c:pt>
                <c:pt idx="42">
                  <c:v>1.0489999999999999</c:v>
                </c:pt>
                <c:pt idx="43">
                  <c:v>1.0834999999999999</c:v>
                </c:pt>
                <c:pt idx="44">
                  <c:v>1.1179999999999999</c:v>
                </c:pt>
                <c:pt idx="45">
                  <c:v>1.1524999999999999</c:v>
                </c:pt>
                <c:pt idx="46">
                  <c:v>1.1869999999999998</c:v>
                </c:pt>
                <c:pt idx="47">
                  <c:v>1.2214999999999998</c:v>
                </c:pt>
                <c:pt idx="48">
                  <c:v>1.2559999999999998</c:v>
                </c:pt>
                <c:pt idx="49">
                  <c:v>1.2904999999999998</c:v>
                </c:pt>
                <c:pt idx="50">
                  <c:v>1.3249999999999997</c:v>
                </c:pt>
                <c:pt idx="51">
                  <c:v>1.3594999999999997</c:v>
                </c:pt>
                <c:pt idx="52">
                  <c:v>1.3939999999999997</c:v>
                </c:pt>
                <c:pt idx="53">
                  <c:v>1.4284999999999997</c:v>
                </c:pt>
                <c:pt idx="54">
                  <c:v>1.4629999999999996</c:v>
                </c:pt>
                <c:pt idx="55">
                  <c:v>1.4974999999999996</c:v>
                </c:pt>
                <c:pt idx="56">
                  <c:v>1.5319999999999996</c:v>
                </c:pt>
                <c:pt idx="57">
                  <c:v>1.5664999999999996</c:v>
                </c:pt>
                <c:pt idx="58">
                  <c:v>1.6009999999999995</c:v>
                </c:pt>
                <c:pt idx="59">
                  <c:v>1.6354999999999995</c:v>
                </c:pt>
                <c:pt idx="60">
                  <c:v>1.67</c:v>
                </c:pt>
                <c:pt idx="61">
                  <c:v>1.7029999999999998</c:v>
                </c:pt>
                <c:pt idx="62">
                  <c:v>1.7359999999999998</c:v>
                </c:pt>
                <c:pt idx="63">
                  <c:v>1.7689999999999997</c:v>
                </c:pt>
                <c:pt idx="64">
                  <c:v>1.8019999999999996</c:v>
                </c:pt>
                <c:pt idx="65">
                  <c:v>1.8349999999999995</c:v>
                </c:pt>
                <c:pt idx="66">
                  <c:v>1.8679999999999994</c:v>
                </c:pt>
                <c:pt idx="67">
                  <c:v>1.9009999999999994</c:v>
                </c:pt>
                <c:pt idx="68">
                  <c:v>1.9339999999999993</c:v>
                </c:pt>
                <c:pt idx="69">
                  <c:v>1.9669999999999992</c:v>
                </c:pt>
                <c:pt idx="70">
                  <c:v>1.9999999999999991</c:v>
                </c:pt>
                <c:pt idx="71">
                  <c:v>2.032999999999999</c:v>
                </c:pt>
                <c:pt idx="72">
                  <c:v>2.0659999999999989</c:v>
                </c:pt>
                <c:pt idx="73">
                  <c:v>2.0989999999999989</c:v>
                </c:pt>
                <c:pt idx="74">
                  <c:v>2.1319999999999988</c:v>
                </c:pt>
                <c:pt idx="75">
                  <c:v>2.1649999999999987</c:v>
                </c:pt>
                <c:pt idx="76">
                  <c:v>2.1979999999999986</c:v>
                </c:pt>
                <c:pt idx="77">
                  <c:v>2.2309999999999985</c:v>
                </c:pt>
                <c:pt idx="78">
                  <c:v>2.2639999999999985</c:v>
                </c:pt>
                <c:pt idx="79">
                  <c:v>2.2969999999999984</c:v>
                </c:pt>
                <c:pt idx="80">
                  <c:v>2.33</c:v>
                </c:pt>
              </c:numCache>
            </c:numRef>
          </c:yVal>
          <c:smooth val="1"/>
        </c:ser>
        <c:dLbls/>
        <c:axId val="86616704"/>
        <c:axId val="86639360"/>
      </c:scatterChart>
      <c:valAx>
        <c:axId val="86616704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6639360"/>
        <c:crosses val="autoZero"/>
        <c:crossBetween val="midCat"/>
      </c:valAx>
      <c:valAx>
        <c:axId val="866393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616704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'Cooler&amp;Wetter'!$N$5:$N$9</c:f>
              <c:numCache>
                <c:formatCode>0.00</c:formatCode>
                <c:ptCount val="5"/>
                <c:pt idx="0">
                  <c:v>0</c:v>
                </c:pt>
                <c:pt idx="1">
                  <c:v>6.6666666666666671E-3</c:v>
                </c:pt>
                <c:pt idx="2">
                  <c:v>0.02</c:v>
                </c:pt>
                <c:pt idx="3">
                  <c:v>0.04</c:v>
                </c:pt>
                <c:pt idx="4">
                  <c:v>7.0000000000000007E-2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'Cooler&amp;Wetter'!$O$5:$O$9</c:f>
              <c:numCache>
                <c:formatCode>0.00</c:formatCode>
                <c:ptCount val="5"/>
                <c:pt idx="0">
                  <c:v>0</c:v>
                </c:pt>
                <c:pt idx="1">
                  <c:v>6.6666666666666671E-3</c:v>
                </c:pt>
                <c:pt idx="2">
                  <c:v>0.02</c:v>
                </c:pt>
                <c:pt idx="3">
                  <c:v>0.04</c:v>
                </c:pt>
                <c:pt idx="4">
                  <c:v>0.05</c:v>
                </c:pt>
              </c:numCache>
            </c:numRef>
          </c:yVal>
          <c:smooth val="1"/>
        </c:ser>
        <c:dLbls/>
        <c:axId val="86665088"/>
        <c:axId val="86675456"/>
      </c:scatterChart>
      <c:valAx>
        <c:axId val="86665088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6675456"/>
        <c:crosses val="autoZero"/>
        <c:crossBetween val="midCat"/>
      </c:valAx>
      <c:valAx>
        <c:axId val="866754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665088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'Cooler&amp;Wetter'!$AE$18:$AE$98</c:f>
              <c:numCache>
                <c:formatCode>0.00</c:formatCode>
                <c:ptCount val="81"/>
                <c:pt idx="0">
                  <c:v>35.5</c:v>
                </c:pt>
                <c:pt idx="1">
                  <c:v>35.50033333333333</c:v>
                </c:pt>
                <c:pt idx="2">
                  <c:v>35.500666666666667</c:v>
                </c:pt>
                <c:pt idx="3">
                  <c:v>35.500999999999998</c:v>
                </c:pt>
                <c:pt idx="4">
                  <c:v>35.501333333333335</c:v>
                </c:pt>
                <c:pt idx="5">
                  <c:v>35.501666666666665</c:v>
                </c:pt>
                <c:pt idx="6">
                  <c:v>35.502000000000002</c:v>
                </c:pt>
                <c:pt idx="7">
                  <c:v>35.502333333333333</c:v>
                </c:pt>
                <c:pt idx="8">
                  <c:v>35.50266666666667</c:v>
                </c:pt>
                <c:pt idx="9">
                  <c:v>35.503</c:v>
                </c:pt>
                <c:pt idx="10">
                  <c:v>35.50333333333333</c:v>
                </c:pt>
                <c:pt idx="11">
                  <c:v>35.503666666666668</c:v>
                </c:pt>
                <c:pt idx="12">
                  <c:v>35.503999999999998</c:v>
                </c:pt>
                <c:pt idx="13">
                  <c:v>35.504333333333335</c:v>
                </c:pt>
                <c:pt idx="14">
                  <c:v>35.504666666666665</c:v>
                </c:pt>
                <c:pt idx="15">
                  <c:v>35.505000000000003</c:v>
                </c:pt>
                <c:pt idx="16">
                  <c:v>35.505333333333333</c:v>
                </c:pt>
                <c:pt idx="17">
                  <c:v>35.50566666666667</c:v>
                </c:pt>
                <c:pt idx="18">
                  <c:v>35.506</c:v>
                </c:pt>
                <c:pt idx="19">
                  <c:v>35.50633333333333</c:v>
                </c:pt>
                <c:pt idx="20">
                  <c:v>35.506666666666668</c:v>
                </c:pt>
                <c:pt idx="21">
                  <c:v>35.507333333333335</c:v>
                </c:pt>
                <c:pt idx="22">
                  <c:v>35.508000000000003</c:v>
                </c:pt>
                <c:pt idx="23">
                  <c:v>35.50866666666667</c:v>
                </c:pt>
                <c:pt idx="24">
                  <c:v>35.509333333333331</c:v>
                </c:pt>
                <c:pt idx="25">
                  <c:v>35.51</c:v>
                </c:pt>
                <c:pt idx="26">
                  <c:v>35.510666666666665</c:v>
                </c:pt>
                <c:pt idx="27">
                  <c:v>35.511333333333333</c:v>
                </c:pt>
                <c:pt idx="28">
                  <c:v>35.512</c:v>
                </c:pt>
                <c:pt idx="29">
                  <c:v>35.512666666666668</c:v>
                </c:pt>
                <c:pt idx="30">
                  <c:v>35.513333333333335</c:v>
                </c:pt>
                <c:pt idx="31">
                  <c:v>35.514000000000003</c:v>
                </c:pt>
                <c:pt idx="32">
                  <c:v>35.514666666666663</c:v>
                </c:pt>
                <c:pt idx="33">
                  <c:v>35.515333333333331</c:v>
                </c:pt>
                <c:pt idx="34">
                  <c:v>35.515999999999998</c:v>
                </c:pt>
                <c:pt idx="35">
                  <c:v>35.516666666666666</c:v>
                </c:pt>
                <c:pt idx="36">
                  <c:v>35.517333333333333</c:v>
                </c:pt>
                <c:pt idx="37">
                  <c:v>35.518000000000001</c:v>
                </c:pt>
                <c:pt idx="38">
                  <c:v>35.518666666666668</c:v>
                </c:pt>
                <c:pt idx="39">
                  <c:v>35.519333333333336</c:v>
                </c:pt>
                <c:pt idx="40">
                  <c:v>35.520000000000003</c:v>
                </c:pt>
                <c:pt idx="41">
                  <c:v>35.521000000000001</c:v>
                </c:pt>
                <c:pt idx="42">
                  <c:v>35.521999999999998</c:v>
                </c:pt>
                <c:pt idx="43">
                  <c:v>35.523000000000003</c:v>
                </c:pt>
                <c:pt idx="44">
                  <c:v>35.524000000000001</c:v>
                </c:pt>
                <c:pt idx="45">
                  <c:v>35.524999999999999</c:v>
                </c:pt>
                <c:pt idx="46">
                  <c:v>35.526000000000003</c:v>
                </c:pt>
                <c:pt idx="47">
                  <c:v>35.527000000000001</c:v>
                </c:pt>
                <c:pt idx="48">
                  <c:v>35.527999999999999</c:v>
                </c:pt>
                <c:pt idx="49">
                  <c:v>35.529000000000003</c:v>
                </c:pt>
                <c:pt idx="50">
                  <c:v>35.53</c:v>
                </c:pt>
                <c:pt idx="51">
                  <c:v>35.530999999999999</c:v>
                </c:pt>
                <c:pt idx="52">
                  <c:v>35.531999999999996</c:v>
                </c:pt>
                <c:pt idx="53">
                  <c:v>35.533000000000001</c:v>
                </c:pt>
                <c:pt idx="54">
                  <c:v>35.533999999999999</c:v>
                </c:pt>
                <c:pt idx="55">
                  <c:v>35.534999999999997</c:v>
                </c:pt>
                <c:pt idx="56">
                  <c:v>35.536000000000001</c:v>
                </c:pt>
                <c:pt idx="57">
                  <c:v>35.536999999999999</c:v>
                </c:pt>
                <c:pt idx="58">
                  <c:v>35.537999999999997</c:v>
                </c:pt>
                <c:pt idx="59">
                  <c:v>35.539000000000001</c:v>
                </c:pt>
                <c:pt idx="60">
                  <c:v>35.54</c:v>
                </c:pt>
                <c:pt idx="61">
                  <c:v>35.541499999999999</c:v>
                </c:pt>
                <c:pt idx="62">
                  <c:v>35.542999999999999</c:v>
                </c:pt>
                <c:pt idx="63">
                  <c:v>35.544499999999999</c:v>
                </c:pt>
                <c:pt idx="64">
                  <c:v>35.545999999999999</c:v>
                </c:pt>
                <c:pt idx="65">
                  <c:v>35.547499999999999</c:v>
                </c:pt>
                <c:pt idx="66">
                  <c:v>35.548999999999999</c:v>
                </c:pt>
                <c:pt idx="67">
                  <c:v>35.5505</c:v>
                </c:pt>
                <c:pt idx="68">
                  <c:v>35.552</c:v>
                </c:pt>
                <c:pt idx="69">
                  <c:v>35.5535</c:v>
                </c:pt>
                <c:pt idx="70">
                  <c:v>35.555</c:v>
                </c:pt>
                <c:pt idx="71">
                  <c:v>35.5565</c:v>
                </c:pt>
                <c:pt idx="72">
                  <c:v>35.558</c:v>
                </c:pt>
                <c:pt idx="73">
                  <c:v>35.5595</c:v>
                </c:pt>
                <c:pt idx="74">
                  <c:v>35.561</c:v>
                </c:pt>
                <c:pt idx="75">
                  <c:v>35.5625</c:v>
                </c:pt>
                <c:pt idx="76">
                  <c:v>35.564</c:v>
                </c:pt>
                <c:pt idx="77">
                  <c:v>35.5655</c:v>
                </c:pt>
                <c:pt idx="78">
                  <c:v>35.567</c:v>
                </c:pt>
                <c:pt idx="79">
                  <c:v>35.5685</c:v>
                </c:pt>
                <c:pt idx="80">
                  <c:v>35.57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'Cooler&amp;Wetter'!$AF$18:$AF$98</c:f>
              <c:numCache>
                <c:formatCode>0.00</c:formatCode>
                <c:ptCount val="81"/>
                <c:pt idx="0">
                  <c:v>35.5</c:v>
                </c:pt>
                <c:pt idx="1">
                  <c:v>35.50033333333333</c:v>
                </c:pt>
                <c:pt idx="2">
                  <c:v>35.500666666666667</c:v>
                </c:pt>
                <c:pt idx="3">
                  <c:v>35.500999999999998</c:v>
                </c:pt>
                <c:pt idx="4">
                  <c:v>35.501333333333335</c:v>
                </c:pt>
                <c:pt idx="5">
                  <c:v>35.501666666666665</c:v>
                </c:pt>
                <c:pt idx="6">
                  <c:v>35.502000000000002</c:v>
                </c:pt>
                <c:pt idx="7">
                  <c:v>35.502333333333333</c:v>
                </c:pt>
                <c:pt idx="8">
                  <c:v>35.50266666666667</c:v>
                </c:pt>
                <c:pt idx="9">
                  <c:v>35.503</c:v>
                </c:pt>
                <c:pt idx="10">
                  <c:v>35.50333333333333</c:v>
                </c:pt>
                <c:pt idx="11">
                  <c:v>35.503666666666668</c:v>
                </c:pt>
                <c:pt idx="12">
                  <c:v>35.503999999999998</c:v>
                </c:pt>
                <c:pt idx="13">
                  <c:v>35.504333333333335</c:v>
                </c:pt>
                <c:pt idx="14">
                  <c:v>35.504666666666665</c:v>
                </c:pt>
                <c:pt idx="15">
                  <c:v>35.505000000000003</c:v>
                </c:pt>
                <c:pt idx="16">
                  <c:v>35.505333333333333</c:v>
                </c:pt>
                <c:pt idx="17">
                  <c:v>35.50566666666667</c:v>
                </c:pt>
                <c:pt idx="18">
                  <c:v>35.506</c:v>
                </c:pt>
                <c:pt idx="19">
                  <c:v>35.50633333333333</c:v>
                </c:pt>
                <c:pt idx="20">
                  <c:v>35.506666666666668</c:v>
                </c:pt>
                <c:pt idx="21">
                  <c:v>35.507333333333335</c:v>
                </c:pt>
                <c:pt idx="22">
                  <c:v>35.508000000000003</c:v>
                </c:pt>
                <c:pt idx="23">
                  <c:v>35.50866666666667</c:v>
                </c:pt>
                <c:pt idx="24">
                  <c:v>35.509333333333331</c:v>
                </c:pt>
                <c:pt idx="25">
                  <c:v>35.51</c:v>
                </c:pt>
                <c:pt idx="26">
                  <c:v>35.510666666666665</c:v>
                </c:pt>
                <c:pt idx="27">
                  <c:v>35.511333333333333</c:v>
                </c:pt>
                <c:pt idx="28">
                  <c:v>35.512</c:v>
                </c:pt>
                <c:pt idx="29">
                  <c:v>35.512666666666668</c:v>
                </c:pt>
                <c:pt idx="30">
                  <c:v>35.513333333333335</c:v>
                </c:pt>
                <c:pt idx="31">
                  <c:v>35.514000000000003</c:v>
                </c:pt>
                <c:pt idx="32">
                  <c:v>35.514666666666663</c:v>
                </c:pt>
                <c:pt idx="33">
                  <c:v>35.515333333333331</c:v>
                </c:pt>
                <c:pt idx="34">
                  <c:v>35.515999999999998</c:v>
                </c:pt>
                <c:pt idx="35">
                  <c:v>35.516666666666666</c:v>
                </c:pt>
                <c:pt idx="36">
                  <c:v>35.517333333333333</c:v>
                </c:pt>
                <c:pt idx="37">
                  <c:v>35.518000000000001</c:v>
                </c:pt>
                <c:pt idx="38">
                  <c:v>35.518666666666668</c:v>
                </c:pt>
                <c:pt idx="39">
                  <c:v>35.519333333333336</c:v>
                </c:pt>
                <c:pt idx="40">
                  <c:v>35.520000000000003</c:v>
                </c:pt>
                <c:pt idx="41">
                  <c:v>35.521000000000001</c:v>
                </c:pt>
                <c:pt idx="42">
                  <c:v>35.521999999999998</c:v>
                </c:pt>
                <c:pt idx="43">
                  <c:v>35.523000000000003</c:v>
                </c:pt>
                <c:pt idx="44">
                  <c:v>35.524000000000001</c:v>
                </c:pt>
                <c:pt idx="45">
                  <c:v>35.524999999999999</c:v>
                </c:pt>
                <c:pt idx="46">
                  <c:v>35.526000000000003</c:v>
                </c:pt>
                <c:pt idx="47">
                  <c:v>35.527000000000001</c:v>
                </c:pt>
                <c:pt idx="48">
                  <c:v>35.527999999999999</c:v>
                </c:pt>
                <c:pt idx="49">
                  <c:v>35.529000000000003</c:v>
                </c:pt>
                <c:pt idx="50">
                  <c:v>35.53</c:v>
                </c:pt>
                <c:pt idx="51">
                  <c:v>35.530999999999999</c:v>
                </c:pt>
                <c:pt idx="52">
                  <c:v>35.531999999999996</c:v>
                </c:pt>
                <c:pt idx="53">
                  <c:v>35.533000000000001</c:v>
                </c:pt>
                <c:pt idx="54">
                  <c:v>35.533999999999999</c:v>
                </c:pt>
                <c:pt idx="55">
                  <c:v>35.534999999999997</c:v>
                </c:pt>
                <c:pt idx="56">
                  <c:v>35.536000000000001</c:v>
                </c:pt>
                <c:pt idx="57">
                  <c:v>35.536999999999999</c:v>
                </c:pt>
                <c:pt idx="58">
                  <c:v>35.537999999999997</c:v>
                </c:pt>
                <c:pt idx="59">
                  <c:v>35.539000000000001</c:v>
                </c:pt>
                <c:pt idx="60">
                  <c:v>35.54</c:v>
                </c:pt>
                <c:pt idx="61">
                  <c:v>35.540500000000002</c:v>
                </c:pt>
                <c:pt idx="62">
                  <c:v>35.540999999999997</c:v>
                </c:pt>
                <c:pt idx="63">
                  <c:v>35.541499999999999</c:v>
                </c:pt>
                <c:pt idx="64">
                  <c:v>35.542000000000002</c:v>
                </c:pt>
                <c:pt idx="65">
                  <c:v>35.542499999999997</c:v>
                </c:pt>
                <c:pt idx="66">
                  <c:v>35.542999999999999</c:v>
                </c:pt>
                <c:pt idx="67">
                  <c:v>35.543500000000002</c:v>
                </c:pt>
                <c:pt idx="68">
                  <c:v>35.543999999999997</c:v>
                </c:pt>
                <c:pt idx="69">
                  <c:v>35.544499999999999</c:v>
                </c:pt>
                <c:pt idx="70">
                  <c:v>35.545000000000002</c:v>
                </c:pt>
                <c:pt idx="71">
                  <c:v>35.545499999999997</c:v>
                </c:pt>
                <c:pt idx="72">
                  <c:v>35.545999999999999</c:v>
                </c:pt>
                <c:pt idx="73">
                  <c:v>35.546500000000002</c:v>
                </c:pt>
                <c:pt idx="74">
                  <c:v>35.546999999999997</c:v>
                </c:pt>
                <c:pt idx="75">
                  <c:v>35.547499999999999</c:v>
                </c:pt>
                <c:pt idx="76">
                  <c:v>35.548000000000002</c:v>
                </c:pt>
                <c:pt idx="77">
                  <c:v>35.548499999999997</c:v>
                </c:pt>
                <c:pt idx="78">
                  <c:v>35.548999999999999</c:v>
                </c:pt>
                <c:pt idx="79">
                  <c:v>35.549500000000002</c:v>
                </c:pt>
                <c:pt idx="80">
                  <c:v>35.549999999999997</c:v>
                </c:pt>
              </c:numCache>
            </c:numRef>
          </c:yVal>
          <c:smooth val="1"/>
        </c:ser>
        <c:dLbls/>
        <c:axId val="86777216"/>
        <c:axId val="86791680"/>
      </c:scatterChart>
      <c:valAx>
        <c:axId val="86777216"/>
        <c:scaling>
          <c:orientation val="minMax"/>
          <c:max val="2070"/>
          <c:min val="199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6791680"/>
        <c:crosses val="autoZero"/>
        <c:crossBetween val="midCat"/>
      </c:valAx>
      <c:valAx>
        <c:axId val="86791680"/>
        <c:scaling>
          <c:orientation val="minMax"/>
        </c:scaling>
        <c:axPos val="l"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77721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95"/>
          <c:y val="8.0842250487919765E-2"/>
          <c:w val="0.13325021872265966"/>
          <c:h val="0.1545548152634767"/>
        </c:manualLayout>
      </c:layout>
      <c:overlay val="1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'Cooler&amp;Wetter'!$N$18:$N$98</c:f>
              <c:numCache>
                <c:formatCode>0.0000</c:formatCode>
                <c:ptCount val="81"/>
                <c:pt idx="0">
                  <c:v>0</c:v>
                </c:pt>
                <c:pt idx="1">
                  <c:v>3.3333333333333338E-4</c:v>
                </c:pt>
                <c:pt idx="2">
                  <c:v>6.6666666666666675E-4</c:v>
                </c:pt>
                <c:pt idx="3">
                  <c:v>1E-3</c:v>
                </c:pt>
                <c:pt idx="4">
                  <c:v>1.3333333333333335E-3</c:v>
                </c:pt>
                <c:pt idx="5">
                  <c:v>1.666666666666667E-3</c:v>
                </c:pt>
                <c:pt idx="6">
                  <c:v>2.0000000000000005E-3</c:v>
                </c:pt>
                <c:pt idx="7">
                  <c:v>2.333333333333334E-3</c:v>
                </c:pt>
                <c:pt idx="8">
                  <c:v>2.6666666666666674E-3</c:v>
                </c:pt>
                <c:pt idx="9">
                  <c:v>3.0000000000000009E-3</c:v>
                </c:pt>
                <c:pt idx="10">
                  <c:v>3.3333333333333344E-3</c:v>
                </c:pt>
                <c:pt idx="11">
                  <c:v>3.6666666666666679E-3</c:v>
                </c:pt>
                <c:pt idx="12">
                  <c:v>4.000000000000001E-3</c:v>
                </c:pt>
                <c:pt idx="13">
                  <c:v>4.333333333333334E-3</c:v>
                </c:pt>
                <c:pt idx="14">
                  <c:v>4.6666666666666671E-3</c:v>
                </c:pt>
                <c:pt idx="15">
                  <c:v>5.0000000000000001E-3</c:v>
                </c:pt>
                <c:pt idx="16">
                  <c:v>5.3333333333333332E-3</c:v>
                </c:pt>
                <c:pt idx="17">
                  <c:v>5.6666666666666662E-3</c:v>
                </c:pt>
                <c:pt idx="18">
                  <c:v>5.9999999999999993E-3</c:v>
                </c:pt>
                <c:pt idx="19">
                  <c:v>6.3333333333333323E-3</c:v>
                </c:pt>
                <c:pt idx="20">
                  <c:v>6.6666666666666671E-3</c:v>
                </c:pt>
                <c:pt idx="21">
                  <c:v>7.3333333333333341E-3</c:v>
                </c:pt>
                <c:pt idx="22">
                  <c:v>8.0000000000000002E-3</c:v>
                </c:pt>
                <c:pt idx="23">
                  <c:v>8.6666666666666663E-3</c:v>
                </c:pt>
                <c:pt idx="24">
                  <c:v>9.3333333333333324E-3</c:v>
                </c:pt>
                <c:pt idx="25">
                  <c:v>9.9999999999999985E-3</c:v>
                </c:pt>
                <c:pt idx="26">
                  <c:v>1.0666666666666665E-2</c:v>
                </c:pt>
                <c:pt idx="27">
                  <c:v>1.1333333333333331E-2</c:v>
                </c:pt>
                <c:pt idx="28">
                  <c:v>1.1999999999999997E-2</c:v>
                </c:pt>
                <c:pt idx="29">
                  <c:v>1.2666666666666663E-2</c:v>
                </c:pt>
                <c:pt idx="30">
                  <c:v>1.3333333333333329E-2</c:v>
                </c:pt>
                <c:pt idx="31">
                  <c:v>1.3999999999999995E-2</c:v>
                </c:pt>
                <c:pt idx="32">
                  <c:v>1.4666666666666661E-2</c:v>
                </c:pt>
                <c:pt idx="33">
                  <c:v>1.5333333333333327E-2</c:v>
                </c:pt>
                <c:pt idx="34">
                  <c:v>1.5999999999999993E-2</c:v>
                </c:pt>
                <c:pt idx="35">
                  <c:v>1.6666666666666659E-2</c:v>
                </c:pt>
                <c:pt idx="36">
                  <c:v>1.7333333333333326E-2</c:v>
                </c:pt>
                <c:pt idx="37">
                  <c:v>1.7999999999999992E-2</c:v>
                </c:pt>
                <c:pt idx="38">
                  <c:v>1.8666666666666658E-2</c:v>
                </c:pt>
                <c:pt idx="39">
                  <c:v>1.9333333333333324E-2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2.2000000000000002E-2</c:v>
                </c:pt>
                <c:pt idx="43">
                  <c:v>2.3000000000000003E-2</c:v>
                </c:pt>
                <c:pt idx="44">
                  <c:v>2.4000000000000004E-2</c:v>
                </c:pt>
                <c:pt idx="45">
                  <c:v>2.5000000000000005E-2</c:v>
                </c:pt>
                <c:pt idx="46">
                  <c:v>2.6000000000000006E-2</c:v>
                </c:pt>
                <c:pt idx="47">
                  <c:v>2.7000000000000007E-2</c:v>
                </c:pt>
                <c:pt idx="48">
                  <c:v>2.8000000000000008E-2</c:v>
                </c:pt>
                <c:pt idx="49">
                  <c:v>2.9000000000000008E-2</c:v>
                </c:pt>
                <c:pt idx="50">
                  <c:v>3.0000000000000009E-2</c:v>
                </c:pt>
                <c:pt idx="51">
                  <c:v>3.100000000000001E-2</c:v>
                </c:pt>
                <c:pt idx="52">
                  <c:v>3.2000000000000008E-2</c:v>
                </c:pt>
                <c:pt idx="53">
                  <c:v>3.3000000000000008E-2</c:v>
                </c:pt>
                <c:pt idx="54">
                  <c:v>3.4000000000000009E-2</c:v>
                </c:pt>
                <c:pt idx="55">
                  <c:v>3.500000000000001E-2</c:v>
                </c:pt>
                <c:pt idx="56">
                  <c:v>3.6000000000000011E-2</c:v>
                </c:pt>
                <c:pt idx="57">
                  <c:v>3.7000000000000012E-2</c:v>
                </c:pt>
                <c:pt idx="58">
                  <c:v>3.8000000000000013E-2</c:v>
                </c:pt>
                <c:pt idx="59">
                  <c:v>3.9000000000000014E-2</c:v>
                </c:pt>
                <c:pt idx="60">
                  <c:v>0.04</c:v>
                </c:pt>
                <c:pt idx="61">
                  <c:v>4.1500000000000002E-2</c:v>
                </c:pt>
                <c:pt idx="62">
                  <c:v>4.3000000000000003E-2</c:v>
                </c:pt>
                <c:pt idx="63">
                  <c:v>4.4500000000000005E-2</c:v>
                </c:pt>
                <c:pt idx="64">
                  <c:v>4.6000000000000006E-2</c:v>
                </c:pt>
                <c:pt idx="65">
                  <c:v>4.7500000000000007E-2</c:v>
                </c:pt>
                <c:pt idx="66">
                  <c:v>4.9000000000000009E-2</c:v>
                </c:pt>
                <c:pt idx="67">
                  <c:v>5.050000000000001E-2</c:v>
                </c:pt>
                <c:pt idx="68">
                  <c:v>5.2000000000000011E-2</c:v>
                </c:pt>
                <c:pt idx="69">
                  <c:v>5.3500000000000013E-2</c:v>
                </c:pt>
                <c:pt idx="70">
                  <c:v>5.5000000000000014E-2</c:v>
                </c:pt>
                <c:pt idx="71">
                  <c:v>5.6500000000000015E-2</c:v>
                </c:pt>
                <c:pt idx="72">
                  <c:v>5.8000000000000017E-2</c:v>
                </c:pt>
                <c:pt idx="73">
                  <c:v>5.9500000000000018E-2</c:v>
                </c:pt>
                <c:pt idx="74">
                  <c:v>6.1000000000000019E-2</c:v>
                </c:pt>
                <c:pt idx="75">
                  <c:v>6.2500000000000014E-2</c:v>
                </c:pt>
                <c:pt idx="76">
                  <c:v>6.4000000000000015E-2</c:v>
                </c:pt>
                <c:pt idx="77">
                  <c:v>6.5500000000000017E-2</c:v>
                </c:pt>
                <c:pt idx="78">
                  <c:v>6.7000000000000018E-2</c:v>
                </c:pt>
                <c:pt idx="79">
                  <c:v>6.8500000000000019E-2</c:v>
                </c:pt>
                <c:pt idx="80">
                  <c:v>7.0000000000000007E-2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'Cooler&amp;Wetter'!$O$18:$O$98</c:f>
              <c:numCache>
                <c:formatCode>0.0000</c:formatCode>
                <c:ptCount val="81"/>
                <c:pt idx="0">
                  <c:v>0</c:v>
                </c:pt>
                <c:pt idx="1">
                  <c:v>3.3333333333333338E-4</c:v>
                </c:pt>
                <c:pt idx="2">
                  <c:v>6.6666666666666675E-4</c:v>
                </c:pt>
                <c:pt idx="3">
                  <c:v>1E-3</c:v>
                </c:pt>
                <c:pt idx="4">
                  <c:v>1.3333333333333335E-3</c:v>
                </c:pt>
                <c:pt idx="5">
                  <c:v>1.666666666666667E-3</c:v>
                </c:pt>
                <c:pt idx="6">
                  <c:v>2.0000000000000005E-3</c:v>
                </c:pt>
                <c:pt idx="7">
                  <c:v>2.333333333333334E-3</c:v>
                </c:pt>
                <c:pt idx="8">
                  <c:v>2.6666666666666674E-3</c:v>
                </c:pt>
                <c:pt idx="9">
                  <c:v>3.0000000000000009E-3</c:v>
                </c:pt>
                <c:pt idx="10">
                  <c:v>3.3333333333333344E-3</c:v>
                </c:pt>
                <c:pt idx="11">
                  <c:v>3.6666666666666679E-3</c:v>
                </c:pt>
                <c:pt idx="12">
                  <c:v>4.000000000000001E-3</c:v>
                </c:pt>
                <c:pt idx="13">
                  <c:v>4.333333333333334E-3</c:v>
                </c:pt>
                <c:pt idx="14">
                  <c:v>4.6666666666666671E-3</c:v>
                </c:pt>
                <c:pt idx="15">
                  <c:v>5.0000000000000001E-3</c:v>
                </c:pt>
                <c:pt idx="16">
                  <c:v>5.3333333333333332E-3</c:v>
                </c:pt>
                <c:pt idx="17">
                  <c:v>5.6666666666666662E-3</c:v>
                </c:pt>
                <c:pt idx="18">
                  <c:v>5.9999999999999993E-3</c:v>
                </c:pt>
                <c:pt idx="19">
                  <c:v>6.3333333333333323E-3</c:v>
                </c:pt>
                <c:pt idx="20">
                  <c:v>6.6666666666666671E-3</c:v>
                </c:pt>
                <c:pt idx="21">
                  <c:v>7.3333333333333341E-3</c:v>
                </c:pt>
                <c:pt idx="22">
                  <c:v>8.0000000000000002E-3</c:v>
                </c:pt>
                <c:pt idx="23">
                  <c:v>8.6666666666666663E-3</c:v>
                </c:pt>
                <c:pt idx="24">
                  <c:v>9.3333333333333324E-3</c:v>
                </c:pt>
                <c:pt idx="25">
                  <c:v>9.9999999999999985E-3</c:v>
                </c:pt>
                <c:pt idx="26">
                  <c:v>1.0666666666666665E-2</c:v>
                </c:pt>
                <c:pt idx="27">
                  <c:v>1.1333333333333331E-2</c:v>
                </c:pt>
                <c:pt idx="28">
                  <c:v>1.1999999999999997E-2</c:v>
                </c:pt>
                <c:pt idx="29">
                  <c:v>1.2666666666666663E-2</c:v>
                </c:pt>
                <c:pt idx="30">
                  <c:v>1.3333333333333329E-2</c:v>
                </c:pt>
                <c:pt idx="31">
                  <c:v>1.3999999999999995E-2</c:v>
                </c:pt>
                <c:pt idx="32">
                  <c:v>1.4666666666666661E-2</c:v>
                </c:pt>
                <c:pt idx="33">
                  <c:v>1.5333333333333327E-2</c:v>
                </c:pt>
                <c:pt idx="34">
                  <c:v>1.5999999999999993E-2</c:v>
                </c:pt>
                <c:pt idx="35">
                  <c:v>1.6666666666666659E-2</c:v>
                </c:pt>
                <c:pt idx="36">
                  <c:v>1.7333333333333326E-2</c:v>
                </c:pt>
                <c:pt idx="37">
                  <c:v>1.7999999999999992E-2</c:v>
                </c:pt>
                <c:pt idx="38">
                  <c:v>1.8666666666666658E-2</c:v>
                </c:pt>
                <c:pt idx="39">
                  <c:v>1.9333333333333324E-2</c:v>
                </c:pt>
                <c:pt idx="40">
                  <c:v>0.02</c:v>
                </c:pt>
                <c:pt idx="41">
                  <c:v>2.1000000000000001E-2</c:v>
                </c:pt>
                <c:pt idx="42">
                  <c:v>2.2000000000000002E-2</c:v>
                </c:pt>
                <c:pt idx="43">
                  <c:v>2.3000000000000003E-2</c:v>
                </c:pt>
                <c:pt idx="44">
                  <c:v>2.4000000000000004E-2</c:v>
                </c:pt>
                <c:pt idx="45">
                  <c:v>2.5000000000000005E-2</c:v>
                </c:pt>
                <c:pt idx="46">
                  <c:v>2.6000000000000006E-2</c:v>
                </c:pt>
                <c:pt idx="47">
                  <c:v>2.7000000000000007E-2</c:v>
                </c:pt>
                <c:pt idx="48">
                  <c:v>2.8000000000000008E-2</c:v>
                </c:pt>
                <c:pt idx="49">
                  <c:v>2.9000000000000008E-2</c:v>
                </c:pt>
                <c:pt idx="50">
                  <c:v>3.0000000000000009E-2</c:v>
                </c:pt>
                <c:pt idx="51">
                  <c:v>3.100000000000001E-2</c:v>
                </c:pt>
                <c:pt idx="52">
                  <c:v>3.2000000000000008E-2</c:v>
                </c:pt>
                <c:pt idx="53">
                  <c:v>3.3000000000000008E-2</c:v>
                </c:pt>
                <c:pt idx="54">
                  <c:v>3.4000000000000009E-2</c:v>
                </c:pt>
                <c:pt idx="55">
                  <c:v>3.500000000000001E-2</c:v>
                </c:pt>
                <c:pt idx="56">
                  <c:v>3.6000000000000011E-2</c:v>
                </c:pt>
                <c:pt idx="57">
                  <c:v>3.7000000000000012E-2</c:v>
                </c:pt>
                <c:pt idx="58">
                  <c:v>3.8000000000000013E-2</c:v>
                </c:pt>
                <c:pt idx="59">
                  <c:v>3.9000000000000014E-2</c:v>
                </c:pt>
                <c:pt idx="60">
                  <c:v>0.04</c:v>
                </c:pt>
                <c:pt idx="61">
                  <c:v>4.0500000000000001E-2</c:v>
                </c:pt>
                <c:pt idx="62">
                  <c:v>4.1000000000000002E-2</c:v>
                </c:pt>
                <c:pt idx="63">
                  <c:v>4.1500000000000002E-2</c:v>
                </c:pt>
                <c:pt idx="64">
                  <c:v>4.2000000000000003E-2</c:v>
                </c:pt>
                <c:pt idx="65">
                  <c:v>4.2500000000000003E-2</c:v>
                </c:pt>
                <c:pt idx="66">
                  <c:v>4.3000000000000003E-2</c:v>
                </c:pt>
                <c:pt idx="67">
                  <c:v>4.3500000000000004E-2</c:v>
                </c:pt>
                <c:pt idx="68">
                  <c:v>4.4000000000000004E-2</c:v>
                </c:pt>
                <c:pt idx="69">
                  <c:v>4.4500000000000005E-2</c:v>
                </c:pt>
                <c:pt idx="70">
                  <c:v>4.5000000000000005E-2</c:v>
                </c:pt>
                <c:pt idx="71">
                  <c:v>4.5500000000000006E-2</c:v>
                </c:pt>
                <c:pt idx="72">
                  <c:v>4.6000000000000006E-2</c:v>
                </c:pt>
                <c:pt idx="73">
                  <c:v>4.6500000000000007E-2</c:v>
                </c:pt>
                <c:pt idx="74">
                  <c:v>4.7000000000000007E-2</c:v>
                </c:pt>
                <c:pt idx="75">
                  <c:v>4.7500000000000007E-2</c:v>
                </c:pt>
                <c:pt idx="76">
                  <c:v>4.8000000000000008E-2</c:v>
                </c:pt>
                <c:pt idx="77">
                  <c:v>4.8500000000000008E-2</c:v>
                </c:pt>
                <c:pt idx="78">
                  <c:v>4.9000000000000009E-2</c:v>
                </c:pt>
                <c:pt idx="79">
                  <c:v>4.9500000000000009E-2</c:v>
                </c:pt>
                <c:pt idx="80">
                  <c:v>0.05</c:v>
                </c:pt>
              </c:numCache>
            </c:numRef>
          </c:yVal>
          <c:smooth val="1"/>
        </c:ser>
        <c:dLbls/>
        <c:axId val="86900736"/>
        <c:axId val="86902656"/>
      </c:scatterChart>
      <c:valAx>
        <c:axId val="86900736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low"/>
        <c:txPr>
          <a:bodyPr/>
          <a:lstStyle/>
          <a:p>
            <a:pPr>
              <a:defRPr lang="en-AU"/>
            </a:pPr>
            <a:endParaRPr lang="en-US"/>
          </a:p>
        </c:txPr>
        <c:crossAx val="86902656"/>
        <c:crosses val="autoZero"/>
        <c:crossBetween val="midCat"/>
      </c:valAx>
      <c:valAx>
        <c:axId val="869026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</c:title>
        <c:numFmt formatCode="#,##0.0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900736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'Cooler&amp;Wetter'!$Q$4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/>
        <c:axId val="86932480"/>
        <c:axId val="86955136"/>
      </c:scatterChart>
      <c:valAx>
        <c:axId val="86932480"/>
        <c:scaling>
          <c:orientation val="minMax"/>
          <c:max val="2070"/>
          <c:min val="1990"/>
        </c:scaling>
        <c:axPos val="b"/>
        <c:majorGridlines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AU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955136"/>
        <c:crosses val="autoZero"/>
        <c:crossBetween val="midCat"/>
      </c:valAx>
      <c:valAx>
        <c:axId val="86955136"/>
        <c:scaling>
          <c:orientation val="minMax"/>
          <c:min val="3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</c:title>
        <c:numFmt formatCode="0.0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6932480"/>
        <c:crosses val="autoZero"/>
        <c:crossBetween val="midCat"/>
      </c:valAx>
    </c:plotArea>
    <c:legend>
      <c:legendPos val="r"/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AU"/>
            </a:pPr>
            <a:r>
              <a:rPr lang="en-AU"/>
              <a:t>A1FI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Mastersheet!$BG$82:$BG$152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0.21610856313015619</c:v>
                </c:pt>
                <c:pt idx="9">
                  <c:v>0.23794624980015694</c:v>
                </c:pt>
                <c:pt idx="10">
                  <c:v>0.25984009364306737</c:v>
                </c:pt>
                <c:pt idx="11">
                  <c:v>0.28191496840575214</c:v>
                </c:pt>
                <c:pt idx="12">
                  <c:v>0.30410308935949865</c:v>
                </c:pt>
                <c:pt idx="13">
                  <c:v>0.32640489350169216</c:v>
                </c:pt>
                <c:pt idx="14">
                  <c:v>0.34882081933016951</c:v>
                </c:pt>
                <c:pt idx="15">
                  <c:v>0.37135130684805273</c:v>
                </c:pt>
                <c:pt idx="16">
                  <c:v>0.3939967975685989</c:v>
                </c:pt>
                <c:pt idx="17">
                  <c:v>0.41675773452006309</c:v>
                </c:pt>
                <c:pt idx="18">
                  <c:v>0.43963456225057856</c:v>
                </c:pt>
                <c:pt idx="19">
                  <c:v>0.46262772683304976</c:v>
                </c:pt>
                <c:pt idx="20">
                  <c:v>0.48573767587006261</c:v>
                </c:pt>
                <c:pt idx="21">
                  <c:v>0.50896485849880846</c:v>
                </c:pt>
                <c:pt idx="22">
                  <c:v>0.53230972539602439</c:v>
                </c:pt>
                <c:pt idx="23">
                  <c:v>0.55577272878294748</c:v>
                </c:pt>
                <c:pt idx="24">
                  <c:v>0.57935432243028517</c:v>
                </c:pt>
                <c:pt idx="25">
                  <c:v>0.60305496166320216</c:v>
                </c:pt>
                <c:pt idx="26">
                  <c:v>0.6268751033663208</c:v>
                </c:pt>
                <c:pt idx="27">
                  <c:v>0.6508152059887371</c:v>
                </c:pt>
                <c:pt idx="28">
                  <c:v>0.67487572954905373</c:v>
                </c:pt>
                <c:pt idx="29">
                  <c:v>0.6990571356404286</c:v>
                </c:pt>
                <c:pt idx="30">
                  <c:v>0.72335988743563606</c:v>
                </c:pt>
                <c:pt idx="31">
                  <c:v>0.74867768777738786</c:v>
                </c:pt>
                <c:pt idx="32">
                  <c:v>0.77419717777798569</c:v>
                </c:pt>
                <c:pt idx="33">
                  <c:v>0.79991959891957554</c:v>
                </c:pt>
                <c:pt idx="34">
                  <c:v>0.82584619953281702</c:v>
                </c:pt>
                <c:pt idx="35">
                  <c:v>0.85197823483244439</c:v>
                </c:pt>
                <c:pt idx="36">
                  <c:v>0.87831696695300709</c:v>
                </c:pt>
                <c:pt idx="37">
                  <c:v>0.90486366498479009</c:v>
                </c:pt>
                <c:pt idx="38">
                  <c:v>0.93161960500991103</c:v>
                </c:pt>
                <c:pt idx="39">
                  <c:v>0.95858607013859998</c:v>
                </c:pt>
                <c:pt idx="40">
                  <c:v>0.98576435054566147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Mastersheet!$B$153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Mastersheet!$BG$154:$BG$224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0.21644797868739499</c:v>
                </c:pt>
                <c:pt idx="9">
                  <c:v>0.23855484880462424</c:v>
                </c:pt>
                <c:pt idx="10">
                  <c:v>0.26074506214918264</c:v>
                </c:pt>
                <c:pt idx="11">
                  <c:v>0.28320437316297281</c:v>
                </c:pt>
                <c:pt idx="12">
                  <c:v>0.3058324021319091</c:v>
                </c:pt>
                <c:pt idx="13">
                  <c:v>0.32863010370315476</c:v>
                </c:pt>
                <c:pt idx="14">
                  <c:v>0.35159843733248425</c:v>
                </c:pt>
                <c:pt idx="15">
                  <c:v>0.37473836730701859</c:v>
                </c:pt>
                <c:pt idx="16">
                  <c:v>0.39805086276806551</c:v>
                </c:pt>
                <c:pt idx="17">
                  <c:v>0.42153689773406272</c:v>
                </c:pt>
                <c:pt idx="18">
                  <c:v>0.4451974511236253</c:v>
                </c:pt>
                <c:pt idx="19">
                  <c:v>0.46903350677869909</c:v>
                </c:pt>
                <c:pt idx="20">
                  <c:v>0.49304605348781716</c:v>
                </c:pt>
                <c:pt idx="21">
                  <c:v>0.51723608500946394</c:v>
                </c:pt>
                <c:pt idx="22">
                  <c:v>0.5416046000955449</c:v>
                </c:pt>
                <c:pt idx="23">
                  <c:v>0.56615260251496269</c:v>
                </c:pt>
                <c:pt idx="24">
                  <c:v>0.59088110107729941</c:v>
                </c:pt>
                <c:pt idx="25">
                  <c:v>0.61579110965660933</c:v>
                </c:pt>
                <c:pt idx="26">
                  <c:v>0.64088364721531632</c:v>
                </c:pt>
                <c:pt idx="27">
                  <c:v>0.6661597378282218</c:v>
                </c:pt>
                <c:pt idx="28">
                  <c:v>0.69162041070662184</c:v>
                </c:pt>
                <c:pt idx="29">
                  <c:v>0.71726670022253136</c:v>
                </c:pt>
                <c:pt idx="30">
                  <c:v>0.74309964593302258</c:v>
                </c:pt>
                <c:pt idx="31">
                  <c:v>0.77052951329906705</c:v>
                </c:pt>
                <c:pt idx="32">
                  <c:v>0.79827817188716244</c:v>
                </c:pt>
                <c:pt idx="33">
                  <c:v>0.82634852128824721</c:v>
                </c:pt>
                <c:pt idx="34">
                  <c:v>0.8547434848169877</c:v>
                </c:pt>
                <c:pt idx="35">
                  <c:v>0.88346600969484723</c:v>
                </c:pt>
                <c:pt idx="36">
                  <c:v>0.91251906723451626</c:v>
                </c:pt>
                <c:pt idx="37">
                  <c:v>0.94190565302571827</c:v>
                </c:pt>
                <c:pt idx="38">
                  <c:v>0.97162878712239886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Mastersheet!$BG$226:$BG$296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0.21654705447761796</c:v>
                </c:pt>
                <c:pt idx="9">
                  <c:v>0.23873242649687143</c:v>
                </c:pt>
                <c:pt idx="10">
                  <c:v>0.26100912872529336</c:v>
                </c:pt>
                <c:pt idx="11">
                  <c:v>0.28358085323359555</c:v>
                </c:pt>
                <c:pt idx="12">
                  <c:v>0.30633767045619709</c:v>
                </c:pt>
                <c:pt idx="13">
                  <c:v>0.32928072406081232</c:v>
                </c:pt>
                <c:pt idx="14">
                  <c:v>0.35241116400682343</c:v>
                </c:pt>
                <c:pt idx="15">
                  <c:v>0.37573014657777321</c:v>
                </c:pt>
                <c:pt idx="16">
                  <c:v>0.39923883441402225</c:v>
                </c:pt>
                <c:pt idx="17">
                  <c:v>0.42293839654556548</c:v>
                </c:pt>
                <c:pt idx="18">
                  <c:v>0.44683000842501358</c:v>
                </c:pt>
                <c:pt idx="19">
                  <c:v>0.47091485196073718</c:v>
                </c:pt>
                <c:pt idx="20">
                  <c:v>0.4951941155501759</c:v>
                </c:pt>
                <c:pt idx="21">
                  <c:v>0.51966899411331302</c:v>
                </c:pt>
                <c:pt idx="22">
                  <c:v>0.54434068912631584</c:v>
                </c:pt>
                <c:pt idx="23">
                  <c:v>0.56921040865534378</c:v>
                </c:pt>
                <c:pt idx="24">
                  <c:v>0.59427936739052323</c:v>
                </c:pt>
                <c:pt idx="25">
                  <c:v>0.61954878668009172</c:v>
                </c:pt>
                <c:pt idx="26">
                  <c:v>0.64501989456471021</c:v>
                </c:pt>
                <c:pt idx="27">
                  <c:v>0.67069392581194909</c:v>
                </c:pt>
                <c:pt idx="28">
                  <c:v>0.69657212195094043</c:v>
                </c:pt>
                <c:pt idx="29">
                  <c:v>0.72265573130720551</c:v>
                </c:pt>
                <c:pt idx="30">
                  <c:v>0.74894600903765451</c:v>
                </c:pt>
                <c:pt idx="31">
                  <c:v>0.77697178454072313</c:v>
                </c:pt>
                <c:pt idx="32">
                  <c:v>0.80534910899853829</c:v>
                </c:pt>
                <c:pt idx="33">
                  <c:v>0.83408144437200504</c:v>
                </c:pt>
                <c:pt idx="34">
                  <c:v>0.86317228331794549</c:v>
                </c:pt>
                <c:pt idx="35">
                  <c:v>0.89262514944592874</c:v>
                </c:pt>
                <c:pt idx="36">
                  <c:v>0.92244359757717032</c:v>
                </c:pt>
                <c:pt idx="37">
                  <c:v>0.95263121400552619</c:v>
                </c:pt>
                <c:pt idx="38">
                  <c:v>0.98319161676058986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88602880"/>
        <c:axId val="111886720"/>
      </c:scatterChart>
      <c:valAx>
        <c:axId val="8860288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1886720"/>
        <c:crosses val="autoZero"/>
        <c:crossBetween val="midCat"/>
      </c:valAx>
      <c:valAx>
        <c:axId val="111886720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88602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8427274886063938"/>
          <c:y val="0.46728270260958354"/>
          <c:w val="0.29826586212023687"/>
          <c:h val="0.33125435862745184"/>
        </c:manualLayout>
      </c:layout>
      <c:overlay val="1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AU"/>
            </a:pPr>
            <a:r>
              <a:rPr lang="en-AU"/>
              <a:t>A1B</a:t>
            </a:r>
          </a:p>
        </c:rich>
      </c:tx>
    </c:title>
    <c:plotArea>
      <c:layout/>
      <c:scatterChart>
        <c:scatterStyle val="smoothMarker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Mastersheet!$BG$298:$BG$368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0.21614884264743886</c:v>
                </c:pt>
                <c:pt idx="9">
                  <c:v>0.23801849447779691</c:v>
                </c:pt>
                <c:pt idx="10">
                  <c:v>0.25994751539137473</c:v>
                </c:pt>
                <c:pt idx="11">
                  <c:v>0.28206795764741388</c:v>
                </c:pt>
                <c:pt idx="12">
                  <c:v>0.30430817828139589</c:v>
                </c:pt>
                <c:pt idx="13">
                  <c:v>0.32666866522964105</c:v>
                </c:pt>
                <c:pt idx="14">
                  <c:v>0.34914990819719505</c:v>
                </c:pt>
                <c:pt idx="15">
                  <c:v>0.37175239866384585</c:v>
                </c:pt>
                <c:pt idx="16">
                  <c:v>0.39447662989015853</c:v>
                </c:pt>
                <c:pt idx="17">
                  <c:v>0.41732309692353142</c:v>
                </c:pt>
                <c:pt idx="18">
                  <c:v>0.44029229660427149</c:v>
                </c:pt>
                <c:pt idx="19">
                  <c:v>0.46338472757168958</c:v>
                </c:pt>
                <c:pt idx="20">
                  <c:v>0.48660089027021597</c:v>
                </c:pt>
                <c:pt idx="21">
                  <c:v>0.50994128695553431</c:v>
                </c:pt>
                <c:pt idx="22">
                  <c:v>0.53340642170073815</c:v>
                </c:pt>
                <c:pt idx="23">
                  <c:v>0.55699680040250532</c:v>
                </c:pt>
                <c:pt idx="24">
                  <c:v>0.58071293078729502</c:v>
                </c:pt>
                <c:pt idx="25">
                  <c:v>0.60455532241756094</c:v>
                </c:pt>
                <c:pt idx="26">
                  <c:v>0.62852448669798944</c:v>
                </c:pt>
                <c:pt idx="27">
                  <c:v>0.65262093688175471</c:v>
                </c:pt>
                <c:pt idx="28">
                  <c:v>0.67684518807679794</c:v>
                </c:pt>
                <c:pt idx="29">
                  <c:v>0.70119775725212063</c:v>
                </c:pt>
                <c:pt idx="30">
                  <c:v>0.72567916324410608</c:v>
                </c:pt>
                <c:pt idx="31">
                  <c:v>0.75032655023740003</c:v>
                </c:pt>
                <c:pt idx="32">
                  <c:v>0.77510702511247076</c:v>
                </c:pt>
                <c:pt idx="33">
                  <c:v>0.80002113800219288</c:v>
                </c:pt>
                <c:pt idx="34">
                  <c:v>0.82506944107207958</c:v>
                </c:pt>
                <c:pt idx="35">
                  <c:v>0.85025248852733937</c:v>
                </c:pt>
                <c:pt idx="36">
                  <c:v>0.87557083661996116</c:v>
                </c:pt>
                <c:pt idx="37">
                  <c:v>0.90102504365582292</c:v>
                </c:pt>
                <c:pt idx="38">
                  <c:v>0.92661567000182155</c:v>
                </c:pt>
                <c:pt idx="39">
                  <c:v>0.95234327809302888</c:v>
                </c:pt>
                <c:pt idx="40">
                  <c:v>0.97820843243987032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Mastersheet!$BG$370:$BG$440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0.21648508481063153</c:v>
                </c:pt>
                <c:pt idx="9">
                  <c:v>0.23862135952290991</c:v>
                </c:pt>
                <c:pt idx="10">
                  <c:v>0.26084396606918014</c:v>
                </c:pt>
                <c:pt idx="11">
                  <c:v>0.28334536816610051</c:v>
                </c:pt>
                <c:pt idx="12">
                  <c:v>0.30602161131444805</c:v>
                </c:pt>
                <c:pt idx="13">
                  <c:v>0.32887371894256739</c:v>
                </c:pt>
                <c:pt idx="14">
                  <c:v>0.35190271981201937</c:v>
                </c:pt>
                <c:pt idx="15">
                  <c:v>0.37510964804367047</c:v>
                </c:pt>
                <c:pt idx="16">
                  <c:v>0.39849554314390462</c:v>
                </c:pt>
                <c:pt idx="17">
                  <c:v>0.4220614500309583</c:v>
                </c:pt>
                <c:pt idx="18">
                  <c:v>0.44580841906137975</c:v>
                </c:pt>
                <c:pt idx="19">
                  <c:v>0.46973750605661324</c:v>
                </c:pt>
                <c:pt idx="20">
                  <c:v>0.49384977232970717</c:v>
                </c:pt>
                <c:pt idx="21">
                  <c:v>0.51814628471214785</c:v>
                </c:pt>
                <c:pt idx="22">
                  <c:v>0.54262811558082091</c:v>
                </c:pt>
                <c:pt idx="23">
                  <c:v>0.56729634288509734</c:v>
                </c:pt>
                <c:pt idx="24">
                  <c:v>0.59215205017404848</c:v>
                </c:pt>
                <c:pt idx="25">
                  <c:v>0.61719632662378909</c:v>
                </c:pt>
                <c:pt idx="26">
                  <c:v>0.64243026706494621</c:v>
                </c:pt>
                <c:pt idx="27">
                  <c:v>0.66785497201026078</c:v>
                </c:pt>
                <c:pt idx="28">
                  <c:v>0.693471547682316</c:v>
                </c:pt>
                <c:pt idx="29">
                  <c:v>0.71928110604139928</c:v>
                </c:pt>
                <c:pt idx="30">
                  <c:v>0.74528476481348915</c:v>
                </c:pt>
                <c:pt idx="31">
                  <c:v>0.7715982498949725</c:v>
                </c:pt>
                <c:pt idx="32">
                  <c:v>0.79811842479699846</c:v>
                </c:pt>
                <c:pt idx="33">
                  <c:v>0.82484654351540643</c:v>
                </c:pt>
                <c:pt idx="34">
                  <c:v>0.85178386686366958</c:v>
                </c:pt>
                <c:pt idx="35">
                  <c:v>0.87893166250778409</c:v>
                </c:pt>
                <c:pt idx="36">
                  <c:v>0.90629120500133209</c:v>
                </c:pt>
                <c:pt idx="37">
                  <c:v>0.93386377582071711</c:v>
                </c:pt>
                <c:pt idx="38">
                  <c:v>0.96165066340057137</c:v>
                </c:pt>
                <c:pt idx="39">
                  <c:v>0.9896531631693416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Mastersheet!$BG$442:$BG$512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0.21658431211386997</c:v>
                </c:pt>
                <c:pt idx="9">
                  <c:v>0.23879919640290828</c:v>
                </c:pt>
                <c:pt idx="10">
                  <c:v>0.2611084203708664</c:v>
                </c:pt>
                <c:pt idx="11">
                  <c:v>0.28372244092360355</c:v>
                </c:pt>
                <c:pt idx="12">
                  <c:v>0.30652773318074744</c:v>
                </c:pt>
                <c:pt idx="13">
                  <c:v>0.32952551633691302</c:v>
                </c:pt>
                <c:pt idx="14">
                  <c:v>0.35271701650619264</c:v>
                </c:pt>
                <c:pt idx="15">
                  <c:v>0.37610346675902512</c:v>
                </c:pt>
                <c:pt idx="16">
                  <c:v>0.39968610715925551</c:v>
                </c:pt>
                <c:pt idx="17">
                  <c:v>0.4234661848013816</c:v>
                </c:pt>
                <c:pt idx="18">
                  <c:v>0.44744495384799471</c:v>
                </c:pt>
                <c:pt idx="19">
                  <c:v>0.47162367556740947</c:v>
                </c:pt>
                <c:pt idx="20">
                  <c:v>0.49600361837148832</c:v>
                </c:pt>
                <c:pt idx="21">
                  <c:v>0.52058605785365919</c:v>
                </c:pt>
                <c:pt idx="22">
                  <c:v>0.54537227682712663</c:v>
                </c:pt>
                <c:pt idx="23">
                  <c:v>0.57036356536328103</c:v>
                </c:pt>
                <c:pt idx="24">
                  <c:v>0.59556122083030305</c:v>
                </c:pt>
                <c:pt idx="25">
                  <c:v>0.62096654793196415</c:v>
                </c:pt>
                <c:pt idx="26">
                  <c:v>0.64658085874662985</c:v>
                </c:pt>
                <c:pt idx="27">
                  <c:v>0.67240547276645768</c:v>
                </c:pt>
                <c:pt idx="28">
                  <c:v>0.69844171693680179</c:v>
                </c:pt>
                <c:pt idx="29">
                  <c:v>0.72469092569581139</c:v>
                </c:pt>
                <c:pt idx="30">
                  <c:v>0.75115444101423834</c:v>
                </c:pt>
                <c:pt idx="31">
                  <c:v>0.77797522853866752</c:v>
                </c:pt>
                <c:pt idx="32">
                  <c:v>0.80502591127252343</c:v>
                </c:pt>
                <c:pt idx="33">
                  <c:v>0.83230801514735842</c:v>
                </c:pt>
                <c:pt idx="34">
                  <c:v>0.85982307517754597</c:v>
                </c:pt>
                <c:pt idx="35">
                  <c:v>0.88757263551119026</c:v>
                </c:pt>
                <c:pt idx="36">
                  <c:v>0.91555824948131148</c:v>
                </c:pt>
                <c:pt idx="37">
                  <c:v>0.94378147965730863</c:v>
                </c:pt>
                <c:pt idx="38">
                  <c:v>0.97224389789669929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11939968"/>
        <c:axId val="111941888"/>
      </c:scatterChart>
      <c:valAx>
        <c:axId val="11193996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1941888"/>
        <c:crosses val="autoZero"/>
        <c:crossBetween val="midCat"/>
      </c:valAx>
      <c:valAx>
        <c:axId val="11194188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193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431687569592668"/>
          <c:y val="0.47571366975105084"/>
          <c:w val="0.29577137797464792"/>
          <c:h val="0.31017694077378355"/>
        </c:manualLayout>
      </c:layout>
      <c:overlay val="1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AU"/>
            </a:pPr>
            <a:r>
              <a:rPr lang="en-AU"/>
              <a:t>A1FI</a:t>
            </a:r>
          </a:p>
        </c:rich>
      </c:tx>
    </c:title>
    <c:plotArea>
      <c:layout/>
      <c:scatterChart>
        <c:scatterStyle val="smoothMarker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Mastersheet!$BE$82:$BE$152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21.610856313015621</c:v>
                </c:pt>
                <c:pt idx="9">
                  <c:v>23.794624980015694</c:v>
                </c:pt>
                <c:pt idx="10">
                  <c:v>25.98400936430674</c:v>
                </c:pt>
                <c:pt idx="11">
                  <c:v>28.191496840575212</c:v>
                </c:pt>
                <c:pt idx="12">
                  <c:v>30.410308935949864</c:v>
                </c:pt>
                <c:pt idx="13">
                  <c:v>32.640489350169219</c:v>
                </c:pt>
                <c:pt idx="14">
                  <c:v>34.882081933016948</c:v>
                </c:pt>
                <c:pt idx="15">
                  <c:v>37.135130684805276</c:v>
                </c:pt>
                <c:pt idx="16">
                  <c:v>39.399679756859889</c:v>
                </c:pt>
                <c:pt idx="17">
                  <c:v>41.675773452006311</c:v>
                </c:pt>
                <c:pt idx="18">
                  <c:v>43.963456225057854</c:v>
                </c:pt>
                <c:pt idx="19">
                  <c:v>46.262772683304973</c:v>
                </c:pt>
                <c:pt idx="20">
                  <c:v>48.573767587006259</c:v>
                </c:pt>
                <c:pt idx="21">
                  <c:v>50.896485849880847</c:v>
                </c:pt>
                <c:pt idx="22">
                  <c:v>53.23097253960244</c:v>
                </c:pt>
                <c:pt idx="23">
                  <c:v>55.57727287829475</c:v>
                </c:pt>
                <c:pt idx="24">
                  <c:v>57.935432243028522</c:v>
                </c:pt>
                <c:pt idx="25">
                  <c:v>60.305496166320218</c:v>
                </c:pt>
                <c:pt idx="26">
                  <c:v>62.68751033663208</c:v>
                </c:pt>
                <c:pt idx="27">
                  <c:v>65.081520598873709</c:v>
                </c:pt>
                <c:pt idx="28">
                  <c:v>67.487572954905374</c:v>
                </c:pt>
                <c:pt idx="29">
                  <c:v>69.905713564042856</c:v>
                </c:pt>
                <c:pt idx="30">
                  <c:v>72.335988743563604</c:v>
                </c:pt>
                <c:pt idx="31">
                  <c:v>74.867768777738789</c:v>
                </c:pt>
                <c:pt idx="32">
                  <c:v>77.419717777798567</c:v>
                </c:pt>
                <c:pt idx="33">
                  <c:v>79.991959891957549</c:v>
                </c:pt>
                <c:pt idx="34">
                  <c:v>82.584619953281702</c:v>
                </c:pt>
                <c:pt idx="35">
                  <c:v>85.197823483244434</c:v>
                </c:pt>
                <c:pt idx="36">
                  <c:v>87.831696695300707</c:v>
                </c:pt>
                <c:pt idx="37">
                  <c:v>90.486366498479015</c:v>
                </c:pt>
                <c:pt idx="38">
                  <c:v>93.1619605009911</c:v>
                </c:pt>
                <c:pt idx="39">
                  <c:v>95.858607013859995</c:v>
                </c:pt>
                <c:pt idx="40">
                  <c:v>98.576435054566147</c:v>
                </c:pt>
                <c:pt idx="41">
                  <c:v>101.31557435071153</c:v>
                </c:pt>
                <c:pt idx="42">
                  <c:v>104.07615534370241</c:v>
                </c:pt>
                <c:pt idx="43">
                  <c:v>106.85830919245012</c:v>
                </c:pt>
                <c:pt idx="44">
                  <c:v>109.66216777709086</c:v>
                </c:pt>
                <c:pt idx="45">
                  <c:v>112.48786370272352</c:v>
                </c:pt>
                <c:pt idx="46">
                  <c:v>115.33553030316666</c:v>
                </c:pt>
                <c:pt idx="47">
                  <c:v>118.20530164473384</c:v>
                </c:pt>
                <c:pt idx="48">
                  <c:v>121.09731253002805</c:v>
                </c:pt>
                <c:pt idx="49">
                  <c:v>124.01169850175515</c:v>
                </c:pt>
                <c:pt idx="50">
                  <c:v>126.94859584655602</c:v>
                </c:pt>
                <c:pt idx="51">
                  <c:v>129.99427909383007</c:v>
                </c:pt>
                <c:pt idx="52">
                  <c:v>133.06743038867742</c:v>
                </c:pt>
                <c:pt idx="53">
                  <c:v>136.16824692530824</c:v>
                </c:pt>
                <c:pt idx="54">
                  <c:v>139.29692717731609</c:v>
                </c:pt>
                <c:pt idx="55">
                  <c:v>142.45367090552122</c:v>
                </c:pt>
                <c:pt idx="56">
                  <c:v>145.63867916585943</c:v>
                </c:pt>
                <c:pt idx="57">
                  <c:v>148.85215431731734</c:v>
                </c:pt>
                <c:pt idx="58">
                  <c:v>152.0943000299155</c:v>
                </c:pt>
                <c:pt idx="59">
                  <c:v>155.36532129273789</c:v>
                </c:pt>
                <c:pt idx="60">
                  <c:v>158.66542442200927</c:v>
                </c:pt>
                <c:pt idx="61">
                  <c:v>161.99481706922043</c:v>
                </c:pt>
                <c:pt idx="62">
                  <c:v>165.35370822930116</c:v>
                </c:pt>
                <c:pt idx="63">
                  <c:v>168.74230824884191</c:v>
                </c:pt>
                <c:pt idx="64">
                  <c:v>172.16082883436346</c:v>
                </c:pt>
                <c:pt idx="65">
                  <c:v>175.60948306063608</c:v>
                </c:pt>
                <c:pt idx="66">
                  <c:v>179.08848537904805</c:v>
                </c:pt>
                <c:pt idx="67">
                  <c:v>182.59805162602234</c:v>
                </c:pt>
                <c:pt idx="68">
                  <c:v>186.13839903148454</c:v>
                </c:pt>
                <c:pt idx="69">
                  <c:v>189.70974622737998</c:v>
                </c:pt>
                <c:pt idx="70">
                  <c:v>193.31231325624148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Mastersheet!$B$153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Mastersheet!$BE$154:$BE$224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21.644797868739499</c:v>
                </c:pt>
                <c:pt idx="9">
                  <c:v>23.855484880462424</c:v>
                </c:pt>
                <c:pt idx="10">
                  <c:v>26.074506214918266</c:v>
                </c:pt>
                <c:pt idx="11">
                  <c:v>28.320437316297284</c:v>
                </c:pt>
                <c:pt idx="12">
                  <c:v>30.583240213190912</c:v>
                </c:pt>
                <c:pt idx="13">
                  <c:v>32.863010370315479</c:v>
                </c:pt>
                <c:pt idx="14">
                  <c:v>35.159843733248422</c:v>
                </c:pt>
                <c:pt idx="15">
                  <c:v>37.473836730701862</c:v>
                </c:pt>
                <c:pt idx="16">
                  <c:v>39.805086276806549</c:v>
                </c:pt>
                <c:pt idx="17">
                  <c:v>42.153689773406271</c:v>
                </c:pt>
                <c:pt idx="18">
                  <c:v>44.519745112362529</c:v>
                </c:pt>
                <c:pt idx="19">
                  <c:v>46.903350677869909</c:v>
                </c:pt>
                <c:pt idx="20">
                  <c:v>49.304605348781713</c:v>
                </c:pt>
                <c:pt idx="21">
                  <c:v>51.723608500946398</c:v>
                </c:pt>
                <c:pt idx="22">
                  <c:v>54.160460009554491</c:v>
                </c:pt>
                <c:pt idx="23">
                  <c:v>56.615260251496267</c:v>
                </c:pt>
                <c:pt idx="24">
                  <c:v>59.088110107729939</c:v>
                </c:pt>
                <c:pt idx="25">
                  <c:v>61.579110965660931</c:v>
                </c:pt>
                <c:pt idx="26">
                  <c:v>64.088364721531633</c:v>
                </c:pt>
                <c:pt idx="27">
                  <c:v>66.615973782822181</c:v>
                </c:pt>
                <c:pt idx="28">
                  <c:v>69.162041070662184</c:v>
                </c:pt>
                <c:pt idx="29">
                  <c:v>71.726670022253131</c:v>
                </c:pt>
                <c:pt idx="30">
                  <c:v>74.309964593302254</c:v>
                </c:pt>
                <c:pt idx="31">
                  <c:v>77.052951329906705</c:v>
                </c:pt>
                <c:pt idx="32">
                  <c:v>79.827817188716239</c:v>
                </c:pt>
                <c:pt idx="33">
                  <c:v>82.634852128824718</c:v>
                </c:pt>
                <c:pt idx="34">
                  <c:v>85.474348481698769</c:v>
                </c:pt>
                <c:pt idx="35">
                  <c:v>88.346600969484726</c:v>
                </c:pt>
                <c:pt idx="36">
                  <c:v>91.251906723451626</c:v>
                </c:pt>
                <c:pt idx="37">
                  <c:v>94.190565302571827</c:v>
                </c:pt>
                <c:pt idx="38">
                  <c:v>97.162878712239888</c:v>
                </c:pt>
                <c:pt idx="39">
                  <c:v>100.1691514231304</c:v>
                </c:pt>
                <c:pt idx="40">
                  <c:v>103.20969039019654</c:v>
                </c:pt>
                <c:pt idx="41">
                  <c:v>106.28480507180957</c:v>
                </c:pt>
                <c:pt idx="42">
                  <c:v>109.39480744904102</c:v>
                </c:pt>
                <c:pt idx="43">
                  <c:v>112.54001204508818</c:v>
                </c:pt>
                <c:pt idx="44">
                  <c:v>115.72073594484392</c:v>
                </c:pt>
                <c:pt idx="45">
                  <c:v>118.93729881461196</c:v>
                </c:pt>
                <c:pt idx="46">
                  <c:v>122.19002292196909</c:v>
                </c:pt>
                <c:pt idx="47">
                  <c:v>125.47923315577431</c:v>
                </c:pt>
                <c:pt idx="48">
                  <c:v>128.80525704632748</c:v>
                </c:pt>
                <c:pt idx="49">
                  <c:v>132.1684247856769</c:v>
                </c:pt>
                <c:pt idx="50">
                  <c:v>135.56906924807856</c:v>
                </c:pt>
                <c:pt idx="51">
                  <c:v>139.13320628774954</c:v>
                </c:pt>
                <c:pt idx="52">
                  <c:v>142.74288423245113</c:v>
                </c:pt>
                <c:pt idx="53">
                  <c:v>146.39857629557076</c:v>
                </c:pt>
                <c:pt idx="54">
                  <c:v>150.10076016395553</c:v>
                </c:pt>
                <c:pt idx="55">
                  <c:v>153.84991803800389</c:v>
                </c:pt>
                <c:pt idx="56">
                  <c:v>157.64653667210584</c:v>
                </c:pt>
                <c:pt idx="57">
                  <c:v>161.49110741543294</c:v>
                </c:pt>
                <c:pt idx="58">
                  <c:v>165.38412625308234</c:v>
                </c:pt>
                <c:pt idx="59">
                  <c:v>169.32609384757825</c:v>
                </c:pt>
                <c:pt idx="60">
                  <c:v>173.31751558073208</c:v>
                </c:pt>
                <c:pt idx="61">
                  <c:v>177.35890159586589</c:v>
                </c:pt>
                <c:pt idx="62">
                  <c:v>181.45076684040242</c:v>
                </c:pt>
                <c:pt idx="63">
                  <c:v>185.59363110882288</c:v>
                </c:pt>
                <c:pt idx="64">
                  <c:v>189.78801908599775</c:v>
                </c:pt>
                <c:pt idx="65">
                  <c:v>194.03446039089334</c:v>
                </c:pt>
                <c:pt idx="66">
                  <c:v>198.33348962065503</c:v>
                </c:pt>
                <c:pt idx="67">
                  <c:v>202.68564639507474</c:v>
                </c:pt>
                <c:pt idx="68">
                  <c:v>207.09147540144147</c:v>
                </c:pt>
                <c:pt idx="69">
                  <c:v>211.55152643978104</c:v>
                </c:pt>
                <c:pt idx="70">
                  <c:v>216.06635446848716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Mastersheet!$BE$226:$BE$296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21.654705447761796</c:v>
                </c:pt>
                <c:pt idx="9">
                  <c:v>23.873242649687143</c:v>
                </c:pt>
                <c:pt idx="10">
                  <c:v>26.100912872529339</c:v>
                </c:pt>
                <c:pt idx="11">
                  <c:v>28.358085323359557</c:v>
                </c:pt>
                <c:pt idx="12">
                  <c:v>30.633767045619706</c:v>
                </c:pt>
                <c:pt idx="13">
                  <c:v>32.928072406081235</c:v>
                </c:pt>
                <c:pt idx="14">
                  <c:v>35.241116400682344</c:v>
                </c:pt>
                <c:pt idx="15">
                  <c:v>37.573014657777321</c:v>
                </c:pt>
                <c:pt idx="16">
                  <c:v>39.923883441402225</c:v>
                </c:pt>
                <c:pt idx="17">
                  <c:v>42.29383965455655</c:v>
                </c:pt>
                <c:pt idx="18">
                  <c:v>44.683000842501357</c:v>
                </c:pt>
                <c:pt idx="19">
                  <c:v>47.09148519607372</c:v>
                </c:pt>
                <c:pt idx="20">
                  <c:v>49.519411555017591</c:v>
                </c:pt>
                <c:pt idx="21">
                  <c:v>51.966899411331298</c:v>
                </c:pt>
                <c:pt idx="22">
                  <c:v>54.434068912631581</c:v>
                </c:pt>
                <c:pt idx="23">
                  <c:v>56.92104086553438</c:v>
                </c:pt>
                <c:pt idx="24">
                  <c:v>59.427936739052328</c:v>
                </c:pt>
                <c:pt idx="25">
                  <c:v>61.954878668009172</c:v>
                </c:pt>
                <c:pt idx="26">
                  <c:v>64.501989456471023</c:v>
                </c:pt>
                <c:pt idx="27">
                  <c:v>67.069392581194904</c:v>
                </c:pt>
                <c:pt idx="28">
                  <c:v>69.657212195094047</c:v>
                </c:pt>
                <c:pt idx="29">
                  <c:v>72.265573130720554</c:v>
                </c:pt>
                <c:pt idx="30">
                  <c:v>74.894600903765451</c:v>
                </c:pt>
                <c:pt idx="31">
                  <c:v>77.697178454072315</c:v>
                </c:pt>
                <c:pt idx="32">
                  <c:v>80.534910899853827</c:v>
                </c:pt>
                <c:pt idx="33">
                  <c:v>83.408144437200505</c:v>
                </c:pt>
                <c:pt idx="34">
                  <c:v>86.317228331794553</c:v>
                </c:pt>
                <c:pt idx="35">
                  <c:v>89.26251494459288</c:v>
                </c:pt>
                <c:pt idx="36">
                  <c:v>92.244359757717035</c:v>
                </c:pt>
                <c:pt idx="37">
                  <c:v>95.26312140055262</c:v>
                </c:pt>
                <c:pt idx="38">
                  <c:v>98.319161676058982</c:v>
                </c:pt>
                <c:pt idx="39">
                  <c:v>101.41284558729173</c:v>
                </c:pt>
                <c:pt idx="40">
                  <c:v>104.54454136413896</c:v>
                </c:pt>
                <c:pt idx="41">
                  <c:v>107.71462049027328</c:v>
                </c:pt>
                <c:pt idx="42">
                  <c:v>110.9234577303213</c:v>
                </c:pt>
                <c:pt idx="43">
                  <c:v>114.17143115725247</c:v>
                </c:pt>
                <c:pt idx="44">
                  <c:v>117.45892217998825</c:v>
                </c:pt>
                <c:pt idx="45">
                  <c:v>120.7863155712347</c:v>
                </c:pt>
                <c:pt idx="46">
                  <c:v>124.15399949553881</c:v>
                </c:pt>
                <c:pt idx="47">
                  <c:v>127.56236553757121</c:v>
                </c:pt>
                <c:pt idx="48">
                  <c:v>131.01180873063689</c:v>
                </c:pt>
                <c:pt idx="49">
                  <c:v>134.50272758541581</c:v>
                </c:pt>
                <c:pt idx="50">
                  <c:v>138.0355241189344</c:v>
                </c:pt>
                <c:pt idx="51">
                  <c:v>141.74705701596602</c:v>
                </c:pt>
                <c:pt idx="52">
                  <c:v>145.50946205804559</c:v>
                </c:pt>
                <c:pt idx="53">
                  <c:v>149.3233091161174</c:v>
                </c:pt>
                <c:pt idx="54">
                  <c:v>153.18917387821719</c:v>
                </c:pt>
                <c:pt idx="55">
                  <c:v>157.10763790581382</c:v>
                </c:pt>
                <c:pt idx="56">
                  <c:v>161.07928869068004</c:v>
                </c:pt>
                <c:pt idx="57">
                  <c:v>165.1047197122966</c:v>
                </c:pt>
                <c:pt idx="58">
                  <c:v>169.18453049579492</c:v>
                </c:pt>
                <c:pt idx="59">
                  <c:v>173.31932667044234</c:v>
                </c:pt>
                <c:pt idx="60">
                  <c:v>177.50972002867681</c:v>
                </c:pt>
                <c:pt idx="61">
                  <c:v>181.75632858569392</c:v>
                </c:pt>
                <c:pt idx="62">
                  <c:v>186.05977663959303</c:v>
                </c:pt>
                <c:pt idx="63">
                  <c:v>190.42069483208684</c:v>
                </c:pt>
                <c:pt idx="64">
                  <c:v>194.83972020977899</c:v>
                </c:pt>
                <c:pt idx="65">
                  <c:v>199.31749628601759</c:v>
                </c:pt>
                <c:pt idx="66">
                  <c:v>203.85467310332564</c:v>
                </c:pt>
                <c:pt idx="67">
                  <c:v>208.45190729641803</c:v>
                </c:pt>
                <c:pt idx="68">
                  <c:v>213.10986215580795</c:v>
                </c:pt>
                <c:pt idx="69">
                  <c:v>217.82920769200754</c:v>
                </c:pt>
                <c:pt idx="70">
                  <c:v>222.61062070033216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/>
        <c:axId val="112011520"/>
        <c:axId val="112017792"/>
      </c:scatterChart>
      <c:valAx>
        <c:axId val="11201152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017792"/>
        <c:crosses val="autoZero"/>
        <c:crossBetween val="midCat"/>
      </c:valAx>
      <c:valAx>
        <c:axId val="112017792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Mean borer attack depth 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011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787089423228034"/>
          <c:y val="0.21861011549183595"/>
          <c:w val="0.29826586212023687"/>
          <c:h val="0.33125435862745184"/>
        </c:manualLayout>
      </c:layout>
      <c:overlay val="1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lang="en-AU"/>
            </a:pPr>
            <a:r>
              <a:rPr lang="en-AU"/>
              <a:t>A1B</a:t>
            </a:r>
          </a:p>
        </c:rich>
      </c:tx>
    </c:title>
    <c:plotArea>
      <c:layout/>
      <c:scatterChart>
        <c:scatterStyle val="smoothMarker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Mastersheet!$BE$298:$BE$368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21.614884264743885</c:v>
                </c:pt>
                <c:pt idx="9">
                  <c:v>23.801849447779691</c:v>
                </c:pt>
                <c:pt idx="10">
                  <c:v>25.994751539137475</c:v>
                </c:pt>
                <c:pt idx="11">
                  <c:v>28.206795764741386</c:v>
                </c:pt>
                <c:pt idx="12">
                  <c:v>30.430817828139588</c:v>
                </c:pt>
                <c:pt idx="13">
                  <c:v>32.666866522964106</c:v>
                </c:pt>
                <c:pt idx="14">
                  <c:v>34.914990819719506</c:v>
                </c:pt>
                <c:pt idx="15">
                  <c:v>37.175239866384587</c:v>
                </c:pt>
                <c:pt idx="16">
                  <c:v>39.447662989015853</c:v>
                </c:pt>
                <c:pt idx="17">
                  <c:v>41.732309692353141</c:v>
                </c:pt>
                <c:pt idx="18">
                  <c:v>44.029229660427148</c:v>
                </c:pt>
                <c:pt idx="19">
                  <c:v>46.338472757168958</c:v>
                </c:pt>
                <c:pt idx="20">
                  <c:v>48.660089027021598</c:v>
                </c:pt>
                <c:pt idx="21">
                  <c:v>50.994128695553435</c:v>
                </c:pt>
                <c:pt idx="22">
                  <c:v>53.340642170073821</c:v>
                </c:pt>
                <c:pt idx="23">
                  <c:v>55.699680040250534</c:v>
                </c:pt>
                <c:pt idx="24">
                  <c:v>58.071293078729504</c:v>
                </c:pt>
                <c:pt idx="25">
                  <c:v>60.455532241756096</c:v>
                </c:pt>
                <c:pt idx="26">
                  <c:v>62.852448669798939</c:v>
                </c:pt>
                <c:pt idx="27">
                  <c:v>65.262093688175469</c:v>
                </c:pt>
                <c:pt idx="28">
                  <c:v>67.684518807679794</c:v>
                </c:pt>
                <c:pt idx="29">
                  <c:v>70.119775725212065</c:v>
                </c:pt>
                <c:pt idx="30">
                  <c:v>72.567916324410604</c:v>
                </c:pt>
                <c:pt idx="31">
                  <c:v>75.032655023740006</c:v>
                </c:pt>
                <c:pt idx="32">
                  <c:v>77.510702511247075</c:v>
                </c:pt>
                <c:pt idx="33">
                  <c:v>80.002113800219291</c:v>
                </c:pt>
                <c:pt idx="34">
                  <c:v>82.506944107207957</c:v>
                </c:pt>
                <c:pt idx="35">
                  <c:v>85.025248852733938</c:v>
                </c:pt>
                <c:pt idx="36">
                  <c:v>87.557083661996117</c:v>
                </c:pt>
                <c:pt idx="37">
                  <c:v>90.102504365582291</c:v>
                </c:pt>
                <c:pt idx="38">
                  <c:v>92.66156700018216</c:v>
                </c:pt>
                <c:pt idx="39">
                  <c:v>95.234327809302883</c:v>
                </c:pt>
                <c:pt idx="40">
                  <c:v>97.820843243987028</c:v>
                </c:pt>
                <c:pt idx="41">
                  <c:v>100.42116996353271</c:v>
                </c:pt>
                <c:pt idx="42">
                  <c:v>103.03536483621653</c:v>
                </c:pt>
                <c:pt idx="43">
                  <c:v>105.66348494001838</c:v>
                </c:pt>
                <c:pt idx="44">
                  <c:v>108.30558756334929</c:v>
                </c:pt>
                <c:pt idx="45">
                  <c:v>110.96173020578129</c:v>
                </c:pt>
                <c:pt idx="46">
                  <c:v>113.63197057877979</c:v>
                </c:pt>
                <c:pt idx="47">
                  <c:v>116.31636660643834</c:v>
                </c:pt>
                <c:pt idx="48">
                  <c:v>119.01497642621619</c:v>
                </c:pt>
                <c:pt idx="49">
                  <c:v>121.72785838967769</c:v>
                </c:pt>
                <c:pt idx="50">
                  <c:v>124.45507106323497</c:v>
                </c:pt>
                <c:pt idx="51">
                  <c:v>127.18883513795211</c:v>
                </c:pt>
                <c:pt idx="52">
                  <c:v>129.9366508368723</c:v>
                </c:pt>
                <c:pt idx="53">
                  <c:v>132.69857428018267</c:v>
                </c:pt>
                <c:pt idx="54">
                  <c:v>135.47466178921155</c:v>
                </c:pt>
                <c:pt idx="55">
                  <c:v>138.26496988710761</c:v>
                </c:pt>
                <c:pt idx="56">
                  <c:v>141.06955529952057</c:v>
                </c:pt>
                <c:pt idx="57">
                  <c:v>143.88847495528466</c:v>
                </c:pt>
                <c:pt idx="58">
                  <c:v>146.7217859871038</c:v>
                </c:pt>
                <c:pt idx="59">
                  <c:v>149.56954573223982</c:v>
                </c:pt>
                <c:pt idx="60">
                  <c:v>152.4318117332019</c:v>
                </c:pt>
                <c:pt idx="61">
                  <c:v>155.30864173843904</c:v>
                </c:pt>
                <c:pt idx="62">
                  <c:v>158.20009370303438</c:v>
                </c:pt>
                <c:pt idx="63">
                  <c:v>161.10622578940175</c:v>
                </c:pt>
                <c:pt idx="64">
                  <c:v>164.02709636798505</c:v>
                </c:pt>
                <c:pt idx="65">
                  <c:v>166.96276401795913</c:v>
                </c:pt>
                <c:pt idx="66">
                  <c:v>169.91328752793297</c:v>
                </c:pt>
                <c:pt idx="67">
                  <c:v>172.87872589665625</c:v>
                </c:pt>
                <c:pt idx="68">
                  <c:v>175.85913833372689</c:v>
                </c:pt>
                <c:pt idx="69">
                  <c:v>178.85458426030146</c:v>
                </c:pt>
                <c:pt idx="70">
                  <c:v>181.86512330980779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21.648508481063153</c:v>
                </c:pt>
                <c:pt idx="9">
                  <c:v>23.862135952290991</c:v>
                </c:pt>
                <c:pt idx="10">
                  <c:v>26.084396606918016</c:v>
                </c:pt>
                <c:pt idx="11">
                  <c:v>28.334536816610051</c:v>
                </c:pt>
                <c:pt idx="12">
                  <c:v>30.602161131444802</c:v>
                </c:pt>
                <c:pt idx="13">
                  <c:v>32.887371894256738</c:v>
                </c:pt>
                <c:pt idx="14">
                  <c:v>35.190271981201938</c:v>
                </c:pt>
                <c:pt idx="15">
                  <c:v>37.510964804367049</c:v>
                </c:pt>
                <c:pt idx="16">
                  <c:v>39.84955431439046</c:v>
                </c:pt>
                <c:pt idx="17">
                  <c:v>42.206145003095827</c:v>
                </c:pt>
                <c:pt idx="18">
                  <c:v>44.580841906137977</c:v>
                </c:pt>
                <c:pt idx="19">
                  <c:v>46.973750605661323</c:v>
                </c:pt>
                <c:pt idx="20">
                  <c:v>49.384977232970719</c:v>
                </c:pt>
                <c:pt idx="21">
                  <c:v>51.814628471214782</c:v>
                </c:pt>
                <c:pt idx="22">
                  <c:v>54.262811558082092</c:v>
                </c:pt>
                <c:pt idx="23">
                  <c:v>56.729634288509736</c:v>
                </c:pt>
                <c:pt idx="24">
                  <c:v>59.215205017404848</c:v>
                </c:pt>
                <c:pt idx="25">
                  <c:v>61.719632662378913</c:v>
                </c:pt>
                <c:pt idx="26">
                  <c:v>64.243026706494618</c:v>
                </c:pt>
                <c:pt idx="27">
                  <c:v>66.785497201026075</c:v>
                </c:pt>
                <c:pt idx="28">
                  <c:v>69.347154768231604</c:v>
                </c:pt>
                <c:pt idx="29">
                  <c:v>71.928110604139931</c:v>
                </c:pt>
                <c:pt idx="30">
                  <c:v>74.528476481348918</c:v>
                </c:pt>
                <c:pt idx="31">
                  <c:v>77.159824989497253</c:v>
                </c:pt>
                <c:pt idx="32">
                  <c:v>79.811842479699848</c:v>
                </c:pt>
                <c:pt idx="33">
                  <c:v>82.484654351540641</c:v>
                </c:pt>
                <c:pt idx="34">
                  <c:v>85.178386686366963</c:v>
                </c:pt>
                <c:pt idx="35">
                  <c:v>87.893166250778407</c:v>
                </c:pt>
                <c:pt idx="36">
                  <c:v>90.629120500133212</c:v>
                </c:pt>
                <c:pt idx="37">
                  <c:v>93.386377582071717</c:v>
                </c:pt>
                <c:pt idx="38">
                  <c:v>96.165066340057137</c:v>
                </c:pt>
                <c:pt idx="39">
                  <c:v>98.965316316934164</c:v>
                </c:pt>
                <c:pt idx="40">
                  <c:v>101.78725775850432</c:v>
                </c:pt>
                <c:pt idx="41">
                  <c:v>104.63102161712007</c:v>
                </c:pt>
                <c:pt idx="42">
                  <c:v>107.49673955529543</c:v>
                </c:pt>
                <c:pt idx="43">
                  <c:v>110.38454394933522</c:v>
                </c:pt>
                <c:pt idx="44">
                  <c:v>113.29456789298177</c:v>
                </c:pt>
                <c:pt idx="45">
                  <c:v>116.22694520107993</c:v>
                </c:pt>
                <c:pt idx="46">
                  <c:v>119.1818104132595</c:v>
                </c:pt>
                <c:pt idx="47">
                  <c:v>122.15929879763658</c:v>
                </c:pt>
                <c:pt idx="48">
                  <c:v>125.15954635453252</c:v>
                </c:pt>
                <c:pt idx="49">
                  <c:v>128.18268982021141</c:v>
                </c:pt>
                <c:pt idx="50">
                  <c:v>131.22886667063622</c:v>
                </c:pt>
                <c:pt idx="51">
                  <c:v>134.29067424991069</c:v>
                </c:pt>
                <c:pt idx="52">
                  <c:v>137.37539015057644</c:v>
                </c:pt>
                <c:pt idx="53">
                  <c:v>140.48314954847459</c:v>
                </c:pt>
                <c:pt idx="54">
                  <c:v>143.6140883383319</c:v>
                </c:pt>
                <c:pt idx="55">
                  <c:v>146.76834313736913</c:v>
                </c:pt>
                <c:pt idx="56">
                  <c:v>149.94605128892533</c:v>
                </c:pt>
                <c:pt idx="57">
                  <c:v>153.14735086610062</c:v>
                </c:pt>
                <c:pt idx="58">
                  <c:v>156.37238067541659</c:v>
                </c:pt>
                <c:pt idx="59">
                  <c:v>159.6212802604939</c:v>
                </c:pt>
                <c:pt idx="60">
                  <c:v>162.89418990574808</c:v>
                </c:pt>
                <c:pt idx="61">
                  <c:v>166.19125064010268</c:v>
                </c:pt>
                <c:pt idx="62">
                  <c:v>169.51260424072149</c:v>
                </c:pt>
                <c:pt idx="63">
                  <c:v>172.85839323675762</c:v>
                </c:pt>
                <c:pt idx="64">
                  <c:v>176.22876091312125</c:v>
                </c:pt>
                <c:pt idx="65">
                  <c:v>179.62385131426535</c:v>
                </c:pt>
                <c:pt idx="66">
                  <c:v>183.04380924799045</c:v>
                </c:pt>
                <c:pt idx="67">
                  <c:v>186.48878028926654</c:v>
                </c:pt>
                <c:pt idx="68">
                  <c:v>189.9589107840747</c:v>
                </c:pt>
                <c:pt idx="69">
                  <c:v>193.45434785326646</c:v>
                </c:pt>
                <c:pt idx="70">
                  <c:v>196.97523939644202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21.658431211386997</c:v>
                </c:pt>
                <c:pt idx="9">
                  <c:v>23.879919640290829</c:v>
                </c:pt>
                <c:pt idx="10">
                  <c:v>26.110842037086641</c:v>
                </c:pt>
                <c:pt idx="11">
                  <c:v>28.372244092360354</c:v>
                </c:pt>
                <c:pt idx="12">
                  <c:v>30.652773318074743</c:v>
                </c:pt>
                <c:pt idx="13">
                  <c:v>32.9525516336913</c:v>
                </c:pt>
                <c:pt idx="14">
                  <c:v>35.271701650619264</c:v>
                </c:pt>
                <c:pt idx="15">
                  <c:v>37.610346675902512</c:v>
                </c:pt>
                <c:pt idx="16">
                  <c:v>39.96861071592555</c:v>
                </c:pt>
                <c:pt idx="17">
                  <c:v>42.346618480138162</c:v>
                </c:pt>
                <c:pt idx="18">
                  <c:v>44.744495384799471</c:v>
                </c:pt>
                <c:pt idx="19">
                  <c:v>47.162367556740946</c:v>
                </c:pt>
                <c:pt idx="20">
                  <c:v>49.600361837148832</c:v>
                </c:pt>
                <c:pt idx="21">
                  <c:v>52.05860578536592</c:v>
                </c:pt>
                <c:pt idx="22">
                  <c:v>54.537227682712661</c:v>
                </c:pt>
                <c:pt idx="23">
                  <c:v>57.036356536328107</c:v>
                </c:pt>
                <c:pt idx="24">
                  <c:v>59.556122083030303</c:v>
                </c:pt>
                <c:pt idx="25">
                  <c:v>62.096654793196414</c:v>
                </c:pt>
                <c:pt idx="26">
                  <c:v>64.658085874662987</c:v>
                </c:pt>
                <c:pt idx="27">
                  <c:v>67.240547276645771</c:v>
                </c:pt>
                <c:pt idx="28">
                  <c:v>69.844171693680181</c:v>
                </c:pt>
                <c:pt idx="29">
                  <c:v>72.469092569581136</c:v>
                </c:pt>
                <c:pt idx="30">
                  <c:v>75.115444101423833</c:v>
                </c:pt>
                <c:pt idx="31">
                  <c:v>77.797522853866752</c:v>
                </c:pt>
                <c:pt idx="32">
                  <c:v>80.502591127252344</c:v>
                </c:pt>
                <c:pt idx="33">
                  <c:v>83.230801514735845</c:v>
                </c:pt>
                <c:pt idx="34">
                  <c:v>85.982307517754592</c:v>
                </c:pt>
                <c:pt idx="35">
                  <c:v>88.757263551119024</c:v>
                </c:pt>
                <c:pt idx="36">
                  <c:v>91.555824948131146</c:v>
                </c:pt>
                <c:pt idx="37">
                  <c:v>94.378147965730861</c:v>
                </c:pt>
                <c:pt idx="38">
                  <c:v>97.224389789669928</c:v>
                </c:pt>
                <c:pt idx="39">
                  <c:v>100.09470853971365</c:v>
                </c:pt>
                <c:pt idx="40">
                  <c:v>102.98926327487113</c:v>
                </c:pt>
                <c:pt idx="41">
                  <c:v>105.90821399865332</c:v>
                </c:pt>
                <c:pt idx="42">
                  <c:v>108.8517216643596</c:v>
                </c:pt>
                <c:pt idx="43">
                  <c:v>111.81994818039293</c:v>
                </c:pt>
                <c:pt idx="44">
                  <c:v>114.81305641560382</c:v>
                </c:pt>
                <c:pt idx="45">
                  <c:v>117.8312102046625</c:v>
                </c:pt>
                <c:pt idx="46">
                  <c:v>120.87457435346087</c:v>
                </c:pt>
                <c:pt idx="47">
                  <c:v>123.94331464454328</c:v>
                </c:pt>
                <c:pt idx="48">
                  <c:v>127.03759784256627</c:v>
                </c:pt>
                <c:pt idx="49">
                  <c:v>130.1575916997881</c:v>
                </c:pt>
                <c:pt idx="50">
                  <c:v>133.30346496158796</c:v>
                </c:pt>
                <c:pt idx="51">
                  <c:v>136.45233671192307</c:v>
                </c:pt>
                <c:pt idx="52">
                  <c:v>139.62618339967668</c:v>
                </c:pt>
                <c:pt idx="53">
                  <c:v>142.82516168092945</c:v>
                </c:pt>
                <c:pt idx="54">
                  <c:v>146.0494290981074</c:v>
                </c:pt>
                <c:pt idx="55">
                  <c:v>149.29914408471561</c:v>
                </c:pt>
                <c:pt idx="56">
                  <c:v>152.57446597009672</c:v>
                </c:pt>
                <c:pt idx="57">
                  <c:v>155.87555498421415</c:v>
                </c:pt>
                <c:pt idx="58">
                  <c:v>159.20257226245926</c:v>
                </c:pt>
                <c:pt idx="59">
                  <c:v>162.55567985048381</c:v>
                </c:pt>
                <c:pt idx="60">
                  <c:v>165.93504070905726</c:v>
                </c:pt>
                <c:pt idx="61">
                  <c:v>169.34081871894855</c:v>
                </c:pt>
                <c:pt idx="62">
                  <c:v>172.7731786858343</c:v>
                </c:pt>
                <c:pt idx="63">
                  <c:v>176.23228634523056</c:v>
                </c:pt>
                <c:pt idx="64">
                  <c:v>179.71830836745113</c:v>
                </c:pt>
                <c:pt idx="65">
                  <c:v>183.23141236259153</c:v>
                </c:pt>
                <c:pt idx="66">
                  <c:v>186.77176688553752</c:v>
                </c:pt>
                <c:pt idx="67">
                  <c:v>190.33954144100025</c:v>
                </c:pt>
                <c:pt idx="68">
                  <c:v>193.93490648857778</c:v>
                </c:pt>
                <c:pt idx="69">
                  <c:v>197.55803344784096</c:v>
                </c:pt>
                <c:pt idx="70">
                  <c:v>201.20909470344751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/>
        <c:axId val="112103808"/>
        <c:axId val="112105728"/>
      </c:scatterChart>
      <c:valAx>
        <c:axId val="11210380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105728"/>
        <c:crosses val="autoZero"/>
        <c:crossBetween val="midCat"/>
      </c:valAx>
      <c:valAx>
        <c:axId val="112105728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10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785380323746667"/>
          <c:y val="0.22704101951413783"/>
          <c:w val="0.29577137797464792"/>
          <c:h val="0.31017694077378355"/>
        </c:manualLayout>
      </c:layout>
      <c:overlay val="1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Mastersheet!$BG$82:$BG$152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0.21610856313015619</c:v>
                </c:pt>
                <c:pt idx="9">
                  <c:v>0.23794624980015694</c:v>
                </c:pt>
                <c:pt idx="10">
                  <c:v>0.25984009364306737</c:v>
                </c:pt>
                <c:pt idx="11">
                  <c:v>0.28191496840575214</c:v>
                </c:pt>
                <c:pt idx="12">
                  <c:v>0.30410308935949865</c:v>
                </c:pt>
                <c:pt idx="13">
                  <c:v>0.32640489350169216</c:v>
                </c:pt>
                <c:pt idx="14">
                  <c:v>0.34882081933016951</c:v>
                </c:pt>
                <c:pt idx="15">
                  <c:v>0.37135130684805273</c:v>
                </c:pt>
                <c:pt idx="16">
                  <c:v>0.3939967975685989</c:v>
                </c:pt>
                <c:pt idx="17">
                  <c:v>0.41675773452006309</c:v>
                </c:pt>
                <c:pt idx="18">
                  <c:v>0.43963456225057856</c:v>
                </c:pt>
                <c:pt idx="19">
                  <c:v>0.46262772683304976</c:v>
                </c:pt>
                <c:pt idx="20">
                  <c:v>0.48573767587006261</c:v>
                </c:pt>
                <c:pt idx="21">
                  <c:v>0.50896485849880846</c:v>
                </c:pt>
                <c:pt idx="22">
                  <c:v>0.53230972539602439</c:v>
                </c:pt>
                <c:pt idx="23">
                  <c:v>0.55577272878294748</c:v>
                </c:pt>
                <c:pt idx="24">
                  <c:v>0.57935432243028517</c:v>
                </c:pt>
                <c:pt idx="25">
                  <c:v>0.60305496166320216</c:v>
                </c:pt>
                <c:pt idx="26">
                  <c:v>0.6268751033663208</c:v>
                </c:pt>
                <c:pt idx="27">
                  <c:v>0.6508152059887371</c:v>
                </c:pt>
                <c:pt idx="28">
                  <c:v>0.67487572954905373</c:v>
                </c:pt>
                <c:pt idx="29">
                  <c:v>0.6990571356404286</c:v>
                </c:pt>
                <c:pt idx="30">
                  <c:v>0.72335988743563606</c:v>
                </c:pt>
                <c:pt idx="31">
                  <c:v>0.74867768777738786</c:v>
                </c:pt>
                <c:pt idx="32">
                  <c:v>0.77419717777798569</c:v>
                </c:pt>
                <c:pt idx="33">
                  <c:v>0.79991959891957554</c:v>
                </c:pt>
                <c:pt idx="34">
                  <c:v>0.82584619953281702</c:v>
                </c:pt>
                <c:pt idx="35">
                  <c:v>0.85197823483244439</c:v>
                </c:pt>
                <c:pt idx="36">
                  <c:v>0.87831696695300709</c:v>
                </c:pt>
                <c:pt idx="37">
                  <c:v>0.90486366498479009</c:v>
                </c:pt>
                <c:pt idx="38">
                  <c:v>0.93161960500991103</c:v>
                </c:pt>
                <c:pt idx="39">
                  <c:v>0.95858607013859998</c:v>
                </c:pt>
                <c:pt idx="40">
                  <c:v>0.98576435054566147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12156672"/>
        <c:axId val="112158592"/>
      </c:scatterChart>
      <c:valAx>
        <c:axId val="11215667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158592"/>
        <c:crosses val="autoZero"/>
        <c:crossBetween val="midCat"/>
      </c:valAx>
      <c:valAx>
        <c:axId val="11215859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15667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Mastersheet!$B$153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Mastersheet!$BG$154:$BG$224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0.21644797868739499</c:v>
                </c:pt>
                <c:pt idx="9">
                  <c:v>0.23855484880462424</c:v>
                </c:pt>
                <c:pt idx="10">
                  <c:v>0.26074506214918264</c:v>
                </c:pt>
                <c:pt idx="11">
                  <c:v>0.28320437316297281</c:v>
                </c:pt>
                <c:pt idx="12">
                  <c:v>0.3058324021319091</c:v>
                </c:pt>
                <c:pt idx="13">
                  <c:v>0.32863010370315476</c:v>
                </c:pt>
                <c:pt idx="14">
                  <c:v>0.35159843733248425</c:v>
                </c:pt>
                <c:pt idx="15">
                  <c:v>0.37473836730701859</c:v>
                </c:pt>
                <c:pt idx="16">
                  <c:v>0.39805086276806551</c:v>
                </c:pt>
                <c:pt idx="17">
                  <c:v>0.42153689773406272</c:v>
                </c:pt>
                <c:pt idx="18">
                  <c:v>0.4451974511236253</c:v>
                </c:pt>
                <c:pt idx="19">
                  <c:v>0.46903350677869909</c:v>
                </c:pt>
                <c:pt idx="20">
                  <c:v>0.49304605348781716</c:v>
                </c:pt>
                <c:pt idx="21">
                  <c:v>0.51723608500946394</c:v>
                </c:pt>
                <c:pt idx="22">
                  <c:v>0.5416046000955449</c:v>
                </c:pt>
                <c:pt idx="23">
                  <c:v>0.56615260251496269</c:v>
                </c:pt>
                <c:pt idx="24">
                  <c:v>0.59088110107729941</c:v>
                </c:pt>
                <c:pt idx="25">
                  <c:v>0.61579110965660933</c:v>
                </c:pt>
                <c:pt idx="26">
                  <c:v>0.64088364721531632</c:v>
                </c:pt>
                <c:pt idx="27">
                  <c:v>0.6661597378282218</c:v>
                </c:pt>
                <c:pt idx="28">
                  <c:v>0.69162041070662184</c:v>
                </c:pt>
                <c:pt idx="29">
                  <c:v>0.71726670022253136</c:v>
                </c:pt>
                <c:pt idx="30">
                  <c:v>0.74309964593302258</c:v>
                </c:pt>
                <c:pt idx="31">
                  <c:v>0.77052951329906705</c:v>
                </c:pt>
                <c:pt idx="32">
                  <c:v>0.79827817188716244</c:v>
                </c:pt>
                <c:pt idx="33">
                  <c:v>0.82634852128824721</c:v>
                </c:pt>
                <c:pt idx="34">
                  <c:v>0.8547434848169877</c:v>
                </c:pt>
                <c:pt idx="35">
                  <c:v>0.88346600969484723</c:v>
                </c:pt>
                <c:pt idx="36">
                  <c:v>0.91251906723451626</c:v>
                </c:pt>
                <c:pt idx="37">
                  <c:v>0.94190565302571827</c:v>
                </c:pt>
                <c:pt idx="38">
                  <c:v>0.97162878712239886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12176128"/>
        <c:axId val="112190592"/>
      </c:scatterChart>
      <c:valAx>
        <c:axId val="11217612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190592"/>
        <c:crosses val="autoZero"/>
        <c:crossBetween val="midCat"/>
      </c:valAx>
      <c:valAx>
        <c:axId val="112190592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17612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Mastersheet!$BG$226:$BG$296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0.21654705447761796</c:v>
                </c:pt>
                <c:pt idx="9">
                  <c:v>0.23873242649687143</c:v>
                </c:pt>
                <c:pt idx="10">
                  <c:v>0.26100912872529336</c:v>
                </c:pt>
                <c:pt idx="11">
                  <c:v>0.28358085323359555</c:v>
                </c:pt>
                <c:pt idx="12">
                  <c:v>0.30633767045619709</c:v>
                </c:pt>
                <c:pt idx="13">
                  <c:v>0.32928072406081232</c:v>
                </c:pt>
                <c:pt idx="14">
                  <c:v>0.35241116400682343</c:v>
                </c:pt>
                <c:pt idx="15">
                  <c:v>0.37573014657777321</c:v>
                </c:pt>
                <c:pt idx="16">
                  <c:v>0.39923883441402225</c:v>
                </c:pt>
                <c:pt idx="17">
                  <c:v>0.42293839654556548</c:v>
                </c:pt>
                <c:pt idx="18">
                  <c:v>0.44683000842501358</c:v>
                </c:pt>
                <c:pt idx="19">
                  <c:v>0.47091485196073718</c:v>
                </c:pt>
                <c:pt idx="20">
                  <c:v>0.4951941155501759</c:v>
                </c:pt>
                <c:pt idx="21">
                  <c:v>0.51966899411331302</c:v>
                </c:pt>
                <c:pt idx="22">
                  <c:v>0.54434068912631584</c:v>
                </c:pt>
                <c:pt idx="23">
                  <c:v>0.56921040865534378</c:v>
                </c:pt>
                <c:pt idx="24">
                  <c:v>0.59427936739052323</c:v>
                </c:pt>
                <c:pt idx="25">
                  <c:v>0.61954878668009172</c:v>
                </c:pt>
                <c:pt idx="26">
                  <c:v>0.64501989456471021</c:v>
                </c:pt>
                <c:pt idx="27">
                  <c:v>0.67069392581194909</c:v>
                </c:pt>
                <c:pt idx="28">
                  <c:v>0.69657212195094043</c:v>
                </c:pt>
                <c:pt idx="29">
                  <c:v>0.72265573130720551</c:v>
                </c:pt>
                <c:pt idx="30">
                  <c:v>0.74894600903765451</c:v>
                </c:pt>
                <c:pt idx="31">
                  <c:v>0.77697178454072313</c:v>
                </c:pt>
                <c:pt idx="32">
                  <c:v>0.80534910899853829</c:v>
                </c:pt>
                <c:pt idx="33">
                  <c:v>0.83408144437200504</c:v>
                </c:pt>
                <c:pt idx="34">
                  <c:v>0.86317228331794549</c:v>
                </c:pt>
                <c:pt idx="35">
                  <c:v>0.89262514944592874</c:v>
                </c:pt>
                <c:pt idx="36">
                  <c:v>0.92244359757717032</c:v>
                </c:pt>
                <c:pt idx="37">
                  <c:v>0.95263121400552619</c:v>
                </c:pt>
                <c:pt idx="38">
                  <c:v>0.98319161676058986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12298240"/>
        <c:axId val="112308608"/>
      </c:scatterChart>
      <c:valAx>
        <c:axId val="112298240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308608"/>
        <c:crosses val="autoZero"/>
        <c:crossBetween val="midCat"/>
      </c:valAx>
      <c:valAx>
        <c:axId val="11230860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Probability of borer</a:t>
                </a:r>
                <a:r>
                  <a:rPr lang="en-US" baseline="0"/>
                  <a:t> attack until replacement</a:t>
                </a:r>
                <a:r>
                  <a:rPr lang="en-US"/>
                  <a:t> 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298240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Mastersheet!$BG$298:$BG$368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0.21614884264743886</c:v>
                </c:pt>
                <c:pt idx="9">
                  <c:v>0.23801849447779691</c:v>
                </c:pt>
                <c:pt idx="10">
                  <c:v>0.25994751539137473</c:v>
                </c:pt>
                <c:pt idx="11">
                  <c:v>0.28206795764741388</c:v>
                </c:pt>
                <c:pt idx="12">
                  <c:v>0.30430817828139589</c:v>
                </c:pt>
                <c:pt idx="13">
                  <c:v>0.32666866522964105</c:v>
                </c:pt>
                <c:pt idx="14">
                  <c:v>0.34914990819719505</c:v>
                </c:pt>
                <c:pt idx="15">
                  <c:v>0.37175239866384585</c:v>
                </c:pt>
                <c:pt idx="16">
                  <c:v>0.39447662989015853</c:v>
                </c:pt>
                <c:pt idx="17">
                  <c:v>0.41732309692353142</c:v>
                </c:pt>
                <c:pt idx="18">
                  <c:v>0.44029229660427149</c:v>
                </c:pt>
                <c:pt idx="19">
                  <c:v>0.46338472757168958</c:v>
                </c:pt>
                <c:pt idx="20">
                  <c:v>0.48660089027021597</c:v>
                </c:pt>
                <c:pt idx="21">
                  <c:v>0.50994128695553431</c:v>
                </c:pt>
                <c:pt idx="22">
                  <c:v>0.53340642170073815</c:v>
                </c:pt>
                <c:pt idx="23">
                  <c:v>0.55699680040250532</c:v>
                </c:pt>
                <c:pt idx="24">
                  <c:v>0.58071293078729502</c:v>
                </c:pt>
                <c:pt idx="25">
                  <c:v>0.60455532241756094</c:v>
                </c:pt>
                <c:pt idx="26">
                  <c:v>0.62852448669798944</c:v>
                </c:pt>
                <c:pt idx="27">
                  <c:v>0.65262093688175471</c:v>
                </c:pt>
                <c:pt idx="28">
                  <c:v>0.67684518807679794</c:v>
                </c:pt>
                <c:pt idx="29">
                  <c:v>0.70119775725212063</c:v>
                </c:pt>
                <c:pt idx="30">
                  <c:v>0.72567916324410608</c:v>
                </c:pt>
                <c:pt idx="31">
                  <c:v>0.75032655023740003</c:v>
                </c:pt>
                <c:pt idx="32">
                  <c:v>0.77510702511247076</c:v>
                </c:pt>
                <c:pt idx="33">
                  <c:v>0.80002113800219288</c:v>
                </c:pt>
                <c:pt idx="34">
                  <c:v>0.82506944107207958</c:v>
                </c:pt>
                <c:pt idx="35">
                  <c:v>0.85025248852733937</c:v>
                </c:pt>
                <c:pt idx="36">
                  <c:v>0.87557083661996116</c:v>
                </c:pt>
                <c:pt idx="37">
                  <c:v>0.90102504365582292</c:v>
                </c:pt>
                <c:pt idx="38">
                  <c:v>0.92661567000182155</c:v>
                </c:pt>
                <c:pt idx="39">
                  <c:v>0.95234327809302888</c:v>
                </c:pt>
                <c:pt idx="40">
                  <c:v>0.97820843243987032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12346624"/>
        <c:axId val="112348544"/>
      </c:scatterChart>
      <c:valAx>
        <c:axId val="11234662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348544"/>
        <c:crosses val="autoZero"/>
        <c:crossBetween val="midCat"/>
      </c:valAx>
      <c:valAx>
        <c:axId val="11234854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34662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Mastersheet!$BG$370:$BG$440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0.21648508481063153</c:v>
                </c:pt>
                <c:pt idx="9">
                  <c:v>0.23862135952290991</c:v>
                </c:pt>
                <c:pt idx="10">
                  <c:v>0.26084396606918014</c:v>
                </c:pt>
                <c:pt idx="11">
                  <c:v>0.28334536816610051</c:v>
                </c:pt>
                <c:pt idx="12">
                  <c:v>0.30602161131444805</c:v>
                </c:pt>
                <c:pt idx="13">
                  <c:v>0.32887371894256739</c:v>
                </c:pt>
                <c:pt idx="14">
                  <c:v>0.35190271981201937</c:v>
                </c:pt>
                <c:pt idx="15">
                  <c:v>0.37510964804367047</c:v>
                </c:pt>
                <c:pt idx="16">
                  <c:v>0.39849554314390462</c:v>
                </c:pt>
                <c:pt idx="17">
                  <c:v>0.4220614500309583</c:v>
                </c:pt>
                <c:pt idx="18">
                  <c:v>0.44580841906137975</c:v>
                </c:pt>
                <c:pt idx="19">
                  <c:v>0.46973750605661324</c:v>
                </c:pt>
                <c:pt idx="20">
                  <c:v>0.49384977232970717</c:v>
                </c:pt>
                <c:pt idx="21">
                  <c:v>0.51814628471214785</c:v>
                </c:pt>
                <c:pt idx="22">
                  <c:v>0.54262811558082091</c:v>
                </c:pt>
                <c:pt idx="23">
                  <c:v>0.56729634288509734</c:v>
                </c:pt>
                <c:pt idx="24">
                  <c:v>0.59215205017404848</c:v>
                </c:pt>
                <c:pt idx="25">
                  <c:v>0.61719632662378909</c:v>
                </c:pt>
                <c:pt idx="26">
                  <c:v>0.64243026706494621</c:v>
                </c:pt>
                <c:pt idx="27">
                  <c:v>0.66785497201026078</c:v>
                </c:pt>
                <c:pt idx="28">
                  <c:v>0.693471547682316</c:v>
                </c:pt>
                <c:pt idx="29">
                  <c:v>0.71928110604139928</c:v>
                </c:pt>
                <c:pt idx="30">
                  <c:v>0.74528476481348915</c:v>
                </c:pt>
                <c:pt idx="31">
                  <c:v>0.7715982498949725</c:v>
                </c:pt>
                <c:pt idx="32">
                  <c:v>0.79811842479699846</c:v>
                </c:pt>
                <c:pt idx="33">
                  <c:v>0.82484654351540643</c:v>
                </c:pt>
                <c:pt idx="34">
                  <c:v>0.85178386686366958</c:v>
                </c:pt>
                <c:pt idx="35">
                  <c:v>0.87893166250778409</c:v>
                </c:pt>
                <c:pt idx="36">
                  <c:v>0.90629120500133209</c:v>
                </c:pt>
                <c:pt idx="37">
                  <c:v>0.93386377582071711</c:v>
                </c:pt>
                <c:pt idx="38">
                  <c:v>0.96165066340057137</c:v>
                </c:pt>
                <c:pt idx="39">
                  <c:v>0.9896531631693416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12460544"/>
        <c:axId val="112462464"/>
      </c:scatterChart>
      <c:valAx>
        <c:axId val="112460544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462464"/>
        <c:crosses val="autoZero"/>
        <c:crossBetween val="midCat"/>
      </c:valAx>
      <c:valAx>
        <c:axId val="11246246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460544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Mastersheet!$BG$442:$BG$512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0.21658431211386997</c:v>
                </c:pt>
                <c:pt idx="9">
                  <c:v>0.23879919640290828</c:v>
                </c:pt>
                <c:pt idx="10">
                  <c:v>0.2611084203708664</c:v>
                </c:pt>
                <c:pt idx="11">
                  <c:v>0.28372244092360355</c:v>
                </c:pt>
                <c:pt idx="12">
                  <c:v>0.30652773318074744</c:v>
                </c:pt>
                <c:pt idx="13">
                  <c:v>0.32952551633691302</c:v>
                </c:pt>
                <c:pt idx="14">
                  <c:v>0.35271701650619264</c:v>
                </c:pt>
                <c:pt idx="15">
                  <c:v>0.37610346675902512</c:v>
                </c:pt>
                <c:pt idx="16">
                  <c:v>0.39968610715925551</c:v>
                </c:pt>
                <c:pt idx="17">
                  <c:v>0.4234661848013816</c:v>
                </c:pt>
                <c:pt idx="18">
                  <c:v>0.44744495384799471</c:v>
                </c:pt>
                <c:pt idx="19">
                  <c:v>0.47162367556740947</c:v>
                </c:pt>
                <c:pt idx="20">
                  <c:v>0.49600361837148832</c:v>
                </c:pt>
                <c:pt idx="21">
                  <c:v>0.52058605785365919</c:v>
                </c:pt>
                <c:pt idx="22">
                  <c:v>0.54537227682712663</c:v>
                </c:pt>
                <c:pt idx="23">
                  <c:v>0.57036356536328103</c:v>
                </c:pt>
                <c:pt idx="24">
                  <c:v>0.59556122083030305</c:v>
                </c:pt>
                <c:pt idx="25">
                  <c:v>0.62096654793196415</c:v>
                </c:pt>
                <c:pt idx="26">
                  <c:v>0.64658085874662985</c:v>
                </c:pt>
                <c:pt idx="27">
                  <c:v>0.67240547276645768</c:v>
                </c:pt>
                <c:pt idx="28">
                  <c:v>0.69844171693680179</c:v>
                </c:pt>
                <c:pt idx="29">
                  <c:v>0.72469092569581139</c:v>
                </c:pt>
                <c:pt idx="30">
                  <c:v>0.75115444101423834</c:v>
                </c:pt>
                <c:pt idx="31">
                  <c:v>0.77797522853866752</c:v>
                </c:pt>
                <c:pt idx="32">
                  <c:v>0.80502591127252343</c:v>
                </c:pt>
                <c:pt idx="33">
                  <c:v>0.83230801514735842</c:v>
                </c:pt>
                <c:pt idx="34">
                  <c:v>0.85982307517754597</c:v>
                </c:pt>
                <c:pt idx="35">
                  <c:v>0.88757263551119026</c:v>
                </c:pt>
                <c:pt idx="36">
                  <c:v>0.91555824948131148</c:v>
                </c:pt>
                <c:pt idx="37">
                  <c:v>0.94378147965730863</c:v>
                </c:pt>
                <c:pt idx="38">
                  <c:v>0.97224389789669929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Mastersheet!$BG$10:$BG$80</c:f>
              <c:numCache>
                <c:formatCode>0%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</c:v>
                </c:pt>
                <c:pt idx="7">
                  <c:v>0.2</c:v>
                </c:pt>
                <c:pt idx="8">
                  <c:v>0.21539614935226503</c:v>
                </c:pt>
                <c:pt idx="9">
                  <c:v>0.23666756673136941</c:v>
                </c:pt>
                <c:pt idx="10">
                  <c:v>0.25793898411047378</c:v>
                </c:pt>
                <c:pt idx="11">
                  <c:v>0.27921040148957815</c:v>
                </c:pt>
                <c:pt idx="12">
                  <c:v>0.30048181886868258</c:v>
                </c:pt>
                <c:pt idx="13">
                  <c:v>0.3217532362477869</c:v>
                </c:pt>
                <c:pt idx="14">
                  <c:v>0.34302465362689127</c:v>
                </c:pt>
                <c:pt idx="15">
                  <c:v>0.3642960710059957</c:v>
                </c:pt>
                <c:pt idx="16">
                  <c:v>0.38556748838510002</c:v>
                </c:pt>
                <c:pt idx="17">
                  <c:v>0.40683890576420439</c:v>
                </c:pt>
                <c:pt idx="18">
                  <c:v>0.42811032314330882</c:v>
                </c:pt>
                <c:pt idx="19">
                  <c:v>0.4493817405224132</c:v>
                </c:pt>
                <c:pt idx="20">
                  <c:v>0.47065315790151757</c:v>
                </c:pt>
                <c:pt idx="21">
                  <c:v>0.49192457528062195</c:v>
                </c:pt>
                <c:pt idx="22">
                  <c:v>0.51319599265972637</c:v>
                </c:pt>
                <c:pt idx="23">
                  <c:v>0.53446741003883069</c:v>
                </c:pt>
                <c:pt idx="24">
                  <c:v>0.55573882741793501</c:v>
                </c:pt>
                <c:pt idx="25">
                  <c:v>0.57701024479703944</c:v>
                </c:pt>
                <c:pt idx="26">
                  <c:v>0.59828166217614376</c:v>
                </c:pt>
                <c:pt idx="27">
                  <c:v>0.61955307955524819</c:v>
                </c:pt>
                <c:pt idx="28">
                  <c:v>0.64082449693435251</c:v>
                </c:pt>
                <c:pt idx="29">
                  <c:v>0.66209591431345705</c:v>
                </c:pt>
                <c:pt idx="30">
                  <c:v>0.68336733169256136</c:v>
                </c:pt>
                <c:pt idx="31">
                  <c:v>0.70463874907166568</c:v>
                </c:pt>
                <c:pt idx="32">
                  <c:v>0.72591016645077022</c:v>
                </c:pt>
                <c:pt idx="33">
                  <c:v>0.74718158382987443</c:v>
                </c:pt>
                <c:pt idx="34">
                  <c:v>0.76845300120897886</c:v>
                </c:pt>
                <c:pt idx="35">
                  <c:v>0.78972441858808329</c:v>
                </c:pt>
                <c:pt idx="36">
                  <c:v>0.81099583596718761</c:v>
                </c:pt>
                <c:pt idx="37">
                  <c:v>0.83226725334629204</c:v>
                </c:pt>
                <c:pt idx="38">
                  <c:v>0.85353867072539646</c:v>
                </c:pt>
                <c:pt idx="39">
                  <c:v>0.87481008810450078</c:v>
                </c:pt>
                <c:pt idx="40">
                  <c:v>0.8960815054836051</c:v>
                </c:pt>
                <c:pt idx="41">
                  <c:v>0.91735292286270953</c:v>
                </c:pt>
                <c:pt idx="42">
                  <c:v>0.93862434024181396</c:v>
                </c:pt>
                <c:pt idx="43">
                  <c:v>0.95989575762091828</c:v>
                </c:pt>
                <c:pt idx="44">
                  <c:v>0.98116717500002271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</c:numCache>
            </c:numRef>
          </c:yVal>
          <c:smooth val="1"/>
        </c:ser>
        <c:dLbls/>
        <c:axId val="112513408"/>
        <c:axId val="112515328"/>
      </c:scatterChart>
      <c:valAx>
        <c:axId val="11251340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515328"/>
        <c:crosses val="autoZero"/>
        <c:crossBetween val="midCat"/>
      </c:valAx>
      <c:valAx>
        <c:axId val="112515328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Probabilit</a:t>
                </a:r>
                <a:r>
                  <a:rPr lang="en-US" baseline="0"/>
                  <a:t>y of borer attack until replacement </a:t>
                </a:r>
                <a:r>
                  <a:rPr lang="en-US"/>
                  <a:t>(%)</a:t>
                </a:r>
              </a:p>
            </c:rich>
          </c:tx>
        </c:title>
        <c:numFmt formatCode="0%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51340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Mastersheet!$B$81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Mastersheet!$D$82:$D$152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Mastersheet!$BE$82:$BE$152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21.610856313015621</c:v>
                </c:pt>
                <c:pt idx="9">
                  <c:v>23.794624980015694</c:v>
                </c:pt>
                <c:pt idx="10">
                  <c:v>25.98400936430674</c:v>
                </c:pt>
                <c:pt idx="11">
                  <c:v>28.191496840575212</c:v>
                </c:pt>
                <c:pt idx="12">
                  <c:v>30.410308935949864</c:v>
                </c:pt>
                <c:pt idx="13">
                  <c:v>32.640489350169219</c:v>
                </c:pt>
                <c:pt idx="14">
                  <c:v>34.882081933016948</c:v>
                </c:pt>
                <c:pt idx="15">
                  <c:v>37.135130684805276</c:v>
                </c:pt>
                <c:pt idx="16">
                  <c:v>39.399679756859889</c:v>
                </c:pt>
                <c:pt idx="17">
                  <c:v>41.675773452006311</c:v>
                </c:pt>
                <c:pt idx="18">
                  <c:v>43.963456225057854</c:v>
                </c:pt>
                <c:pt idx="19">
                  <c:v>46.262772683304973</c:v>
                </c:pt>
                <c:pt idx="20">
                  <c:v>48.573767587006259</c:v>
                </c:pt>
                <c:pt idx="21">
                  <c:v>50.896485849880847</c:v>
                </c:pt>
                <c:pt idx="22">
                  <c:v>53.23097253960244</c:v>
                </c:pt>
                <c:pt idx="23">
                  <c:v>55.57727287829475</c:v>
                </c:pt>
                <c:pt idx="24">
                  <c:v>57.935432243028522</c:v>
                </c:pt>
                <c:pt idx="25">
                  <c:v>60.305496166320218</c:v>
                </c:pt>
                <c:pt idx="26">
                  <c:v>62.68751033663208</c:v>
                </c:pt>
                <c:pt idx="27">
                  <c:v>65.081520598873709</c:v>
                </c:pt>
                <c:pt idx="28">
                  <c:v>67.487572954905374</c:v>
                </c:pt>
                <c:pt idx="29">
                  <c:v>69.905713564042856</c:v>
                </c:pt>
                <c:pt idx="30">
                  <c:v>72.335988743563604</c:v>
                </c:pt>
                <c:pt idx="31">
                  <c:v>74.867768777738789</c:v>
                </c:pt>
                <c:pt idx="32">
                  <c:v>77.419717777798567</c:v>
                </c:pt>
                <c:pt idx="33">
                  <c:v>79.991959891957549</c:v>
                </c:pt>
                <c:pt idx="34">
                  <c:v>82.584619953281702</c:v>
                </c:pt>
                <c:pt idx="35">
                  <c:v>85.197823483244434</c:v>
                </c:pt>
                <c:pt idx="36">
                  <c:v>87.831696695300707</c:v>
                </c:pt>
                <c:pt idx="37">
                  <c:v>90.486366498479015</c:v>
                </c:pt>
                <c:pt idx="38">
                  <c:v>93.1619605009911</c:v>
                </c:pt>
                <c:pt idx="39">
                  <c:v>95.858607013859995</c:v>
                </c:pt>
                <c:pt idx="40">
                  <c:v>98.576435054566147</c:v>
                </c:pt>
                <c:pt idx="41">
                  <c:v>101.31557435071153</c:v>
                </c:pt>
                <c:pt idx="42">
                  <c:v>104.07615534370241</c:v>
                </c:pt>
                <c:pt idx="43">
                  <c:v>106.85830919245012</c:v>
                </c:pt>
                <c:pt idx="44">
                  <c:v>109.66216777709086</c:v>
                </c:pt>
                <c:pt idx="45">
                  <c:v>112.48786370272352</c:v>
                </c:pt>
                <c:pt idx="46">
                  <c:v>115.33553030316666</c:v>
                </c:pt>
                <c:pt idx="47">
                  <c:v>118.20530164473384</c:v>
                </c:pt>
                <c:pt idx="48">
                  <c:v>121.09731253002805</c:v>
                </c:pt>
                <c:pt idx="49">
                  <c:v>124.01169850175515</c:v>
                </c:pt>
                <c:pt idx="50">
                  <c:v>126.94859584655602</c:v>
                </c:pt>
                <c:pt idx="51">
                  <c:v>129.99427909383007</c:v>
                </c:pt>
                <c:pt idx="52">
                  <c:v>133.06743038867742</c:v>
                </c:pt>
                <c:pt idx="53">
                  <c:v>136.16824692530824</c:v>
                </c:pt>
                <c:pt idx="54">
                  <c:v>139.29692717731609</c:v>
                </c:pt>
                <c:pt idx="55">
                  <c:v>142.45367090552122</c:v>
                </c:pt>
                <c:pt idx="56">
                  <c:v>145.63867916585943</c:v>
                </c:pt>
                <c:pt idx="57">
                  <c:v>148.85215431731734</c:v>
                </c:pt>
                <c:pt idx="58">
                  <c:v>152.0943000299155</c:v>
                </c:pt>
                <c:pt idx="59">
                  <c:v>155.36532129273789</c:v>
                </c:pt>
                <c:pt idx="60">
                  <c:v>158.66542442200927</c:v>
                </c:pt>
                <c:pt idx="61">
                  <c:v>161.99481706922043</c:v>
                </c:pt>
                <c:pt idx="62">
                  <c:v>165.35370822930116</c:v>
                </c:pt>
                <c:pt idx="63">
                  <c:v>168.74230824884191</c:v>
                </c:pt>
                <c:pt idx="64">
                  <c:v>172.16082883436346</c:v>
                </c:pt>
                <c:pt idx="65">
                  <c:v>175.60948306063608</c:v>
                </c:pt>
                <c:pt idx="66">
                  <c:v>179.08848537904805</c:v>
                </c:pt>
                <c:pt idx="67">
                  <c:v>182.59805162602234</c:v>
                </c:pt>
                <c:pt idx="68">
                  <c:v>186.13839903148454</c:v>
                </c:pt>
                <c:pt idx="69">
                  <c:v>189.70974622737998</c:v>
                </c:pt>
                <c:pt idx="70">
                  <c:v>193.31231325624148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/>
        <c:axId val="112561536"/>
        <c:axId val="112580096"/>
      </c:scatterChart>
      <c:valAx>
        <c:axId val="112561536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580096"/>
        <c:crosses val="autoZero"/>
        <c:crossBetween val="midCat"/>
      </c:valAx>
      <c:valAx>
        <c:axId val="112580096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Mean borer attack depth 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561536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Mastersheet!$B$153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Mastersheet!$D$154:$D$224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Mastersheet!$BE$154:$BE$224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21.644797868739499</c:v>
                </c:pt>
                <c:pt idx="9">
                  <c:v>23.855484880462424</c:v>
                </c:pt>
                <c:pt idx="10">
                  <c:v>26.074506214918266</c:v>
                </c:pt>
                <c:pt idx="11">
                  <c:v>28.320437316297284</c:v>
                </c:pt>
                <c:pt idx="12">
                  <c:v>30.583240213190912</c:v>
                </c:pt>
                <c:pt idx="13">
                  <c:v>32.863010370315479</c:v>
                </c:pt>
                <c:pt idx="14">
                  <c:v>35.159843733248422</c:v>
                </c:pt>
                <c:pt idx="15">
                  <c:v>37.473836730701862</c:v>
                </c:pt>
                <c:pt idx="16">
                  <c:v>39.805086276806549</c:v>
                </c:pt>
                <c:pt idx="17">
                  <c:v>42.153689773406271</c:v>
                </c:pt>
                <c:pt idx="18">
                  <c:v>44.519745112362529</c:v>
                </c:pt>
                <c:pt idx="19">
                  <c:v>46.903350677869909</c:v>
                </c:pt>
                <c:pt idx="20">
                  <c:v>49.304605348781713</c:v>
                </c:pt>
                <c:pt idx="21">
                  <c:v>51.723608500946398</c:v>
                </c:pt>
                <c:pt idx="22">
                  <c:v>54.160460009554491</c:v>
                </c:pt>
                <c:pt idx="23">
                  <c:v>56.615260251496267</c:v>
                </c:pt>
                <c:pt idx="24">
                  <c:v>59.088110107729939</c:v>
                </c:pt>
                <c:pt idx="25">
                  <c:v>61.579110965660931</c:v>
                </c:pt>
                <c:pt idx="26">
                  <c:v>64.088364721531633</c:v>
                </c:pt>
                <c:pt idx="27">
                  <c:v>66.615973782822181</c:v>
                </c:pt>
                <c:pt idx="28">
                  <c:v>69.162041070662184</c:v>
                </c:pt>
                <c:pt idx="29">
                  <c:v>71.726670022253131</c:v>
                </c:pt>
                <c:pt idx="30">
                  <c:v>74.309964593302254</c:v>
                </c:pt>
                <c:pt idx="31">
                  <c:v>77.052951329906705</c:v>
                </c:pt>
                <c:pt idx="32">
                  <c:v>79.827817188716239</c:v>
                </c:pt>
                <c:pt idx="33">
                  <c:v>82.634852128824718</c:v>
                </c:pt>
                <c:pt idx="34">
                  <c:v>85.474348481698769</c:v>
                </c:pt>
                <c:pt idx="35">
                  <c:v>88.346600969484726</c:v>
                </c:pt>
                <c:pt idx="36">
                  <c:v>91.251906723451626</c:v>
                </c:pt>
                <c:pt idx="37">
                  <c:v>94.190565302571827</c:v>
                </c:pt>
                <c:pt idx="38">
                  <c:v>97.162878712239888</c:v>
                </c:pt>
                <c:pt idx="39">
                  <c:v>100.1691514231304</c:v>
                </c:pt>
                <c:pt idx="40">
                  <c:v>103.20969039019654</c:v>
                </c:pt>
                <c:pt idx="41">
                  <c:v>106.28480507180957</c:v>
                </c:pt>
                <c:pt idx="42">
                  <c:v>109.39480744904102</c:v>
                </c:pt>
                <c:pt idx="43">
                  <c:v>112.54001204508818</c:v>
                </c:pt>
                <c:pt idx="44">
                  <c:v>115.72073594484392</c:v>
                </c:pt>
                <c:pt idx="45">
                  <c:v>118.93729881461196</c:v>
                </c:pt>
                <c:pt idx="46">
                  <c:v>122.19002292196909</c:v>
                </c:pt>
                <c:pt idx="47">
                  <c:v>125.47923315577431</c:v>
                </c:pt>
                <c:pt idx="48">
                  <c:v>128.80525704632748</c:v>
                </c:pt>
                <c:pt idx="49">
                  <c:v>132.1684247856769</c:v>
                </c:pt>
                <c:pt idx="50">
                  <c:v>135.56906924807856</c:v>
                </c:pt>
                <c:pt idx="51">
                  <c:v>139.13320628774954</c:v>
                </c:pt>
                <c:pt idx="52">
                  <c:v>142.74288423245113</c:v>
                </c:pt>
                <c:pt idx="53">
                  <c:v>146.39857629557076</c:v>
                </c:pt>
                <c:pt idx="54">
                  <c:v>150.10076016395553</c:v>
                </c:pt>
                <c:pt idx="55">
                  <c:v>153.84991803800389</c:v>
                </c:pt>
                <c:pt idx="56">
                  <c:v>157.64653667210584</c:v>
                </c:pt>
                <c:pt idx="57">
                  <c:v>161.49110741543294</c:v>
                </c:pt>
                <c:pt idx="58">
                  <c:v>165.38412625308234</c:v>
                </c:pt>
                <c:pt idx="59">
                  <c:v>169.32609384757825</c:v>
                </c:pt>
                <c:pt idx="60">
                  <c:v>173.31751558073208</c:v>
                </c:pt>
                <c:pt idx="61">
                  <c:v>177.35890159586589</c:v>
                </c:pt>
                <c:pt idx="62">
                  <c:v>181.45076684040242</c:v>
                </c:pt>
                <c:pt idx="63">
                  <c:v>185.59363110882288</c:v>
                </c:pt>
                <c:pt idx="64">
                  <c:v>189.78801908599775</c:v>
                </c:pt>
                <c:pt idx="65">
                  <c:v>194.03446039089334</c:v>
                </c:pt>
                <c:pt idx="66">
                  <c:v>198.33348962065503</c:v>
                </c:pt>
                <c:pt idx="67">
                  <c:v>202.68564639507474</c:v>
                </c:pt>
                <c:pt idx="68">
                  <c:v>207.09147540144147</c:v>
                </c:pt>
                <c:pt idx="69">
                  <c:v>211.55152643978104</c:v>
                </c:pt>
                <c:pt idx="70">
                  <c:v>216.06635446848716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/>
        <c:axId val="112601728"/>
        <c:axId val="112624384"/>
      </c:scatterChart>
      <c:valAx>
        <c:axId val="11260172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624384"/>
        <c:crosses val="autoZero"/>
        <c:crossBetween val="midCat"/>
      </c:valAx>
      <c:valAx>
        <c:axId val="112624384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Mean borer attack depth 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60172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2"/>
          <c:order val="0"/>
          <c:tx>
            <c:strRef>
              <c:f>Mastersheet!$B$225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Mastersheet!$D$226:$D$296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Mastersheet!$BE$226:$BE$296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21.654705447761796</c:v>
                </c:pt>
                <c:pt idx="9">
                  <c:v>23.873242649687143</c:v>
                </c:pt>
                <c:pt idx="10">
                  <c:v>26.100912872529339</c:v>
                </c:pt>
                <c:pt idx="11">
                  <c:v>28.358085323359557</c:v>
                </c:pt>
                <c:pt idx="12">
                  <c:v>30.633767045619706</c:v>
                </c:pt>
                <c:pt idx="13">
                  <c:v>32.928072406081235</c:v>
                </c:pt>
                <c:pt idx="14">
                  <c:v>35.241116400682344</c:v>
                </c:pt>
                <c:pt idx="15">
                  <c:v>37.573014657777321</c:v>
                </c:pt>
                <c:pt idx="16">
                  <c:v>39.923883441402225</c:v>
                </c:pt>
                <c:pt idx="17">
                  <c:v>42.29383965455655</c:v>
                </c:pt>
                <c:pt idx="18">
                  <c:v>44.683000842501357</c:v>
                </c:pt>
                <c:pt idx="19">
                  <c:v>47.09148519607372</c:v>
                </c:pt>
                <c:pt idx="20">
                  <c:v>49.519411555017591</c:v>
                </c:pt>
                <c:pt idx="21">
                  <c:v>51.966899411331298</c:v>
                </c:pt>
                <c:pt idx="22">
                  <c:v>54.434068912631581</c:v>
                </c:pt>
                <c:pt idx="23">
                  <c:v>56.92104086553438</c:v>
                </c:pt>
                <c:pt idx="24">
                  <c:v>59.427936739052328</c:v>
                </c:pt>
                <c:pt idx="25">
                  <c:v>61.954878668009172</c:v>
                </c:pt>
                <c:pt idx="26">
                  <c:v>64.501989456471023</c:v>
                </c:pt>
                <c:pt idx="27">
                  <c:v>67.069392581194904</c:v>
                </c:pt>
                <c:pt idx="28">
                  <c:v>69.657212195094047</c:v>
                </c:pt>
                <c:pt idx="29">
                  <c:v>72.265573130720554</c:v>
                </c:pt>
                <c:pt idx="30">
                  <c:v>74.894600903765451</c:v>
                </c:pt>
                <c:pt idx="31">
                  <c:v>77.697178454072315</c:v>
                </c:pt>
                <c:pt idx="32">
                  <c:v>80.534910899853827</c:v>
                </c:pt>
                <c:pt idx="33">
                  <c:v>83.408144437200505</c:v>
                </c:pt>
                <c:pt idx="34">
                  <c:v>86.317228331794553</c:v>
                </c:pt>
                <c:pt idx="35">
                  <c:v>89.26251494459288</c:v>
                </c:pt>
                <c:pt idx="36">
                  <c:v>92.244359757717035</c:v>
                </c:pt>
                <c:pt idx="37">
                  <c:v>95.26312140055262</c:v>
                </c:pt>
                <c:pt idx="38">
                  <c:v>98.319161676058982</c:v>
                </c:pt>
                <c:pt idx="39">
                  <c:v>101.41284558729173</c:v>
                </c:pt>
                <c:pt idx="40">
                  <c:v>104.54454136413896</c:v>
                </c:pt>
                <c:pt idx="41">
                  <c:v>107.71462049027328</c:v>
                </c:pt>
                <c:pt idx="42">
                  <c:v>110.9234577303213</c:v>
                </c:pt>
                <c:pt idx="43">
                  <c:v>114.17143115725247</c:v>
                </c:pt>
                <c:pt idx="44">
                  <c:v>117.45892217998825</c:v>
                </c:pt>
                <c:pt idx="45">
                  <c:v>120.7863155712347</c:v>
                </c:pt>
                <c:pt idx="46">
                  <c:v>124.15399949553881</c:v>
                </c:pt>
                <c:pt idx="47">
                  <c:v>127.56236553757121</c:v>
                </c:pt>
                <c:pt idx="48">
                  <c:v>131.01180873063689</c:v>
                </c:pt>
                <c:pt idx="49">
                  <c:v>134.50272758541581</c:v>
                </c:pt>
                <c:pt idx="50">
                  <c:v>138.0355241189344</c:v>
                </c:pt>
                <c:pt idx="51">
                  <c:v>141.74705701596602</c:v>
                </c:pt>
                <c:pt idx="52">
                  <c:v>145.50946205804559</c:v>
                </c:pt>
                <c:pt idx="53">
                  <c:v>149.3233091161174</c:v>
                </c:pt>
                <c:pt idx="54">
                  <c:v>153.18917387821719</c:v>
                </c:pt>
                <c:pt idx="55">
                  <c:v>157.10763790581382</c:v>
                </c:pt>
                <c:pt idx="56">
                  <c:v>161.07928869068004</c:v>
                </c:pt>
                <c:pt idx="57">
                  <c:v>165.1047197122966</c:v>
                </c:pt>
                <c:pt idx="58">
                  <c:v>169.18453049579492</c:v>
                </c:pt>
                <c:pt idx="59">
                  <c:v>173.31932667044234</c:v>
                </c:pt>
                <c:pt idx="60">
                  <c:v>177.50972002867681</c:v>
                </c:pt>
                <c:pt idx="61">
                  <c:v>181.75632858569392</c:v>
                </c:pt>
                <c:pt idx="62">
                  <c:v>186.05977663959303</c:v>
                </c:pt>
                <c:pt idx="63">
                  <c:v>190.42069483208684</c:v>
                </c:pt>
                <c:pt idx="64">
                  <c:v>194.83972020977899</c:v>
                </c:pt>
                <c:pt idx="65">
                  <c:v>199.31749628601759</c:v>
                </c:pt>
                <c:pt idx="66">
                  <c:v>203.85467310332564</c:v>
                </c:pt>
                <c:pt idx="67">
                  <c:v>208.45190729641803</c:v>
                </c:pt>
                <c:pt idx="68">
                  <c:v>213.10986215580795</c:v>
                </c:pt>
                <c:pt idx="69">
                  <c:v>217.82920769200754</c:v>
                </c:pt>
                <c:pt idx="70">
                  <c:v>222.61062070033216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/>
        <c:axId val="112727552"/>
        <c:axId val="112729472"/>
      </c:scatterChart>
      <c:valAx>
        <c:axId val="11272755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729472"/>
        <c:crosses val="autoZero"/>
        <c:crossBetween val="midCat"/>
      </c:valAx>
      <c:valAx>
        <c:axId val="112729472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/>
                  <a:t>Mean borer attack depth 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272755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3"/>
          <c:order val="0"/>
          <c:tx>
            <c:strRef>
              <c:f>Mastersheet!$B$297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Mastersheet!$D$298:$D$368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Mastersheet!$BE$298:$BE$368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21.614884264743885</c:v>
                </c:pt>
                <c:pt idx="9">
                  <c:v>23.801849447779691</c:v>
                </c:pt>
                <c:pt idx="10">
                  <c:v>25.994751539137475</c:v>
                </c:pt>
                <c:pt idx="11">
                  <c:v>28.206795764741386</c:v>
                </c:pt>
                <c:pt idx="12">
                  <c:v>30.430817828139588</c:v>
                </c:pt>
                <c:pt idx="13">
                  <c:v>32.666866522964106</c:v>
                </c:pt>
                <c:pt idx="14">
                  <c:v>34.914990819719506</c:v>
                </c:pt>
                <c:pt idx="15">
                  <c:v>37.175239866384587</c:v>
                </c:pt>
                <c:pt idx="16">
                  <c:v>39.447662989015853</c:v>
                </c:pt>
                <c:pt idx="17">
                  <c:v>41.732309692353141</c:v>
                </c:pt>
                <c:pt idx="18">
                  <c:v>44.029229660427148</c:v>
                </c:pt>
                <c:pt idx="19">
                  <c:v>46.338472757168958</c:v>
                </c:pt>
                <c:pt idx="20">
                  <c:v>48.660089027021598</c:v>
                </c:pt>
                <c:pt idx="21">
                  <c:v>50.994128695553435</c:v>
                </c:pt>
                <c:pt idx="22">
                  <c:v>53.340642170073821</c:v>
                </c:pt>
                <c:pt idx="23">
                  <c:v>55.699680040250534</c:v>
                </c:pt>
                <c:pt idx="24">
                  <c:v>58.071293078729504</c:v>
                </c:pt>
                <c:pt idx="25">
                  <c:v>60.455532241756096</c:v>
                </c:pt>
                <c:pt idx="26">
                  <c:v>62.852448669798939</c:v>
                </c:pt>
                <c:pt idx="27">
                  <c:v>65.262093688175469</c:v>
                </c:pt>
                <c:pt idx="28">
                  <c:v>67.684518807679794</c:v>
                </c:pt>
                <c:pt idx="29">
                  <c:v>70.119775725212065</c:v>
                </c:pt>
                <c:pt idx="30">
                  <c:v>72.567916324410604</c:v>
                </c:pt>
                <c:pt idx="31">
                  <c:v>75.032655023740006</c:v>
                </c:pt>
                <c:pt idx="32">
                  <c:v>77.510702511247075</c:v>
                </c:pt>
                <c:pt idx="33">
                  <c:v>80.002113800219291</c:v>
                </c:pt>
                <c:pt idx="34">
                  <c:v>82.506944107207957</c:v>
                </c:pt>
                <c:pt idx="35">
                  <c:v>85.025248852733938</c:v>
                </c:pt>
                <c:pt idx="36">
                  <c:v>87.557083661996117</c:v>
                </c:pt>
                <c:pt idx="37">
                  <c:v>90.102504365582291</c:v>
                </c:pt>
                <c:pt idx="38">
                  <c:v>92.66156700018216</c:v>
                </c:pt>
                <c:pt idx="39">
                  <c:v>95.234327809302883</c:v>
                </c:pt>
                <c:pt idx="40">
                  <c:v>97.820843243987028</c:v>
                </c:pt>
                <c:pt idx="41">
                  <c:v>100.42116996353271</c:v>
                </c:pt>
                <c:pt idx="42">
                  <c:v>103.03536483621653</c:v>
                </c:pt>
                <c:pt idx="43">
                  <c:v>105.66348494001838</c:v>
                </c:pt>
                <c:pt idx="44">
                  <c:v>108.30558756334929</c:v>
                </c:pt>
                <c:pt idx="45">
                  <c:v>110.96173020578129</c:v>
                </c:pt>
                <c:pt idx="46">
                  <c:v>113.63197057877979</c:v>
                </c:pt>
                <c:pt idx="47">
                  <c:v>116.31636660643834</c:v>
                </c:pt>
                <c:pt idx="48">
                  <c:v>119.01497642621619</c:v>
                </c:pt>
                <c:pt idx="49">
                  <c:v>121.72785838967769</c:v>
                </c:pt>
                <c:pt idx="50">
                  <c:v>124.45507106323497</c:v>
                </c:pt>
                <c:pt idx="51">
                  <c:v>127.18883513795211</c:v>
                </c:pt>
                <c:pt idx="52">
                  <c:v>129.9366508368723</c:v>
                </c:pt>
                <c:pt idx="53">
                  <c:v>132.69857428018267</c:v>
                </c:pt>
                <c:pt idx="54">
                  <c:v>135.47466178921155</c:v>
                </c:pt>
                <c:pt idx="55">
                  <c:v>138.26496988710761</c:v>
                </c:pt>
                <c:pt idx="56">
                  <c:v>141.06955529952057</c:v>
                </c:pt>
                <c:pt idx="57">
                  <c:v>143.88847495528466</c:v>
                </c:pt>
                <c:pt idx="58">
                  <c:v>146.7217859871038</c:v>
                </c:pt>
                <c:pt idx="59">
                  <c:v>149.56954573223982</c:v>
                </c:pt>
                <c:pt idx="60">
                  <c:v>152.4318117332019</c:v>
                </c:pt>
                <c:pt idx="61">
                  <c:v>155.30864173843904</c:v>
                </c:pt>
                <c:pt idx="62">
                  <c:v>158.20009370303438</c:v>
                </c:pt>
                <c:pt idx="63">
                  <c:v>161.10622578940175</c:v>
                </c:pt>
                <c:pt idx="64">
                  <c:v>164.02709636798505</c:v>
                </c:pt>
                <c:pt idx="65">
                  <c:v>166.96276401795913</c:v>
                </c:pt>
                <c:pt idx="66">
                  <c:v>169.91328752793297</c:v>
                </c:pt>
                <c:pt idx="67">
                  <c:v>172.87872589665625</c:v>
                </c:pt>
                <c:pt idx="68">
                  <c:v>175.85913833372689</c:v>
                </c:pt>
                <c:pt idx="69">
                  <c:v>178.85458426030146</c:v>
                </c:pt>
                <c:pt idx="70">
                  <c:v>181.86512330980779</c:v>
                </c:pt>
              </c:numCache>
            </c:numRef>
          </c:yVal>
          <c:smooth val="1"/>
        </c:ser>
        <c:ser>
          <c:idx val="4"/>
          <c:order val="1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21.648508481063153</c:v>
                </c:pt>
                <c:pt idx="9">
                  <c:v>23.862135952290991</c:v>
                </c:pt>
                <c:pt idx="10">
                  <c:v>26.084396606918016</c:v>
                </c:pt>
                <c:pt idx="11">
                  <c:v>28.334536816610051</c:v>
                </c:pt>
                <c:pt idx="12">
                  <c:v>30.602161131444802</c:v>
                </c:pt>
                <c:pt idx="13">
                  <c:v>32.887371894256738</c:v>
                </c:pt>
                <c:pt idx="14">
                  <c:v>35.190271981201938</c:v>
                </c:pt>
                <c:pt idx="15">
                  <c:v>37.510964804367049</c:v>
                </c:pt>
                <c:pt idx="16">
                  <c:v>39.84955431439046</c:v>
                </c:pt>
                <c:pt idx="17">
                  <c:v>42.206145003095827</c:v>
                </c:pt>
                <c:pt idx="18">
                  <c:v>44.580841906137977</c:v>
                </c:pt>
                <c:pt idx="19">
                  <c:v>46.973750605661323</c:v>
                </c:pt>
                <c:pt idx="20">
                  <c:v>49.384977232970719</c:v>
                </c:pt>
                <c:pt idx="21">
                  <c:v>51.814628471214782</c:v>
                </c:pt>
                <c:pt idx="22">
                  <c:v>54.262811558082092</c:v>
                </c:pt>
                <c:pt idx="23">
                  <c:v>56.729634288509736</c:v>
                </c:pt>
                <c:pt idx="24">
                  <c:v>59.215205017404848</c:v>
                </c:pt>
                <c:pt idx="25">
                  <c:v>61.719632662378913</c:v>
                </c:pt>
                <c:pt idx="26">
                  <c:v>64.243026706494618</c:v>
                </c:pt>
                <c:pt idx="27">
                  <c:v>66.785497201026075</c:v>
                </c:pt>
                <c:pt idx="28">
                  <c:v>69.347154768231604</c:v>
                </c:pt>
                <c:pt idx="29">
                  <c:v>71.928110604139931</c:v>
                </c:pt>
                <c:pt idx="30">
                  <c:v>74.528476481348918</c:v>
                </c:pt>
                <c:pt idx="31">
                  <c:v>77.159824989497253</c:v>
                </c:pt>
                <c:pt idx="32">
                  <c:v>79.811842479699848</c:v>
                </c:pt>
                <c:pt idx="33">
                  <c:v>82.484654351540641</c:v>
                </c:pt>
                <c:pt idx="34">
                  <c:v>85.178386686366963</c:v>
                </c:pt>
                <c:pt idx="35">
                  <c:v>87.893166250778407</c:v>
                </c:pt>
                <c:pt idx="36">
                  <c:v>90.629120500133212</c:v>
                </c:pt>
                <c:pt idx="37">
                  <c:v>93.386377582071717</c:v>
                </c:pt>
                <c:pt idx="38">
                  <c:v>96.165066340057137</c:v>
                </c:pt>
                <c:pt idx="39">
                  <c:v>98.965316316934164</c:v>
                </c:pt>
                <c:pt idx="40">
                  <c:v>101.78725775850432</c:v>
                </c:pt>
                <c:pt idx="41">
                  <c:v>104.63102161712007</c:v>
                </c:pt>
                <c:pt idx="42">
                  <c:v>107.49673955529543</c:v>
                </c:pt>
                <c:pt idx="43">
                  <c:v>110.38454394933522</c:v>
                </c:pt>
                <c:pt idx="44">
                  <c:v>113.29456789298177</c:v>
                </c:pt>
                <c:pt idx="45">
                  <c:v>116.22694520107993</c:v>
                </c:pt>
                <c:pt idx="46">
                  <c:v>119.1818104132595</c:v>
                </c:pt>
                <c:pt idx="47">
                  <c:v>122.15929879763658</c:v>
                </c:pt>
                <c:pt idx="48">
                  <c:v>125.15954635453252</c:v>
                </c:pt>
                <c:pt idx="49">
                  <c:v>128.18268982021141</c:v>
                </c:pt>
                <c:pt idx="50">
                  <c:v>131.22886667063622</c:v>
                </c:pt>
                <c:pt idx="51">
                  <c:v>134.29067424991069</c:v>
                </c:pt>
                <c:pt idx="52">
                  <c:v>137.37539015057644</c:v>
                </c:pt>
                <c:pt idx="53">
                  <c:v>140.48314954847459</c:v>
                </c:pt>
                <c:pt idx="54">
                  <c:v>143.6140883383319</c:v>
                </c:pt>
                <c:pt idx="55">
                  <c:v>146.76834313736913</c:v>
                </c:pt>
                <c:pt idx="56">
                  <c:v>149.94605128892533</c:v>
                </c:pt>
                <c:pt idx="57">
                  <c:v>153.14735086610062</c:v>
                </c:pt>
                <c:pt idx="58">
                  <c:v>156.37238067541659</c:v>
                </c:pt>
                <c:pt idx="59">
                  <c:v>159.6212802604939</c:v>
                </c:pt>
                <c:pt idx="60">
                  <c:v>162.89418990574808</c:v>
                </c:pt>
                <c:pt idx="61">
                  <c:v>166.19125064010268</c:v>
                </c:pt>
                <c:pt idx="62">
                  <c:v>169.51260424072149</c:v>
                </c:pt>
                <c:pt idx="63">
                  <c:v>172.85839323675762</c:v>
                </c:pt>
                <c:pt idx="64">
                  <c:v>176.22876091312125</c:v>
                </c:pt>
                <c:pt idx="65">
                  <c:v>179.62385131426535</c:v>
                </c:pt>
                <c:pt idx="66">
                  <c:v>183.04380924799045</c:v>
                </c:pt>
                <c:pt idx="67">
                  <c:v>186.48878028926654</c:v>
                </c:pt>
                <c:pt idx="68">
                  <c:v>189.9589107840747</c:v>
                </c:pt>
                <c:pt idx="69">
                  <c:v>193.45434785326646</c:v>
                </c:pt>
                <c:pt idx="70">
                  <c:v>196.97523939644202</c:v>
                </c:pt>
              </c:numCache>
            </c:numRef>
          </c:yVal>
          <c:smooth val="1"/>
        </c:ser>
        <c:ser>
          <c:idx val="5"/>
          <c:order val="2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21.658431211386997</c:v>
                </c:pt>
                <c:pt idx="9">
                  <c:v>23.879919640290829</c:v>
                </c:pt>
                <c:pt idx="10">
                  <c:v>26.110842037086641</c:v>
                </c:pt>
                <c:pt idx="11">
                  <c:v>28.372244092360354</c:v>
                </c:pt>
                <c:pt idx="12">
                  <c:v>30.652773318074743</c:v>
                </c:pt>
                <c:pt idx="13">
                  <c:v>32.9525516336913</c:v>
                </c:pt>
                <c:pt idx="14">
                  <c:v>35.271701650619264</c:v>
                </c:pt>
                <c:pt idx="15">
                  <c:v>37.610346675902512</c:v>
                </c:pt>
                <c:pt idx="16">
                  <c:v>39.96861071592555</c:v>
                </c:pt>
                <c:pt idx="17">
                  <c:v>42.346618480138162</c:v>
                </c:pt>
                <c:pt idx="18">
                  <c:v>44.744495384799471</c:v>
                </c:pt>
                <c:pt idx="19">
                  <c:v>47.162367556740946</c:v>
                </c:pt>
                <c:pt idx="20">
                  <c:v>49.600361837148832</c:v>
                </c:pt>
                <c:pt idx="21">
                  <c:v>52.05860578536592</c:v>
                </c:pt>
                <c:pt idx="22">
                  <c:v>54.537227682712661</c:v>
                </c:pt>
                <c:pt idx="23">
                  <c:v>57.036356536328107</c:v>
                </c:pt>
                <c:pt idx="24">
                  <c:v>59.556122083030303</c:v>
                </c:pt>
                <c:pt idx="25">
                  <c:v>62.096654793196414</c:v>
                </c:pt>
                <c:pt idx="26">
                  <c:v>64.658085874662987</c:v>
                </c:pt>
                <c:pt idx="27">
                  <c:v>67.240547276645771</c:v>
                </c:pt>
                <c:pt idx="28">
                  <c:v>69.844171693680181</c:v>
                </c:pt>
                <c:pt idx="29">
                  <c:v>72.469092569581136</c:v>
                </c:pt>
                <c:pt idx="30">
                  <c:v>75.115444101423833</c:v>
                </c:pt>
                <c:pt idx="31">
                  <c:v>77.797522853866752</c:v>
                </c:pt>
                <c:pt idx="32">
                  <c:v>80.502591127252344</c:v>
                </c:pt>
                <c:pt idx="33">
                  <c:v>83.230801514735845</c:v>
                </c:pt>
                <c:pt idx="34">
                  <c:v>85.982307517754592</c:v>
                </c:pt>
                <c:pt idx="35">
                  <c:v>88.757263551119024</c:v>
                </c:pt>
                <c:pt idx="36">
                  <c:v>91.555824948131146</c:v>
                </c:pt>
                <c:pt idx="37">
                  <c:v>94.378147965730861</c:v>
                </c:pt>
                <c:pt idx="38">
                  <c:v>97.224389789669928</c:v>
                </c:pt>
                <c:pt idx="39">
                  <c:v>100.09470853971365</c:v>
                </c:pt>
                <c:pt idx="40">
                  <c:v>102.98926327487113</c:v>
                </c:pt>
                <c:pt idx="41">
                  <c:v>105.90821399865332</c:v>
                </c:pt>
                <c:pt idx="42">
                  <c:v>108.8517216643596</c:v>
                </c:pt>
                <c:pt idx="43">
                  <c:v>111.81994818039293</c:v>
                </c:pt>
                <c:pt idx="44">
                  <c:v>114.81305641560382</c:v>
                </c:pt>
                <c:pt idx="45">
                  <c:v>117.8312102046625</c:v>
                </c:pt>
                <c:pt idx="46">
                  <c:v>120.87457435346087</c:v>
                </c:pt>
                <c:pt idx="47">
                  <c:v>123.94331464454328</c:v>
                </c:pt>
                <c:pt idx="48">
                  <c:v>127.03759784256627</c:v>
                </c:pt>
                <c:pt idx="49">
                  <c:v>130.1575916997881</c:v>
                </c:pt>
                <c:pt idx="50">
                  <c:v>133.30346496158796</c:v>
                </c:pt>
                <c:pt idx="51">
                  <c:v>136.45233671192307</c:v>
                </c:pt>
                <c:pt idx="52">
                  <c:v>139.62618339967668</c:v>
                </c:pt>
                <c:pt idx="53">
                  <c:v>142.82516168092945</c:v>
                </c:pt>
                <c:pt idx="54">
                  <c:v>146.0494290981074</c:v>
                </c:pt>
                <c:pt idx="55">
                  <c:v>149.29914408471561</c:v>
                </c:pt>
                <c:pt idx="56">
                  <c:v>152.57446597009672</c:v>
                </c:pt>
                <c:pt idx="57">
                  <c:v>155.87555498421415</c:v>
                </c:pt>
                <c:pt idx="58">
                  <c:v>159.20257226245926</c:v>
                </c:pt>
                <c:pt idx="59">
                  <c:v>162.55567985048381</c:v>
                </c:pt>
                <c:pt idx="60">
                  <c:v>165.93504070905726</c:v>
                </c:pt>
                <c:pt idx="61">
                  <c:v>169.34081871894855</c:v>
                </c:pt>
                <c:pt idx="62">
                  <c:v>172.7731786858343</c:v>
                </c:pt>
                <c:pt idx="63">
                  <c:v>176.23228634523056</c:v>
                </c:pt>
                <c:pt idx="64">
                  <c:v>179.71830836745113</c:v>
                </c:pt>
                <c:pt idx="65">
                  <c:v>183.23141236259153</c:v>
                </c:pt>
                <c:pt idx="66">
                  <c:v>186.77176688553752</c:v>
                </c:pt>
                <c:pt idx="67">
                  <c:v>190.33954144100025</c:v>
                </c:pt>
                <c:pt idx="68">
                  <c:v>193.93490648857778</c:v>
                </c:pt>
                <c:pt idx="69">
                  <c:v>197.55803344784096</c:v>
                </c:pt>
                <c:pt idx="70">
                  <c:v>201.20909470344751</c:v>
                </c:pt>
              </c:numCache>
            </c:numRef>
          </c:yVal>
          <c:smooth val="1"/>
        </c:ser>
        <c:ser>
          <c:idx val="6"/>
          <c:order val="3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/>
        <c:axId val="113000448"/>
        <c:axId val="113002368"/>
      </c:scatterChart>
      <c:valAx>
        <c:axId val="11300044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3002368"/>
        <c:crosses val="autoZero"/>
        <c:crossBetween val="midCat"/>
      </c:valAx>
      <c:valAx>
        <c:axId val="113002368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300044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4"/>
          <c:order val="0"/>
          <c:tx>
            <c:strRef>
              <c:f>Mastersheet!$B$369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Mastersheet!$D$370:$D$440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Mastersheet!$BE$370:$BE$440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21.648508481063153</c:v>
                </c:pt>
                <c:pt idx="9">
                  <c:v>23.862135952290991</c:v>
                </c:pt>
                <c:pt idx="10">
                  <c:v>26.084396606918016</c:v>
                </c:pt>
                <c:pt idx="11">
                  <c:v>28.334536816610051</c:v>
                </c:pt>
                <c:pt idx="12">
                  <c:v>30.602161131444802</c:v>
                </c:pt>
                <c:pt idx="13">
                  <c:v>32.887371894256738</c:v>
                </c:pt>
                <c:pt idx="14">
                  <c:v>35.190271981201938</c:v>
                </c:pt>
                <c:pt idx="15">
                  <c:v>37.510964804367049</c:v>
                </c:pt>
                <c:pt idx="16">
                  <c:v>39.84955431439046</c:v>
                </c:pt>
                <c:pt idx="17">
                  <c:v>42.206145003095827</c:v>
                </c:pt>
                <c:pt idx="18">
                  <c:v>44.580841906137977</c:v>
                </c:pt>
                <c:pt idx="19">
                  <c:v>46.973750605661323</c:v>
                </c:pt>
                <c:pt idx="20">
                  <c:v>49.384977232970719</c:v>
                </c:pt>
                <c:pt idx="21">
                  <c:v>51.814628471214782</c:v>
                </c:pt>
                <c:pt idx="22">
                  <c:v>54.262811558082092</c:v>
                </c:pt>
                <c:pt idx="23">
                  <c:v>56.729634288509736</c:v>
                </c:pt>
                <c:pt idx="24">
                  <c:v>59.215205017404848</c:v>
                </c:pt>
                <c:pt idx="25">
                  <c:v>61.719632662378913</c:v>
                </c:pt>
                <c:pt idx="26">
                  <c:v>64.243026706494618</c:v>
                </c:pt>
                <c:pt idx="27">
                  <c:v>66.785497201026075</c:v>
                </c:pt>
                <c:pt idx="28">
                  <c:v>69.347154768231604</c:v>
                </c:pt>
                <c:pt idx="29">
                  <c:v>71.928110604139931</c:v>
                </c:pt>
                <c:pt idx="30">
                  <c:v>74.528476481348918</c:v>
                </c:pt>
                <c:pt idx="31">
                  <c:v>77.159824989497253</c:v>
                </c:pt>
                <c:pt idx="32">
                  <c:v>79.811842479699848</c:v>
                </c:pt>
                <c:pt idx="33">
                  <c:v>82.484654351540641</c:v>
                </c:pt>
                <c:pt idx="34">
                  <c:v>85.178386686366963</c:v>
                </c:pt>
                <c:pt idx="35">
                  <c:v>87.893166250778407</c:v>
                </c:pt>
                <c:pt idx="36">
                  <c:v>90.629120500133212</c:v>
                </c:pt>
                <c:pt idx="37">
                  <c:v>93.386377582071717</c:v>
                </c:pt>
                <c:pt idx="38">
                  <c:v>96.165066340057137</c:v>
                </c:pt>
                <c:pt idx="39">
                  <c:v>98.965316316934164</c:v>
                </c:pt>
                <c:pt idx="40">
                  <c:v>101.78725775850432</c:v>
                </c:pt>
                <c:pt idx="41">
                  <c:v>104.63102161712007</c:v>
                </c:pt>
                <c:pt idx="42">
                  <c:v>107.49673955529543</c:v>
                </c:pt>
                <c:pt idx="43">
                  <c:v>110.38454394933522</c:v>
                </c:pt>
                <c:pt idx="44">
                  <c:v>113.29456789298177</c:v>
                </c:pt>
                <c:pt idx="45">
                  <c:v>116.22694520107993</c:v>
                </c:pt>
                <c:pt idx="46">
                  <c:v>119.1818104132595</c:v>
                </c:pt>
                <c:pt idx="47">
                  <c:v>122.15929879763658</c:v>
                </c:pt>
                <c:pt idx="48">
                  <c:v>125.15954635453252</c:v>
                </c:pt>
                <c:pt idx="49">
                  <c:v>128.18268982021141</c:v>
                </c:pt>
                <c:pt idx="50">
                  <c:v>131.22886667063622</c:v>
                </c:pt>
                <c:pt idx="51">
                  <c:v>134.29067424991069</c:v>
                </c:pt>
                <c:pt idx="52">
                  <c:v>137.37539015057644</c:v>
                </c:pt>
                <c:pt idx="53">
                  <c:v>140.48314954847459</c:v>
                </c:pt>
                <c:pt idx="54">
                  <c:v>143.6140883383319</c:v>
                </c:pt>
                <c:pt idx="55">
                  <c:v>146.76834313736913</c:v>
                </c:pt>
                <c:pt idx="56">
                  <c:v>149.94605128892533</c:v>
                </c:pt>
                <c:pt idx="57">
                  <c:v>153.14735086610062</c:v>
                </c:pt>
                <c:pt idx="58">
                  <c:v>156.37238067541659</c:v>
                </c:pt>
                <c:pt idx="59">
                  <c:v>159.6212802604939</c:v>
                </c:pt>
                <c:pt idx="60">
                  <c:v>162.89418990574808</c:v>
                </c:pt>
                <c:pt idx="61">
                  <c:v>166.19125064010268</c:v>
                </c:pt>
                <c:pt idx="62">
                  <c:v>169.51260424072149</c:v>
                </c:pt>
                <c:pt idx="63">
                  <c:v>172.85839323675762</c:v>
                </c:pt>
                <c:pt idx="64">
                  <c:v>176.22876091312125</c:v>
                </c:pt>
                <c:pt idx="65">
                  <c:v>179.62385131426535</c:v>
                </c:pt>
                <c:pt idx="66">
                  <c:v>183.04380924799045</c:v>
                </c:pt>
                <c:pt idx="67">
                  <c:v>186.48878028926654</c:v>
                </c:pt>
                <c:pt idx="68">
                  <c:v>189.9589107840747</c:v>
                </c:pt>
                <c:pt idx="69">
                  <c:v>193.45434785326646</c:v>
                </c:pt>
                <c:pt idx="70">
                  <c:v>196.97523939644202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/>
        <c:axId val="113032192"/>
        <c:axId val="114099328"/>
      </c:scatterChart>
      <c:valAx>
        <c:axId val="113032192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4099328"/>
        <c:crosses val="autoZero"/>
        <c:crossBetween val="midCat"/>
      </c:valAx>
      <c:valAx>
        <c:axId val="114099328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3032192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5"/>
          <c:order val="0"/>
          <c:tx>
            <c:strRef>
              <c:f>Mastersheet!$B$441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Mastersheet!$D$442:$D$512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Mastersheet!$BE$442:$BE$512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21.658431211386997</c:v>
                </c:pt>
                <c:pt idx="9">
                  <c:v>23.879919640290829</c:v>
                </c:pt>
                <c:pt idx="10">
                  <c:v>26.110842037086641</c:v>
                </c:pt>
                <c:pt idx="11">
                  <c:v>28.372244092360354</c:v>
                </c:pt>
                <c:pt idx="12">
                  <c:v>30.652773318074743</c:v>
                </c:pt>
                <c:pt idx="13">
                  <c:v>32.9525516336913</c:v>
                </c:pt>
                <c:pt idx="14">
                  <c:v>35.271701650619264</c:v>
                </c:pt>
                <c:pt idx="15">
                  <c:v>37.610346675902512</c:v>
                </c:pt>
                <c:pt idx="16">
                  <c:v>39.96861071592555</c:v>
                </c:pt>
                <c:pt idx="17">
                  <c:v>42.346618480138162</c:v>
                </c:pt>
                <c:pt idx="18">
                  <c:v>44.744495384799471</c:v>
                </c:pt>
                <c:pt idx="19">
                  <c:v>47.162367556740946</c:v>
                </c:pt>
                <c:pt idx="20">
                  <c:v>49.600361837148832</c:v>
                </c:pt>
                <c:pt idx="21">
                  <c:v>52.05860578536592</c:v>
                </c:pt>
                <c:pt idx="22">
                  <c:v>54.537227682712661</c:v>
                </c:pt>
                <c:pt idx="23">
                  <c:v>57.036356536328107</c:v>
                </c:pt>
                <c:pt idx="24">
                  <c:v>59.556122083030303</c:v>
                </c:pt>
                <c:pt idx="25">
                  <c:v>62.096654793196414</c:v>
                </c:pt>
                <c:pt idx="26">
                  <c:v>64.658085874662987</c:v>
                </c:pt>
                <c:pt idx="27">
                  <c:v>67.240547276645771</c:v>
                </c:pt>
                <c:pt idx="28">
                  <c:v>69.844171693680181</c:v>
                </c:pt>
                <c:pt idx="29">
                  <c:v>72.469092569581136</c:v>
                </c:pt>
                <c:pt idx="30">
                  <c:v>75.115444101423833</c:v>
                </c:pt>
                <c:pt idx="31">
                  <c:v>77.797522853866752</c:v>
                </c:pt>
                <c:pt idx="32">
                  <c:v>80.502591127252344</c:v>
                </c:pt>
                <c:pt idx="33">
                  <c:v>83.230801514735845</c:v>
                </c:pt>
                <c:pt idx="34">
                  <c:v>85.982307517754592</c:v>
                </c:pt>
                <c:pt idx="35">
                  <c:v>88.757263551119024</c:v>
                </c:pt>
                <c:pt idx="36">
                  <c:v>91.555824948131146</c:v>
                </c:pt>
                <c:pt idx="37">
                  <c:v>94.378147965730861</c:v>
                </c:pt>
                <c:pt idx="38">
                  <c:v>97.224389789669928</c:v>
                </c:pt>
                <c:pt idx="39">
                  <c:v>100.09470853971365</c:v>
                </c:pt>
                <c:pt idx="40">
                  <c:v>102.98926327487113</c:v>
                </c:pt>
                <c:pt idx="41">
                  <c:v>105.90821399865332</c:v>
                </c:pt>
                <c:pt idx="42">
                  <c:v>108.8517216643596</c:v>
                </c:pt>
                <c:pt idx="43">
                  <c:v>111.81994818039293</c:v>
                </c:pt>
                <c:pt idx="44">
                  <c:v>114.81305641560382</c:v>
                </c:pt>
                <c:pt idx="45">
                  <c:v>117.8312102046625</c:v>
                </c:pt>
                <c:pt idx="46">
                  <c:v>120.87457435346087</c:v>
                </c:pt>
                <c:pt idx="47">
                  <c:v>123.94331464454328</c:v>
                </c:pt>
                <c:pt idx="48">
                  <c:v>127.03759784256627</c:v>
                </c:pt>
                <c:pt idx="49">
                  <c:v>130.1575916997881</c:v>
                </c:pt>
                <c:pt idx="50">
                  <c:v>133.30346496158796</c:v>
                </c:pt>
                <c:pt idx="51">
                  <c:v>136.45233671192307</c:v>
                </c:pt>
                <c:pt idx="52">
                  <c:v>139.62618339967668</c:v>
                </c:pt>
                <c:pt idx="53">
                  <c:v>142.82516168092945</c:v>
                </c:pt>
                <c:pt idx="54">
                  <c:v>146.0494290981074</c:v>
                </c:pt>
                <c:pt idx="55">
                  <c:v>149.29914408471561</c:v>
                </c:pt>
                <c:pt idx="56">
                  <c:v>152.57446597009672</c:v>
                </c:pt>
                <c:pt idx="57">
                  <c:v>155.87555498421415</c:v>
                </c:pt>
                <c:pt idx="58">
                  <c:v>159.20257226245926</c:v>
                </c:pt>
                <c:pt idx="59">
                  <c:v>162.55567985048381</c:v>
                </c:pt>
                <c:pt idx="60">
                  <c:v>165.93504070905726</c:v>
                </c:pt>
                <c:pt idx="61">
                  <c:v>169.34081871894855</c:v>
                </c:pt>
                <c:pt idx="62">
                  <c:v>172.7731786858343</c:v>
                </c:pt>
                <c:pt idx="63">
                  <c:v>176.23228634523056</c:v>
                </c:pt>
                <c:pt idx="64">
                  <c:v>179.71830836745113</c:v>
                </c:pt>
                <c:pt idx="65">
                  <c:v>183.23141236259153</c:v>
                </c:pt>
                <c:pt idx="66">
                  <c:v>186.77176688553752</c:v>
                </c:pt>
                <c:pt idx="67">
                  <c:v>190.33954144100025</c:v>
                </c:pt>
                <c:pt idx="68">
                  <c:v>193.93490648857778</c:v>
                </c:pt>
                <c:pt idx="69">
                  <c:v>197.55803344784096</c:v>
                </c:pt>
                <c:pt idx="70">
                  <c:v>201.20909470344751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Mastersheet!$B$9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Mastersheet!$D$10:$D$80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Mastersheet!$BE$10:$BE$80</c:f>
              <c:numCache>
                <c:formatCode>0.00000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</c:v>
                </c:pt>
                <c:pt idx="7">
                  <c:v>20</c:v>
                </c:pt>
                <c:pt idx="8">
                  <c:v>21.539614935226503</c:v>
                </c:pt>
                <c:pt idx="9">
                  <c:v>23.666756673136941</c:v>
                </c:pt>
                <c:pt idx="10">
                  <c:v>25.79389841104738</c:v>
                </c:pt>
                <c:pt idx="11">
                  <c:v>27.921040148957815</c:v>
                </c:pt>
                <c:pt idx="12">
                  <c:v>30.048181886868257</c:v>
                </c:pt>
                <c:pt idx="13">
                  <c:v>32.175323624778692</c:v>
                </c:pt>
                <c:pt idx="14">
                  <c:v>34.302465362689126</c:v>
                </c:pt>
                <c:pt idx="15">
                  <c:v>36.429607100599569</c:v>
                </c:pt>
                <c:pt idx="16">
                  <c:v>38.556748838510003</c:v>
                </c:pt>
                <c:pt idx="17">
                  <c:v>40.683890576420438</c:v>
                </c:pt>
                <c:pt idx="18">
                  <c:v>42.81103231433088</c:v>
                </c:pt>
                <c:pt idx="19">
                  <c:v>44.938174052241322</c:v>
                </c:pt>
                <c:pt idx="20">
                  <c:v>47.065315790151757</c:v>
                </c:pt>
                <c:pt idx="21">
                  <c:v>49.192457528062192</c:v>
                </c:pt>
                <c:pt idx="22">
                  <c:v>51.319599265972634</c:v>
                </c:pt>
                <c:pt idx="23">
                  <c:v>53.446741003883069</c:v>
                </c:pt>
                <c:pt idx="24">
                  <c:v>55.573882741793504</c:v>
                </c:pt>
                <c:pt idx="25">
                  <c:v>57.701024479703946</c:v>
                </c:pt>
                <c:pt idx="26">
                  <c:v>59.828166217614381</c:v>
                </c:pt>
                <c:pt idx="27">
                  <c:v>61.955307955524816</c:v>
                </c:pt>
                <c:pt idx="28">
                  <c:v>64.082449693435251</c:v>
                </c:pt>
                <c:pt idx="29">
                  <c:v>66.2095914313457</c:v>
                </c:pt>
                <c:pt idx="30">
                  <c:v>68.336733169256135</c:v>
                </c:pt>
                <c:pt idx="31">
                  <c:v>70.46387490716657</c:v>
                </c:pt>
                <c:pt idx="32">
                  <c:v>72.591016645077019</c:v>
                </c:pt>
                <c:pt idx="33">
                  <c:v>74.71815838298744</c:v>
                </c:pt>
                <c:pt idx="34">
                  <c:v>76.845300120897889</c:v>
                </c:pt>
                <c:pt idx="35">
                  <c:v>78.972441858808324</c:v>
                </c:pt>
                <c:pt idx="36">
                  <c:v>81.099583596718759</c:v>
                </c:pt>
                <c:pt idx="37">
                  <c:v>83.226725334629208</c:v>
                </c:pt>
                <c:pt idx="38">
                  <c:v>85.353867072539643</c:v>
                </c:pt>
                <c:pt idx="39">
                  <c:v>87.481008810450078</c:v>
                </c:pt>
                <c:pt idx="40">
                  <c:v>89.608150548360513</c:v>
                </c:pt>
                <c:pt idx="41">
                  <c:v>91.735292286270948</c:v>
                </c:pt>
                <c:pt idx="42">
                  <c:v>93.862434024181397</c:v>
                </c:pt>
                <c:pt idx="43">
                  <c:v>95.989575762091832</c:v>
                </c:pt>
                <c:pt idx="44">
                  <c:v>98.116717500002267</c:v>
                </c:pt>
                <c:pt idx="45">
                  <c:v>100.2438592379127</c:v>
                </c:pt>
                <c:pt idx="46">
                  <c:v>102.37100097582314</c:v>
                </c:pt>
                <c:pt idx="47">
                  <c:v>104.49814271373359</c:v>
                </c:pt>
                <c:pt idx="48">
                  <c:v>106.62528445164402</c:v>
                </c:pt>
                <c:pt idx="49">
                  <c:v>108.75242618955446</c:v>
                </c:pt>
                <c:pt idx="50">
                  <c:v>110.87956792746489</c:v>
                </c:pt>
                <c:pt idx="51">
                  <c:v>113.00670966537533</c:v>
                </c:pt>
                <c:pt idx="52">
                  <c:v>115.13385140328577</c:v>
                </c:pt>
                <c:pt idx="53">
                  <c:v>117.26099314119621</c:v>
                </c:pt>
                <c:pt idx="54">
                  <c:v>119.38813487910664</c:v>
                </c:pt>
                <c:pt idx="55">
                  <c:v>121.51527661701708</c:v>
                </c:pt>
                <c:pt idx="56">
                  <c:v>123.64241835492753</c:v>
                </c:pt>
                <c:pt idx="57">
                  <c:v>125.76956009283796</c:v>
                </c:pt>
                <c:pt idx="58">
                  <c:v>127.8967018307484</c:v>
                </c:pt>
                <c:pt idx="59">
                  <c:v>130.02384356865883</c:v>
                </c:pt>
                <c:pt idx="60">
                  <c:v>132.15098530656928</c:v>
                </c:pt>
                <c:pt idx="61">
                  <c:v>134.27812704447973</c:v>
                </c:pt>
                <c:pt idx="62">
                  <c:v>136.40526878239015</c:v>
                </c:pt>
                <c:pt idx="63">
                  <c:v>138.53241052030057</c:v>
                </c:pt>
                <c:pt idx="64">
                  <c:v>140.65955225821102</c:v>
                </c:pt>
                <c:pt idx="65">
                  <c:v>142.78669399612147</c:v>
                </c:pt>
                <c:pt idx="66">
                  <c:v>144.91383573403192</c:v>
                </c:pt>
                <c:pt idx="67">
                  <c:v>147.04097747194234</c:v>
                </c:pt>
                <c:pt idx="68">
                  <c:v>149.16811920985279</c:v>
                </c:pt>
                <c:pt idx="69">
                  <c:v>151.29526094776321</c:v>
                </c:pt>
                <c:pt idx="70">
                  <c:v>153.42240268567366</c:v>
                </c:pt>
              </c:numCache>
            </c:numRef>
          </c:yVal>
          <c:smooth val="1"/>
        </c:ser>
        <c:dLbls/>
        <c:axId val="114133248"/>
        <c:axId val="114151808"/>
      </c:scatterChart>
      <c:valAx>
        <c:axId val="114133248"/>
        <c:scaling>
          <c:orientation val="minMax"/>
          <c:max val="2070"/>
          <c:min val="2000"/>
        </c:scaling>
        <c:axPos val="b"/>
        <c:title>
          <c:tx>
            <c:rich>
              <a:bodyPr/>
              <a:lstStyle/>
              <a:p>
                <a:pPr>
                  <a:defRPr lang="en-AU"/>
                </a:pPr>
                <a:r>
                  <a:rPr lang="en-US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4151808"/>
        <c:crosses val="autoZero"/>
        <c:crossBetween val="midCat"/>
      </c:valAx>
      <c:valAx>
        <c:axId val="114151808"/>
        <c:scaling>
          <c:orientation val="minMax"/>
          <c:max val="25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lang="en-AU"/>
                </a:pPr>
                <a:r>
                  <a:rPr lang="en-US" sz="1000" b="1" i="0" u="none" strike="noStrike" baseline="0">
                    <a:effectLst/>
                  </a:rPr>
                  <a:t>Mean borer attack depth </a:t>
                </a:r>
                <a:r>
                  <a:rPr lang="en-US"/>
                  <a:t>(mm)</a:t>
                </a:r>
              </a:p>
            </c:rich>
          </c:tx>
        </c:title>
        <c:numFmt formatCode="General" sourceLinked="0"/>
        <c:tickLblPos val="nextTo"/>
        <c:txPr>
          <a:bodyPr/>
          <a:lstStyle/>
          <a:p>
            <a:pPr>
              <a:defRPr lang="en-AU"/>
            </a:pPr>
            <a:endParaRPr lang="en-US"/>
          </a:p>
        </c:txPr>
        <c:crossAx val="114133248"/>
        <c:crosses val="autoZero"/>
        <c:crossBetween val="midCat"/>
      </c:valAx>
    </c:plotArea>
    <c:legend>
      <c:legendPos val="t"/>
      <c:spPr>
        <a:noFill/>
        <a:ln>
          <a:noFill/>
        </a:ln>
        <a:effectLst/>
      </c:spPr>
      <c:txPr>
        <a:bodyPr/>
        <a:lstStyle/>
        <a:p>
          <a:pPr>
            <a:defRPr lang="en-AU"/>
          </a:pPr>
          <a:endParaRPr lang="en-US"/>
        </a:p>
      </c:txPr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3" Type="http://schemas.openxmlformats.org/officeDocument/2006/relationships/chart" Target="../charts/chart25.xml"/><Relationship Id="rId21" Type="http://schemas.openxmlformats.org/officeDocument/2006/relationships/chart" Target="../charts/chart43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0" Type="http://schemas.openxmlformats.org/officeDocument/2006/relationships/chart" Target="../charts/chart42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18" Type="http://schemas.openxmlformats.org/officeDocument/2006/relationships/chart" Target="../charts/chart62.xml"/><Relationship Id="rId3" Type="http://schemas.openxmlformats.org/officeDocument/2006/relationships/chart" Target="../charts/chart47.xml"/><Relationship Id="rId21" Type="http://schemas.openxmlformats.org/officeDocument/2006/relationships/chart" Target="../charts/chart65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17" Type="http://schemas.openxmlformats.org/officeDocument/2006/relationships/chart" Target="../charts/chart61.xml"/><Relationship Id="rId2" Type="http://schemas.openxmlformats.org/officeDocument/2006/relationships/chart" Target="../charts/chart46.xml"/><Relationship Id="rId16" Type="http://schemas.openxmlformats.org/officeDocument/2006/relationships/chart" Target="../charts/chart60.xml"/><Relationship Id="rId20" Type="http://schemas.openxmlformats.org/officeDocument/2006/relationships/chart" Target="../charts/chart64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19" Type="http://schemas.openxmlformats.org/officeDocument/2006/relationships/chart" Target="../charts/chart63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Relationship Id="rId22" Type="http://schemas.openxmlformats.org/officeDocument/2006/relationships/chart" Target="../charts/chart6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4.xml"/><Relationship Id="rId13" Type="http://schemas.openxmlformats.org/officeDocument/2006/relationships/chart" Target="../charts/chart79.xml"/><Relationship Id="rId3" Type="http://schemas.openxmlformats.org/officeDocument/2006/relationships/chart" Target="../charts/chart69.xml"/><Relationship Id="rId7" Type="http://schemas.openxmlformats.org/officeDocument/2006/relationships/chart" Target="../charts/chart73.xml"/><Relationship Id="rId12" Type="http://schemas.openxmlformats.org/officeDocument/2006/relationships/chart" Target="../charts/chart78.xml"/><Relationship Id="rId2" Type="http://schemas.openxmlformats.org/officeDocument/2006/relationships/chart" Target="../charts/chart68.xml"/><Relationship Id="rId16" Type="http://schemas.openxmlformats.org/officeDocument/2006/relationships/chart" Target="../charts/chart82.xml"/><Relationship Id="rId1" Type="http://schemas.openxmlformats.org/officeDocument/2006/relationships/chart" Target="../charts/chart67.xml"/><Relationship Id="rId6" Type="http://schemas.openxmlformats.org/officeDocument/2006/relationships/chart" Target="../charts/chart72.xml"/><Relationship Id="rId11" Type="http://schemas.openxmlformats.org/officeDocument/2006/relationships/chart" Target="../charts/chart77.xml"/><Relationship Id="rId5" Type="http://schemas.openxmlformats.org/officeDocument/2006/relationships/chart" Target="../charts/chart71.xml"/><Relationship Id="rId15" Type="http://schemas.openxmlformats.org/officeDocument/2006/relationships/chart" Target="../charts/chart81.xml"/><Relationship Id="rId10" Type="http://schemas.openxmlformats.org/officeDocument/2006/relationships/chart" Target="../charts/chart76.xml"/><Relationship Id="rId4" Type="http://schemas.openxmlformats.org/officeDocument/2006/relationships/chart" Target="../charts/chart70.xml"/><Relationship Id="rId9" Type="http://schemas.openxmlformats.org/officeDocument/2006/relationships/chart" Target="../charts/chart75.xml"/><Relationship Id="rId14" Type="http://schemas.openxmlformats.org/officeDocument/2006/relationships/chart" Target="../charts/chart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10</xdr:row>
      <xdr:rowOff>123826</xdr:rowOff>
    </xdr:from>
    <xdr:to>
      <xdr:col>3</xdr:col>
      <xdr:colOff>66675</xdr:colOff>
      <xdr:row>22</xdr:row>
      <xdr:rowOff>131874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52400" y="2143126"/>
          <a:ext cx="2790825" cy="23321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63</xdr:col>
      <xdr:colOff>0</xdr:colOff>
      <xdr:row>6</xdr:row>
      <xdr:rowOff>1</xdr:rowOff>
    </xdr:from>
    <xdr:to>
      <xdr:col>71</xdr:col>
      <xdr:colOff>213600</xdr:colOff>
      <xdr:row>21</xdr:row>
      <xdr:rowOff>117601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63</xdr:col>
      <xdr:colOff>0</xdr:colOff>
      <xdr:row>22</xdr:row>
      <xdr:rowOff>0</xdr:rowOff>
    </xdr:from>
    <xdr:to>
      <xdr:col>71</xdr:col>
      <xdr:colOff>213600</xdr:colOff>
      <xdr:row>37</xdr:row>
      <xdr:rowOff>117600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0</xdr:colOff>
      <xdr:row>6</xdr:row>
      <xdr:rowOff>0</xdr:rowOff>
    </xdr:from>
    <xdr:to>
      <xdr:col>80</xdr:col>
      <xdr:colOff>213600</xdr:colOff>
      <xdr:row>21</xdr:row>
      <xdr:rowOff>117600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22</xdr:row>
      <xdr:rowOff>0</xdr:rowOff>
    </xdr:from>
    <xdr:to>
      <xdr:col>80</xdr:col>
      <xdr:colOff>213600</xdr:colOff>
      <xdr:row>37</xdr:row>
      <xdr:rowOff>117600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63</xdr:col>
      <xdr:colOff>0</xdr:colOff>
      <xdr:row>81</xdr:row>
      <xdr:rowOff>0</xdr:rowOff>
    </xdr:from>
    <xdr:to>
      <xdr:col>71</xdr:col>
      <xdr:colOff>213600</xdr:colOff>
      <xdr:row>96</xdr:row>
      <xdr:rowOff>155700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63</xdr:col>
      <xdr:colOff>0</xdr:colOff>
      <xdr:row>153</xdr:row>
      <xdr:rowOff>0</xdr:rowOff>
    </xdr:from>
    <xdr:to>
      <xdr:col>71</xdr:col>
      <xdr:colOff>213600</xdr:colOff>
      <xdr:row>168</xdr:row>
      <xdr:rowOff>155700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63</xdr:col>
      <xdr:colOff>0</xdr:colOff>
      <xdr:row>225</xdr:row>
      <xdr:rowOff>0</xdr:rowOff>
    </xdr:from>
    <xdr:to>
      <xdr:col>71</xdr:col>
      <xdr:colOff>213600</xdr:colOff>
      <xdr:row>240</xdr:row>
      <xdr:rowOff>155700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63</xdr:col>
      <xdr:colOff>0</xdr:colOff>
      <xdr:row>297</xdr:row>
      <xdr:rowOff>0</xdr:rowOff>
    </xdr:from>
    <xdr:to>
      <xdr:col>71</xdr:col>
      <xdr:colOff>213600</xdr:colOff>
      <xdr:row>312</xdr:row>
      <xdr:rowOff>117600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63</xdr:col>
      <xdr:colOff>0</xdr:colOff>
      <xdr:row>369</xdr:row>
      <xdr:rowOff>0</xdr:rowOff>
    </xdr:from>
    <xdr:to>
      <xdr:col>71</xdr:col>
      <xdr:colOff>213600</xdr:colOff>
      <xdr:row>384</xdr:row>
      <xdr:rowOff>117600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0</xdr:colOff>
      <xdr:row>441</xdr:row>
      <xdr:rowOff>0</xdr:rowOff>
    </xdr:from>
    <xdr:to>
      <xdr:col>71</xdr:col>
      <xdr:colOff>213600</xdr:colOff>
      <xdr:row>456</xdr:row>
      <xdr:rowOff>117600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63</xdr:col>
      <xdr:colOff>0</xdr:colOff>
      <xdr:row>97</xdr:row>
      <xdr:rowOff>0</xdr:rowOff>
    </xdr:from>
    <xdr:to>
      <xdr:col>71</xdr:col>
      <xdr:colOff>213600</xdr:colOff>
      <xdr:row>112</xdr:row>
      <xdr:rowOff>155700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63</xdr:col>
      <xdr:colOff>0</xdr:colOff>
      <xdr:row>169</xdr:row>
      <xdr:rowOff>0</xdr:rowOff>
    </xdr:from>
    <xdr:to>
      <xdr:col>71</xdr:col>
      <xdr:colOff>213600</xdr:colOff>
      <xdr:row>184</xdr:row>
      <xdr:rowOff>155700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63</xdr:col>
      <xdr:colOff>0</xdr:colOff>
      <xdr:row>241</xdr:row>
      <xdr:rowOff>0</xdr:rowOff>
    </xdr:from>
    <xdr:to>
      <xdr:col>71</xdr:col>
      <xdr:colOff>213600</xdr:colOff>
      <xdr:row>256</xdr:row>
      <xdr:rowOff>155700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63</xdr:col>
      <xdr:colOff>0</xdr:colOff>
      <xdr:row>313</xdr:row>
      <xdr:rowOff>0</xdr:rowOff>
    </xdr:from>
    <xdr:to>
      <xdr:col>71</xdr:col>
      <xdr:colOff>213600</xdr:colOff>
      <xdr:row>328</xdr:row>
      <xdr:rowOff>117600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63</xdr:col>
      <xdr:colOff>0</xdr:colOff>
      <xdr:row>385</xdr:row>
      <xdr:rowOff>0</xdr:rowOff>
    </xdr:from>
    <xdr:to>
      <xdr:col>71</xdr:col>
      <xdr:colOff>213600</xdr:colOff>
      <xdr:row>400</xdr:row>
      <xdr:rowOff>117600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63</xdr:col>
      <xdr:colOff>0</xdr:colOff>
      <xdr:row>457</xdr:row>
      <xdr:rowOff>0</xdr:rowOff>
    </xdr:from>
    <xdr:to>
      <xdr:col>71</xdr:col>
      <xdr:colOff>213600</xdr:colOff>
      <xdr:row>472</xdr:row>
      <xdr:rowOff>117600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86936/My%20Documents/Dropbox/RMIT/Port%20Kembla/Concrete/Concrete_kembla_v7.6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oncrete_kembla_v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aseline"/>
      <sheetName val="MostLikely"/>
      <sheetName val="Hotter&amp;Drier"/>
      <sheetName val="Cooler&amp;Wetter"/>
      <sheetName val="Coefficients"/>
      <sheetName val="InputData"/>
      <sheetName val="Mastersheet"/>
    </sheetNames>
    <sheetDataSet>
      <sheetData sheetId="0">
        <row r="1">
          <cell r="B1" t="str">
            <v>Port Kembla</v>
          </cell>
        </row>
      </sheetData>
      <sheetData sheetId="1">
        <row r="4">
          <cell r="B4" t="str">
            <v>A1FI</v>
          </cell>
        </row>
      </sheetData>
      <sheetData sheetId="2">
        <row r="4">
          <cell r="B4" t="str">
            <v>A1FI</v>
          </cell>
        </row>
      </sheetData>
      <sheetData sheetId="3">
        <row r="4">
          <cell r="B4" t="str">
            <v>A1FI</v>
          </cell>
        </row>
      </sheetData>
      <sheetData sheetId="4">
        <row r="1">
          <cell r="B1">
            <v>8.3140000000000002E-3</v>
          </cell>
        </row>
        <row r="2">
          <cell r="B2">
            <v>0.65</v>
          </cell>
        </row>
        <row r="3">
          <cell r="B3">
            <v>56</v>
          </cell>
        </row>
        <row r="4">
          <cell r="B4">
            <v>44</v>
          </cell>
        </row>
        <row r="5">
          <cell r="B5">
            <v>1</v>
          </cell>
        </row>
        <row r="10">
          <cell r="B10">
            <v>1</v>
          </cell>
        </row>
        <row r="11">
          <cell r="B11">
            <v>1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Baseline"/>
      <sheetName val="MRI-CGCM2.3.2 (Likely)"/>
      <sheetName val="CSIRO Mk3.5 (Drier)"/>
      <sheetName val="MIROC(hires) (Wetter)"/>
      <sheetName val="Coefficients"/>
      <sheetName val="InputData"/>
      <sheetName val="Mastersheet"/>
      <sheetName val="PileA"/>
      <sheetName val="PileB"/>
      <sheetName val="PileC"/>
      <sheetName val="PileD"/>
      <sheetName val="PileE"/>
      <sheetName val="PileF"/>
      <sheetName val="PileG"/>
      <sheetName val="Chloride Model"/>
      <sheetName val="Design service life"/>
      <sheetName val="Port Kembla Cement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B1">
            <v>8.3140000000000002E-3</v>
          </cell>
        </row>
        <row r="2">
          <cell r="B2">
            <v>0.65</v>
          </cell>
        </row>
        <row r="3">
          <cell r="B3">
            <v>56</v>
          </cell>
        </row>
        <row r="4">
          <cell r="B4">
            <v>44</v>
          </cell>
        </row>
        <row r="5">
          <cell r="B5">
            <v>1</v>
          </cell>
        </row>
        <row r="6">
          <cell r="B6">
            <v>0.12</v>
          </cell>
        </row>
        <row r="10">
          <cell r="B10">
            <v>1</v>
          </cell>
        </row>
        <row r="11">
          <cell r="B11">
            <v>1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C42"/>
  <sheetViews>
    <sheetView workbookViewId="0">
      <selection activeCell="A11" sqref="A11"/>
    </sheetView>
  </sheetViews>
  <sheetFormatPr defaultRowHeight="15"/>
  <cols>
    <col min="1" max="1" width="23.140625" style="69" bestFit="1" customWidth="1"/>
    <col min="2" max="2" width="9.42578125" style="69" bestFit="1" customWidth="1"/>
    <col min="3" max="16384" width="9.140625" style="69"/>
  </cols>
  <sheetData>
    <row r="1" spans="1:3">
      <c r="A1" s="69" t="s">
        <v>167</v>
      </c>
      <c r="B1" s="69" t="s">
        <v>178</v>
      </c>
    </row>
    <row r="2" spans="1:3">
      <c r="A2" s="69" t="s">
        <v>168</v>
      </c>
      <c r="B2" s="69" t="s">
        <v>169</v>
      </c>
    </row>
    <row r="4" spans="1:3">
      <c r="A4" s="7" t="s">
        <v>170</v>
      </c>
      <c r="B4" s="7" t="s">
        <v>171</v>
      </c>
      <c r="C4" s="7" t="s">
        <v>172</v>
      </c>
    </row>
    <row r="5" spans="1:3">
      <c r="A5" s="7" t="s">
        <v>173</v>
      </c>
      <c r="B5" s="7">
        <v>16.399999999999999</v>
      </c>
      <c r="C5" s="7"/>
    </row>
    <row r="6" spans="1:3">
      <c r="A6" s="7" t="s">
        <v>174</v>
      </c>
      <c r="B6" s="7">
        <v>1094</v>
      </c>
      <c r="C6" s="7"/>
    </row>
    <row r="7" spans="1:3">
      <c r="A7" s="7" t="s">
        <v>175</v>
      </c>
      <c r="B7" s="7">
        <v>74.099999999999994</v>
      </c>
      <c r="C7" s="7"/>
    </row>
    <row r="8" spans="1:3">
      <c r="A8" s="7" t="s">
        <v>176</v>
      </c>
      <c r="B8" s="7">
        <v>35.5</v>
      </c>
      <c r="C8" s="7">
        <v>35.5</v>
      </c>
    </row>
    <row r="9" spans="1:3">
      <c r="A9" s="7" t="s">
        <v>177</v>
      </c>
      <c r="B9" s="7">
        <v>19.3</v>
      </c>
      <c r="C9" s="7">
        <v>21.5</v>
      </c>
    </row>
    <row r="10" spans="1:3" ht="18">
      <c r="A10" s="7" t="s">
        <v>141</v>
      </c>
      <c r="B10" s="7">
        <v>352.5</v>
      </c>
      <c r="C10" s="7"/>
    </row>
    <row r="36" ht="15" customHeight="1"/>
    <row r="38" ht="24" customHeight="1"/>
    <row r="39" ht="15" customHeight="1"/>
    <row r="40" ht="24" customHeight="1"/>
    <row r="42" ht="24" customHeight="1"/>
  </sheetData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>
    <pageSetUpPr fitToPage="1"/>
  </sheetPr>
  <dimension ref="A1:CV128"/>
  <sheetViews>
    <sheetView workbookViewId="0">
      <selection activeCell="AH2" sqref="AH2"/>
    </sheetView>
  </sheetViews>
  <sheetFormatPr defaultRowHeight="15" outlineLevelCol="1"/>
  <cols>
    <col min="1" max="1" width="9.140625" style="69"/>
    <col min="2" max="15" width="14.28515625" style="69" customWidth="1"/>
    <col min="16" max="16" width="10.7109375" style="69" customWidth="1"/>
    <col min="17" max="18" width="9.140625" style="69" customWidth="1"/>
    <col min="19" max="73" width="9.140625" style="69"/>
    <col min="74" max="74" width="9.140625" style="69" collapsed="1"/>
    <col min="75" max="81" width="9.140625" style="69"/>
    <col min="82" max="88" width="9.140625" style="69" hidden="1" customWidth="1" outlineLevel="1"/>
    <col min="89" max="89" width="9.140625" style="69" collapsed="1"/>
    <col min="90" max="16384" width="9.140625" style="69"/>
  </cols>
  <sheetData>
    <row r="1" spans="1:34">
      <c r="A1" s="69" t="s">
        <v>179</v>
      </c>
      <c r="B1" s="69" t="s">
        <v>123</v>
      </c>
    </row>
    <row r="2" spans="1:34">
      <c r="AH2" s="69" t="str">
        <f>Baseline!B1</f>
        <v>Port Kembla</v>
      </c>
    </row>
    <row r="3" spans="1:34" ht="18">
      <c r="B3" s="106" t="s">
        <v>180</v>
      </c>
      <c r="C3" s="106"/>
      <c r="D3" s="106" t="s">
        <v>181</v>
      </c>
      <c r="E3" s="106"/>
      <c r="F3" s="106" t="s">
        <v>182</v>
      </c>
      <c r="G3" s="106"/>
      <c r="H3" s="106" t="s">
        <v>183</v>
      </c>
      <c r="I3" s="106"/>
      <c r="J3" s="106" t="s">
        <v>184</v>
      </c>
      <c r="K3" s="106"/>
      <c r="L3" s="106" t="s">
        <v>185</v>
      </c>
      <c r="M3" s="106"/>
      <c r="N3" s="106" t="s">
        <v>186</v>
      </c>
      <c r="O3" s="106"/>
      <c r="Q3" s="41" t="s">
        <v>138</v>
      </c>
      <c r="R3" s="41"/>
      <c r="AH3" s="69" t="str">
        <f>"Most Likely "&amp;(B1)</f>
        <v>Most Likely MRI-CGCM2.3.2</v>
      </c>
    </row>
    <row r="4" spans="1:34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>
      <c r="A5" s="69">
        <v>1990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/>
      <c r="K5" s="54"/>
      <c r="L5" s="54">
        <v>0</v>
      </c>
      <c r="M5" s="54">
        <v>0</v>
      </c>
      <c r="N5" s="54"/>
      <c r="O5" s="54"/>
      <c r="Q5" s="27">
        <v>352.5</v>
      </c>
      <c r="R5" s="27">
        <v>352.5</v>
      </c>
    </row>
    <row r="6" spans="1:34" s="43" customFormat="1">
      <c r="A6" s="70">
        <v>2010</v>
      </c>
      <c r="B6" s="71">
        <v>0.23333333333333331</v>
      </c>
      <c r="C6" s="71">
        <v>0.24</v>
      </c>
      <c r="D6" s="71">
        <v>0.23333333333333331</v>
      </c>
      <c r="E6" s="71">
        <v>0.23333333333333331</v>
      </c>
      <c r="F6" s="71">
        <v>-0.23333333333333331</v>
      </c>
      <c r="G6" s="71">
        <v>-0.26666666666666666</v>
      </c>
      <c r="H6" s="71">
        <v>0.19666666666666666</v>
      </c>
      <c r="I6" s="71">
        <v>0.20666666666666667</v>
      </c>
      <c r="J6" s="71"/>
      <c r="K6" s="71"/>
      <c r="L6" s="71">
        <v>0.19781283333333258</v>
      </c>
      <c r="M6" s="71">
        <v>0.20882103333333291</v>
      </c>
      <c r="N6" s="69"/>
      <c r="O6" s="69"/>
      <c r="P6" s="69"/>
      <c r="Q6" s="44">
        <v>387.5</v>
      </c>
      <c r="R6" s="44">
        <v>389.5</v>
      </c>
    </row>
    <row r="7" spans="1:34">
      <c r="A7" s="69">
        <v>2030</v>
      </c>
      <c r="B7" s="45">
        <v>0.7</v>
      </c>
      <c r="C7" s="45">
        <v>0.72</v>
      </c>
      <c r="D7" s="33">
        <v>0.7</v>
      </c>
      <c r="E7" s="33">
        <v>0.7</v>
      </c>
      <c r="F7" s="45">
        <v>-0.7</v>
      </c>
      <c r="G7" s="45">
        <v>-0.8</v>
      </c>
      <c r="H7" s="45">
        <v>0.59</v>
      </c>
      <c r="I7" s="45">
        <v>0.62</v>
      </c>
      <c r="J7" s="45"/>
      <c r="K7" s="45"/>
      <c r="L7" s="72">
        <v>0.59343849999999776</v>
      </c>
      <c r="M7" s="72">
        <v>0.62646309999999872</v>
      </c>
      <c r="N7" s="72"/>
      <c r="O7" s="72"/>
      <c r="Q7" s="27">
        <v>452</v>
      </c>
      <c r="R7" s="27">
        <v>450.5</v>
      </c>
    </row>
    <row r="8" spans="1:34">
      <c r="A8" s="69">
        <v>2050</v>
      </c>
      <c r="B8" s="45">
        <v>1.7</v>
      </c>
      <c r="C8" s="45">
        <v>1.4</v>
      </c>
      <c r="D8" s="33">
        <v>1.7</v>
      </c>
      <c r="E8" s="33">
        <v>1.4</v>
      </c>
      <c r="F8" s="45">
        <v>-1.8</v>
      </c>
      <c r="G8" s="33">
        <v>-1.37</v>
      </c>
      <c r="H8" s="33">
        <v>1.23</v>
      </c>
      <c r="I8" s="33">
        <v>1.05</v>
      </c>
      <c r="J8" s="33"/>
      <c r="K8" s="33"/>
      <c r="L8" s="72">
        <v>1.2327420999999994</v>
      </c>
      <c r="M8" s="72">
        <v>1.0540587999999964</v>
      </c>
      <c r="N8" s="72"/>
      <c r="O8" s="72"/>
      <c r="Q8" s="27">
        <v>561</v>
      </c>
      <c r="R8" s="27">
        <v>527</v>
      </c>
    </row>
    <row r="9" spans="1:34">
      <c r="A9" s="69">
        <v>2070</v>
      </c>
      <c r="B9" s="45">
        <v>2.2999999999999998</v>
      </c>
      <c r="C9" s="45">
        <v>1.71</v>
      </c>
      <c r="D9" s="33">
        <v>2.2999999999999998</v>
      </c>
      <c r="E9" s="33">
        <v>1.7</v>
      </c>
      <c r="F9" s="45">
        <v>-2.5</v>
      </c>
      <c r="G9" s="45">
        <v>-1.8</v>
      </c>
      <c r="H9" s="45">
        <v>1.99</v>
      </c>
      <c r="I9" s="45">
        <v>1.47</v>
      </c>
      <c r="J9" s="45"/>
      <c r="K9" s="45"/>
      <c r="L9" s="72">
        <v>1.9907688999999991</v>
      </c>
      <c r="M9" s="72">
        <v>1.4705744000000003</v>
      </c>
      <c r="N9" s="72"/>
      <c r="O9" s="72"/>
      <c r="Q9" s="27">
        <v>709</v>
      </c>
      <c r="R9" s="27">
        <v>606</v>
      </c>
    </row>
    <row r="10" spans="1:34"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Q10" s="27">
        <v>878.5</v>
      </c>
      <c r="R10" s="27">
        <v>679.5</v>
      </c>
    </row>
    <row r="11" spans="1:34"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Q11" s="27">
        <v>964</v>
      </c>
      <c r="R11" s="27">
        <v>710</v>
      </c>
    </row>
    <row r="12" spans="1:34">
      <c r="B12" s="34"/>
      <c r="C12" s="34"/>
      <c r="D12" s="34"/>
      <c r="E12" s="34"/>
      <c r="F12" s="34"/>
      <c r="G12" s="34"/>
      <c r="H12" s="34"/>
      <c r="I12" s="34"/>
      <c r="Q12" s="69" t="s">
        <v>139</v>
      </c>
    </row>
    <row r="13" spans="1:34">
      <c r="AE13" s="73"/>
      <c r="AF13" s="73"/>
    </row>
    <row r="14" spans="1:34">
      <c r="A14" s="102" t="s">
        <v>90</v>
      </c>
      <c r="B14" s="102" t="s">
        <v>136</v>
      </c>
      <c r="C14" s="102"/>
      <c r="D14" s="103" t="s">
        <v>187</v>
      </c>
      <c r="E14" s="104"/>
      <c r="F14" s="102" t="s">
        <v>137</v>
      </c>
      <c r="G14" s="102"/>
      <c r="H14" s="103" t="s">
        <v>188</v>
      </c>
      <c r="I14" s="104"/>
      <c r="J14" s="103" t="s">
        <v>189</v>
      </c>
      <c r="K14" s="104"/>
      <c r="L14" s="102" t="s">
        <v>190</v>
      </c>
      <c r="M14" s="102"/>
      <c r="N14" s="102" t="s">
        <v>191</v>
      </c>
      <c r="O14" s="102"/>
      <c r="Q14" s="105" t="s">
        <v>140</v>
      </c>
      <c r="R14" s="105"/>
      <c r="S14" s="105"/>
      <c r="T14" s="105"/>
      <c r="U14" s="105"/>
      <c r="V14" s="105"/>
      <c r="W14" s="105"/>
      <c r="X14" s="105"/>
      <c r="Y14" s="68"/>
      <c r="Z14" s="68"/>
      <c r="AA14" s="68"/>
      <c r="AB14" s="68"/>
      <c r="AC14" s="68"/>
      <c r="AD14" s="68"/>
      <c r="AE14" s="68"/>
      <c r="AF14" s="68"/>
    </row>
    <row r="15" spans="1:34" ht="18">
      <c r="A15" s="102"/>
      <c r="B15" s="102" t="s">
        <v>145</v>
      </c>
      <c r="C15" s="102"/>
      <c r="D15" s="102" t="s">
        <v>146</v>
      </c>
      <c r="E15" s="102"/>
      <c r="F15" s="102" t="s">
        <v>146</v>
      </c>
      <c r="G15" s="102"/>
      <c r="H15" s="102" t="s">
        <v>145</v>
      </c>
      <c r="I15" s="102"/>
      <c r="J15" s="102" t="s">
        <v>151</v>
      </c>
      <c r="K15" s="102"/>
      <c r="L15" s="102" t="s">
        <v>145</v>
      </c>
      <c r="M15" s="102"/>
      <c r="N15" s="102" t="s">
        <v>151</v>
      </c>
      <c r="O15" s="102"/>
      <c r="Q15" s="102" t="s">
        <v>141</v>
      </c>
      <c r="R15" s="102"/>
      <c r="S15" s="102" t="s">
        <v>142</v>
      </c>
      <c r="T15" s="102"/>
      <c r="U15" s="103" t="s">
        <v>192</v>
      </c>
      <c r="V15" s="104"/>
      <c r="W15" s="102" t="s">
        <v>143</v>
      </c>
      <c r="X15" s="102"/>
      <c r="Y15" s="102" t="s">
        <v>193</v>
      </c>
      <c r="Z15" s="102"/>
      <c r="AA15" s="102" t="s">
        <v>194</v>
      </c>
      <c r="AB15" s="102"/>
      <c r="AC15" s="102" t="s">
        <v>144</v>
      </c>
      <c r="AD15" s="102"/>
      <c r="AE15" s="102" t="s">
        <v>195</v>
      </c>
      <c r="AF15" s="102"/>
    </row>
    <row r="16" spans="1:34">
      <c r="A16" s="102"/>
      <c r="B16" s="74" t="s">
        <v>91</v>
      </c>
      <c r="C16" s="74" t="s">
        <v>133</v>
      </c>
      <c r="D16" s="74" t="s">
        <v>91</v>
      </c>
      <c r="E16" s="74" t="s">
        <v>133</v>
      </c>
      <c r="F16" s="74" t="s">
        <v>91</v>
      </c>
      <c r="G16" s="74" t="s">
        <v>133</v>
      </c>
      <c r="H16" s="74" t="s">
        <v>91</v>
      </c>
      <c r="I16" s="74" t="s">
        <v>133</v>
      </c>
      <c r="J16" s="74" t="s">
        <v>91</v>
      </c>
      <c r="K16" s="74" t="s">
        <v>133</v>
      </c>
      <c r="L16" s="74" t="s">
        <v>91</v>
      </c>
      <c r="M16" s="74" t="s">
        <v>133</v>
      </c>
      <c r="N16" s="74" t="s">
        <v>91</v>
      </c>
      <c r="O16" s="74" t="s">
        <v>133</v>
      </c>
      <c r="Q16" s="102" t="s">
        <v>147</v>
      </c>
      <c r="R16" s="102"/>
      <c r="S16" s="102" t="s">
        <v>145</v>
      </c>
      <c r="T16" s="102"/>
      <c r="U16" s="103" t="s">
        <v>196</v>
      </c>
      <c r="V16" s="104"/>
      <c r="W16" s="102" t="s">
        <v>146</v>
      </c>
      <c r="X16" s="102"/>
      <c r="Y16" s="102" t="s">
        <v>145</v>
      </c>
      <c r="Z16" s="102"/>
      <c r="AA16" s="102" t="s">
        <v>151</v>
      </c>
      <c r="AB16" s="102"/>
      <c r="AC16" s="102" t="s">
        <v>145</v>
      </c>
      <c r="AD16" s="102"/>
      <c r="AE16" s="102" t="s">
        <v>151</v>
      </c>
      <c r="AF16" s="102"/>
    </row>
    <row r="17" spans="1:88" ht="27" customHeight="1">
      <c r="A17" s="102"/>
      <c r="B17" s="67" t="str">
        <f>$B$1</f>
        <v>MRI-CGCM2.3.2</v>
      </c>
      <c r="C17" s="67" t="str">
        <f t="shared" ref="C17:I17" si="0">$B$1</f>
        <v>MRI-CGCM2.3.2</v>
      </c>
      <c r="D17" s="67" t="str">
        <f t="shared" si="0"/>
        <v>MRI-CGCM2.3.2</v>
      </c>
      <c r="E17" s="67" t="str">
        <f t="shared" si="0"/>
        <v>MRI-CGCM2.3.2</v>
      </c>
      <c r="F17" s="67" t="str">
        <f t="shared" si="0"/>
        <v>MRI-CGCM2.3.2</v>
      </c>
      <c r="G17" s="67" t="str">
        <f t="shared" si="0"/>
        <v>MRI-CGCM2.3.2</v>
      </c>
      <c r="H17" s="67" t="str">
        <f t="shared" si="0"/>
        <v>MRI-CGCM2.3.2</v>
      </c>
      <c r="I17" s="67" t="str">
        <f t="shared" si="0"/>
        <v>MRI-CGCM2.3.2</v>
      </c>
      <c r="J17" s="67"/>
      <c r="K17" s="67"/>
      <c r="L17" s="67" t="str">
        <f t="shared" ref="L17:M17" si="1">$B$1</f>
        <v>MRI-CGCM2.3.2</v>
      </c>
      <c r="M17" s="67" t="str">
        <f t="shared" si="1"/>
        <v>MRI-CGCM2.3.2</v>
      </c>
      <c r="N17" s="67"/>
      <c r="O17" s="67"/>
      <c r="Q17" s="67" t="s">
        <v>91</v>
      </c>
      <c r="R17" s="67" t="s">
        <v>133</v>
      </c>
      <c r="S17" s="67" t="s">
        <v>91</v>
      </c>
      <c r="T17" s="67" t="s">
        <v>133</v>
      </c>
      <c r="U17" s="67" t="s">
        <v>91</v>
      </c>
      <c r="V17" s="67" t="s">
        <v>133</v>
      </c>
      <c r="W17" s="67" t="s">
        <v>91</v>
      </c>
      <c r="X17" s="67" t="s">
        <v>133</v>
      </c>
      <c r="Y17" s="67" t="s">
        <v>91</v>
      </c>
      <c r="Z17" s="67" t="s">
        <v>133</v>
      </c>
      <c r="AA17" s="67" t="s">
        <v>91</v>
      </c>
      <c r="AB17" s="67" t="s">
        <v>133</v>
      </c>
      <c r="AC17" s="67" t="s">
        <v>91</v>
      </c>
      <c r="AD17" s="67" t="s">
        <v>133</v>
      </c>
      <c r="AE17" s="67" t="s">
        <v>91</v>
      </c>
      <c r="AF17" s="67" t="s">
        <v>133</v>
      </c>
    </row>
    <row r="18" spans="1:88">
      <c r="A18" s="51">
        <v>1990</v>
      </c>
      <c r="B18" s="52">
        <f>B5</f>
        <v>0</v>
      </c>
      <c r="C18" s="52">
        <f>C5</f>
        <v>0</v>
      </c>
      <c r="D18" s="52">
        <f>D5</f>
        <v>0</v>
      </c>
      <c r="E18" s="52">
        <f>E5</f>
        <v>0</v>
      </c>
      <c r="F18" s="52">
        <f t="shared" ref="F18:O18" si="2">F5</f>
        <v>0</v>
      </c>
      <c r="G18" s="52">
        <f t="shared" si="2"/>
        <v>0</v>
      </c>
      <c r="H18" s="52">
        <f t="shared" si="2"/>
        <v>0</v>
      </c>
      <c r="I18" s="52">
        <f t="shared" si="2"/>
        <v>0</v>
      </c>
      <c r="J18" s="52">
        <f t="shared" si="2"/>
        <v>0</v>
      </c>
      <c r="K18" s="52">
        <f t="shared" si="2"/>
        <v>0</v>
      </c>
      <c r="L18" s="52">
        <f t="shared" si="2"/>
        <v>0</v>
      </c>
      <c r="M18" s="52">
        <f t="shared" si="2"/>
        <v>0</v>
      </c>
      <c r="N18" s="52">
        <f t="shared" si="2"/>
        <v>0</v>
      </c>
      <c r="O18" s="52">
        <f t="shared" si="2"/>
        <v>0</v>
      </c>
      <c r="P18" s="75"/>
      <c r="Q18" s="53">
        <v>352.5</v>
      </c>
      <c r="R18" s="53">
        <v>352.5</v>
      </c>
      <c r="S18" s="53">
        <f>Baseline!$B$5</f>
        <v>16.399999999999999</v>
      </c>
      <c r="T18" s="53">
        <f>Baseline!$B$5</f>
        <v>16.399999999999999</v>
      </c>
      <c r="U18" s="80">
        <f>Baseline!$B$6</f>
        <v>1094</v>
      </c>
      <c r="V18" s="80">
        <f>Baseline!$B$6</f>
        <v>1094</v>
      </c>
      <c r="W18" s="53">
        <f>Baseline!$B$7</f>
        <v>74.099999999999994</v>
      </c>
      <c r="X18" s="79">
        <f>Baseline!$B$7</f>
        <v>74.099999999999994</v>
      </c>
      <c r="Y18" s="53">
        <f>Baseline!$B$9</f>
        <v>19.3</v>
      </c>
      <c r="Z18" s="79">
        <f>Baseline!$B$9</f>
        <v>19.3</v>
      </c>
      <c r="AA18" s="51"/>
      <c r="AB18" s="51"/>
      <c r="AC18" s="53">
        <f>Baseline!$C$9</f>
        <v>21.5</v>
      </c>
      <c r="AD18" s="79">
        <f>Baseline!$C$9</f>
        <v>21.5</v>
      </c>
      <c r="AE18" s="53"/>
      <c r="AF18" s="53"/>
    </row>
    <row r="19" spans="1:88">
      <c r="A19" s="51">
        <v>1991</v>
      </c>
      <c r="B19" s="52">
        <f t="shared" ref="B19:O34" si="3">(B$6-B$5)/COUNT($A$18:$A$37)+B18</f>
        <v>1.1666666666666665E-2</v>
      </c>
      <c r="C19" s="52">
        <f t="shared" si="3"/>
        <v>1.2E-2</v>
      </c>
      <c r="D19" s="52">
        <f t="shared" si="3"/>
        <v>1.1666666666666665E-2</v>
      </c>
      <c r="E19" s="52">
        <f t="shared" si="3"/>
        <v>1.1666666666666665E-2</v>
      </c>
      <c r="F19" s="52">
        <f t="shared" si="3"/>
        <v>-1.1666666666666665E-2</v>
      </c>
      <c r="G19" s="52">
        <f t="shared" si="3"/>
        <v>-1.3333333333333332E-2</v>
      </c>
      <c r="H19" s="52">
        <f t="shared" si="3"/>
        <v>9.8333333333333328E-3</v>
      </c>
      <c r="I19" s="52">
        <f t="shared" si="3"/>
        <v>1.0333333333333333E-2</v>
      </c>
      <c r="J19" s="52">
        <f t="shared" si="3"/>
        <v>0</v>
      </c>
      <c r="K19" s="52">
        <f t="shared" si="3"/>
        <v>0</v>
      </c>
      <c r="L19" s="52">
        <f t="shared" si="3"/>
        <v>9.8906416666666285E-3</v>
      </c>
      <c r="M19" s="52">
        <f t="shared" si="3"/>
        <v>1.0441051666666645E-2</v>
      </c>
      <c r="N19" s="52">
        <f t="shared" si="3"/>
        <v>0</v>
      </c>
      <c r="O19" s="52">
        <f t="shared" si="3"/>
        <v>0</v>
      </c>
      <c r="P19" s="75"/>
      <c r="Q19" s="53">
        <v>354.05</v>
      </c>
      <c r="R19" s="53">
        <v>354.05</v>
      </c>
      <c r="S19" s="53">
        <f>S$18+$B19</f>
        <v>16.411666666666665</v>
      </c>
      <c r="T19" s="53">
        <f>T$18+$C19</f>
        <v>16.411999999999999</v>
      </c>
      <c r="U19" s="53">
        <f>U$18+U$18*$D19/100</f>
        <v>1094.1276333333333</v>
      </c>
      <c r="V19" s="53">
        <f>V$18+V$18*E19/100</f>
        <v>1094.1276333333333</v>
      </c>
      <c r="W19" s="53">
        <f>W$18+W$18*$F19/100</f>
        <v>74.091354999999993</v>
      </c>
      <c r="X19" s="53">
        <f>X$18+X$18*$G19/100</f>
        <v>74.090119999999999</v>
      </c>
      <c r="Y19" s="53">
        <f>Y$18+$H19</f>
        <v>19.309833333333334</v>
      </c>
      <c r="Z19" s="53">
        <f>Z$18+$I19</f>
        <v>19.310333333333332</v>
      </c>
      <c r="AA19" s="53"/>
      <c r="AB19" s="53"/>
      <c r="AC19" s="53">
        <f>AC$18+$L19</f>
        <v>21.509890641666665</v>
      </c>
      <c r="AD19" s="53">
        <f>AD$18+$M19</f>
        <v>21.510441051666668</v>
      </c>
      <c r="AE19" s="53"/>
      <c r="AF19" s="53"/>
    </row>
    <row r="20" spans="1:88">
      <c r="A20" s="51">
        <v>1992</v>
      </c>
      <c r="B20" s="52">
        <f t="shared" si="3"/>
        <v>2.3333333333333331E-2</v>
      </c>
      <c r="C20" s="52">
        <f t="shared" si="3"/>
        <v>2.4E-2</v>
      </c>
      <c r="D20" s="52">
        <f t="shared" si="3"/>
        <v>2.3333333333333331E-2</v>
      </c>
      <c r="E20" s="52">
        <f t="shared" si="3"/>
        <v>2.3333333333333331E-2</v>
      </c>
      <c r="F20" s="52">
        <f t="shared" si="3"/>
        <v>-2.3333333333333331E-2</v>
      </c>
      <c r="G20" s="52">
        <f t="shared" si="3"/>
        <v>-2.6666666666666665E-2</v>
      </c>
      <c r="H20" s="52">
        <f t="shared" si="3"/>
        <v>1.9666666666666666E-2</v>
      </c>
      <c r="I20" s="52">
        <f t="shared" si="3"/>
        <v>2.0666666666666667E-2</v>
      </c>
      <c r="J20" s="52">
        <f t="shared" si="3"/>
        <v>0</v>
      </c>
      <c r="K20" s="52">
        <f t="shared" si="3"/>
        <v>0</v>
      </c>
      <c r="L20" s="52">
        <f t="shared" si="3"/>
        <v>1.9781283333333257E-2</v>
      </c>
      <c r="M20" s="52">
        <f t="shared" si="3"/>
        <v>2.0882103333333291E-2</v>
      </c>
      <c r="N20" s="52">
        <f t="shared" si="3"/>
        <v>0</v>
      </c>
      <c r="O20" s="52">
        <f t="shared" si="3"/>
        <v>0</v>
      </c>
      <c r="P20" s="75"/>
      <c r="Q20" s="53">
        <v>355.6</v>
      </c>
      <c r="R20" s="53">
        <v>355.6</v>
      </c>
      <c r="S20" s="53">
        <f t="shared" ref="S20:S83" si="4">S$18+$B20</f>
        <v>16.423333333333332</v>
      </c>
      <c r="T20" s="53">
        <f t="shared" ref="T20:T83" si="5">T$18+$C20</f>
        <v>16.423999999999999</v>
      </c>
      <c r="U20" s="53">
        <f t="shared" ref="U20:U83" si="6">U$18+U$18*$D20/100</f>
        <v>1094.2552666666666</v>
      </c>
      <c r="V20" s="53">
        <f t="shared" ref="V20:V83" si="7">V$18+V$18*E20/100</f>
        <v>1094.2552666666666</v>
      </c>
      <c r="W20" s="53">
        <f t="shared" ref="W20:W83" si="8">W$18+W$18*$F20/100</f>
        <v>74.082709999999992</v>
      </c>
      <c r="X20" s="53">
        <f t="shared" ref="X20:X83" si="9">X$18+X$18*$G20/100</f>
        <v>74.080239999999989</v>
      </c>
      <c r="Y20" s="53">
        <f t="shared" ref="Y20:Y83" si="10">Y$18+$H20</f>
        <v>19.319666666666667</v>
      </c>
      <c r="Z20" s="53">
        <f t="shared" ref="Z20:Z83" si="11">Z$18+$I20</f>
        <v>19.320666666666668</v>
      </c>
      <c r="AA20" s="53"/>
      <c r="AB20" s="53"/>
      <c r="AC20" s="53">
        <f t="shared" ref="AC20:AC83" si="12">AC$18+$L20</f>
        <v>21.519781283333334</v>
      </c>
      <c r="AD20" s="53">
        <f t="shared" ref="AD20:AD83" si="13">AD$18+$M20</f>
        <v>21.520882103333335</v>
      </c>
      <c r="AE20" s="53"/>
      <c r="AF20" s="53"/>
    </row>
    <row r="21" spans="1:88">
      <c r="A21" s="51">
        <v>1993</v>
      </c>
      <c r="B21" s="52">
        <f t="shared" si="3"/>
        <v>3.4999999999999996E-2</v>
      </c>
      <c r="C21" s="52">
        <f t="shared" si="3"/>
        <v>3.6000000000000004E-2</v>
      </c>
      <c r="D21" s="52">
        <f t="shared" si="3"/>
        <v>3.4999999999999996E-2</v>
      </c>
      <c r="E21" s="52">
        <f t="shared" si="3"/>
        <v>3.4999999999999996E-2</v>
      </c>
      <c r="F21" s="52">
        <f t="shared" si="3"/>
        <v>-3.4999999999999996E-2</v>
      </c>
      <c r="G21" s="52">
        <f t="shared" si="3"/>
        <v>-3.9999999999999994E-2</v>
      </c>
      <c r="H21" s="52">
        <f t="shared" si="3"/>
        <v>2.9499999999999998E-2</v>
      </c>
      <c r="I21" s="52">
        <f t="shared" si="3"/>
        <v>3.1E-2</v>
      </c>
      <c r="J21" s="52">
        <f t="shared" si="3"/>
        <v>0</v>
      </c>
      <c r="K21" s="52">
        <f t="shared" si="3"/>
        <v>0</v>
      </c>
      <c r="L21" s="52">
        <f t="shared" si="3"/>
        <v>2.9671924999999884E-2</v>
      </c>
      <c r="M21" s="52">
        <f t="shared" si="3"/>
        <v>3.1323154999999936E-2</v>
      </c>
      <c r="N21" s="52">
        <f t="shared" si="3"/>
        <v>0</v>
      </c>
      <c r="O21" s="52">
        <f t="shared" si="3"/>
        <v>0</v>
      </c>
      <c r="P21" s="75"/>
      <c r="Q21" s="53">
        <v>357.15000000000003</v>
      </c>
      <c r="R21" s="53">
        <v>357.15000000000003</v>
      </c>
      <c r="S21" s="53">
        <f t="shared" si="4"/>
        <v>16.434999999999999</v>
      </c>
      <c r="T21" s="53">
        <f t="shared" si="5"/>
        <v>16.436</v>
      </c>
      <c r="U21" s="53">
        <f t="shared" si="6"/>
        <v>1094.3829000000001</v>
      </c>
      <c r="V21" s="53">
        <f t="shared" si="7"/>
        <v>1094.3829000000001</v>
      </c>
      <c r="W21" s="53">
        <f t="shared" si="8"/>
        <v>74.07406499999999</v>
      </c>
      <c r="X21" s="53">
        <f t="shared" si="9"/>
        <v>74.070359999999994</v>
      </c>
      <c r="Y21" s="53">
        <f t="shared" si="10"/>
        <v>19.329499999999999</v>
      </c>
      <c r="Z21" s="53">
        <f t="shared" si="11"/>
        <v>19.331</v>
      </c>
      <c r="AA21" s="53"/>
      <c r="AB21" s="53"/>
      <c r="AC21" s="53">
        <f t="shared" si="12"/>
        <v>21.529671924999999</v>
      </c>
      <c r="AD21" s="53">
        <f t="shared" si="13"/>
        <v>21.531323154999999</v>
      </c>
      <c r="AE21" s="53"/>
      <c r="AF21" s="53"/>
    </row>
    <row r="22" spans="1:88">
      <c r="A22" s="51">
        <v>1994</v>
      </c>
      <c r="B22" s="52">
        <f t="shared" si="3"/>
        <v>4.6666666666666662E-2</v>
      </c>
      <c r="C22" s="52">
        <f t="shared" si="3"/>
        <v>4.8000000000000001E-2</v>
      </c>
      <c r="D22" s="52">
        <f t="shared" si="3"/>
        <v>4.6666666666666662E-2</v>
      </c>
      <c r="E22" s="52">
        <f t="shared" si="3"/>
        <v>4.6666666666666662E-2</v>
      </c>
      <c r="F22" s="52">
        <f t="shared" si="3"/>
        <v>-4.6666666666666662E-2</v>
      </c>
      <c r="G22" s="52">
        <f t="shared" si="3"/>
        <v>-5.333333333333333E-2</v>
      </c>
      <c r="H22" s="52">
        <f t="shared" si="3"/>
        <v>3.9333333333333331E-2</v>
      </c>
      <c r="I22" s="52">
        <f t="shared" si="3"/>
        <v>4.1333333333333333E-2</v>
      </c>
      <c r="J22" s="52">
        <f t="shared" si="3"/>
        <v>0</v>
      </c>
      <c r="K22" s="52">
        <f t="shared" si="3"/>
        <v>0</v>
      </c>
      <c r="L22" s="52">
        <f t="shared" si="3"/>
        <v>3.9562566666666514E-2</v>
      </c>
      <c r="M22" s="52">
        <f t="shared" si="3"/>
        <v>4.1764206666666581E-2</v>
      </c>
      <c r="N22" s="52">
        <f t="shared" si="3"/>
        <v>0</v>
      </c>
      <c r="O22" s="52">
        <f t="shared" si="3"/>
        <v>0</v>
      </c>
      <c r="P22" s="75"/>
      <c r="Q22" s="53">
        <v>358.70000000000005</v>
      </c>
      <c r="R22" s="53">
        <v>358.70000000000005</v>
      </c>
      <c r="S22" s="53">
        <f t="shared" si="4"/>
        <v>16.446666666666665</v>
      </c>
      <c r="T22" s="53">
        <f t="shared" si="5"/>
        <v>16.447999999999997</v>
      </c>
      <c r="U22" s="53">
        <f t="shared" si="6"/>
        <v>1094.5105333333333</v>
      </c>
      <c r="V22" s="53">
        <f t="shared" si="7"/>
        <v>1094.5105333333333</v>
      </c>
      <c r="W22" s="53">
        <f t="shared" si="8"/>
        <v>74.065419999999989</v>
      </c>
      <c r="X22" s="53">
        <f t="shared" si="9"/>
        <v>74.060479999999998</v>
      </c>
      <c r="Y22" s="53">
        <f t="shared" si="10"/>
        <v>19.339333333333332</v>
      </c>
      <c r="Z22" s="53">
        <f t="shared" si="11"/>
        <v>19.341333333333335</v>
      </c>
      <c r="AA22" s="53"/>
      <c r="AB22" s="53"/>
      <c r="AC22" s="53">
        <f t="shared" si="12"/>
        <v>21.539562566666667</v>
      </c>
      <c r="AD22" s="53">
        <f t="shared" si="13"/>
        <v>21.541764206666667</v>
      </c>
      <c r="AE22" s="53"/>
      <c r="AF22" s="53"/>
    </row>
    <row r="23" spans="1:88">
      <c r="A23" s="51">
        <v>1995</v>
      </c>
      <c r="B23" s="52">
        <f t="shared" si="3"/>
        <v>5.8333333333333327E-2</v>
      </c>
      <c r="C23" s="52">
        <f t="shared" si="3"/>
        <v>0.06</v>
      </c>
      <c r="D23" s="52">
        <f t="shared" si="3"/>
        <v>5.8333333333333327E-2</v>
      </c>
      <c r="E23" s="52">
        <f t="shared" si="3"/>
        <v>5.8333333333333327E-2</v>
      </c>
      <c r="F23" s="52">
        <f t="shared" si="3"/>
        <v>-5.8333333333333327E-2</v>
      </c>
      <c r="G23" s="52">
        <f t="shared" si="3"/>
        <v>-6.6666666666666666E-2</v>
      </c>
      <c r="H23" s="52">
        <f t="shared" si="3"/>
        <v>4.9166666666666664E-2</v>
      </c>
      <c r="I23" s="52">
        <f t="shared" si="3"/>
        <v>5.1666666666666666E-2</v>
      </c>
      <c r="J23" s="52">
        <f t="shared" si="3"/>
        <v>0</v>
      </c>
      <c r="K23" s="52">
        <f t="shared" si="3"/>
        <v>0</v>
      </c>
      <c r="L23" s="52">
        <f t="shared" si="3"/>
        <v>4.9453208333333144E-2</v>
      </c>
      <c r="M23" s="52">
        <f t="shared" si="3"/>
        <v>5.2205258333333227E-2</v>
      </c>
      <c r="N23" s="52">
        <f t="shared" si="3"/>
        <v>0</v>
      </c>
      <c r="O23" s="52">
        <f t="shared" si="3"/>
        <v>0</v>
      </c>
      <c r="P23" s="75"/>
      <c r="Q23" s="53">
        <v>360.25000000000006</v>
      </c>
      <c r="R23" s="53">
        <v>360.25000000000006</v>
      </c>
      <c r="S23" s="53">
        <f t="shared" si="4"/>
        <v>16.458333333333332</v>
      </c>
      <c r="T23" s="53">
        <f t="shared" si="5"/>
        <v>16.459999999999997</v>
      </c>
      <c r="U23" s="53">
        <f t="shared" si="6"/>
        <v>1094.6381666666666</v>
      </c>
      <c r="V23" s="53">
        <f t="shared" si="7"/>
        <v>1094.6381666666666</v>
      </c>
      <c r="W23" s="53">
        <f t="shared" si="8"/>
        <v>74.056774999999988</v>
      </c>
      <c r="X23" s="53">
        <f t="shared" si="9"/>
        <v>74.050599999999989</v>
      </c>
      <c r="Y23" s="53">
        <f t="shared" si="10"/>
        <v>19.349166666666669</v>
      </c>
      <c r="Z23" s="53">
        <f t="shared" si="11"/>
        <v>19.351666666666667</v>
      </c>
      <c r="AA23" s="53"/>
      <c r="AB23" s="53"/>
      <c r="AC23" s="53">
        <f t="shared" si="12"/>
        <v>21.549453208333333</v>
      </c>
      <c r="AD23" s="53">
        <f t="shared" si="13"/>
        <v>21.552205258333334</v>
      </c>
      <c r="AE23" s="53"/>
      <c r="AF23" s="53"/>
    </row>
    <row r="24" spans="1:88">
      <c r="A24" s="51">
        <v>1996</v>
      </c>
      <c r="B24" s="52">
        <f t="shared" si="3"/>
        <v>6.9999999999999993E-2</v>
      </c>
      <c r="C24" s="52">
        <f t="shared" si="3"/>
        <v>7.1999999999999995E-2</v>
      </c>
      <c r="D24" s="52">
        <f t="shared" si="3"/>
        <v>6.9999999999999993E-2</v>
      </c>
      <c r="E24" s="52">
        <f t="shared" si="3"/>
        <v>6.9999999999999993E-2</v>
      </c>
      <c r="F24" s="52">
        <f t="shared" si="3"/>
        <v>-6.9999999999999993E-2</v>
      </c>
      <c r="G24" s="52">
        <f t="shared" si="3"/>
        <v>-0.08</v>
      </c>
      <c r="H24" s="52">
        <f t="shared" si="3"/>
        <v>5.8999999999999997E-2</v>
      </c>
      <c r="I24" s="52">
        <f t="shared" si="3"/>
        <v>6.2E-2</v>
      </c>
      <c r="J24" s="52">
        <f t="shared" si="3"/>
        <v>0</v>
      </c>
      <c r="K24" s="52">
        <f t="shared" si="3"/>
        <v>0</v>
      </c>
      <c r="L24" s="52">
        <f t="shared" si="3"/>
        <v>5.9343849999999775E-2</v>
      </c>
      <c r="M24" s="52">
        <f t="shared" si="3"/>
        <v>6.2646309999999872E-2</v>
      </c>
      <c r="N24" s="52">
        <f t="shared" si="3"/>
        <v>0</v>
      </c>
      <c r="O24" s="52">
        <f t="shared" si="3"/>
        <v>0</v>
      </c>
      <c r="P24" s="75"/>
      <c r="Q24" s="53">
        <v>361.80000000000007</v>
      </c>
      <c r="R24" s="53">
        <v>361.80000000000007</v>
      </c>
      <c r="S24" s="53">
        <f t="shared" si="4"/>
        <v>16.47</v>
      </c>
      <c r="T24" s="53">
        <f t="shared" si="5"/>
        <v>16.471999999999998</v>
      </c>
      <c r="U24" s="53">
        <f t="shared" si="6"/>
        <v>1094.7657999999999</v>
      </c>
      <c r="V24" s="53">
        <f t="shared" si="7"/>
        <v>1094.7657999999999</v>
      </c>
      <c r="W24" s="53">
        <f t="shared" si="8"/>
        <v>74.04813</v>
      </c>
      <c r="X24" s="53">
        <f t="shared" si="9"/>
        <v>74.040719999999993</v>
      </c>
      <c r="Y24" s="53">
        <f t="shared" si="10"/>
        <v>19.359000000000002</v>
      </c>
      <c r="Z24" s="53">
        <f t="shared" si="11"/>
        <v>19.362000000000002</v>
      </c>
      <c r="AA24" s="53"/>
      <c r="AB24" s="53"/>
      <c r="AC24" s="53">
        <f t="shared" si="12"/>
        <v>21.559343850000001</v>
      </c>
      <c r="AD24" s="53">
        <f t="shared" si="13"/>
        <v>21.562646309999998</v>
      </c>
      <c r="AE24" s="53"/>
      <c r="AF24" s="53"/>
    </row>
    <row r="25" spans="1:88">
      <c r="A25" s="51">
        <v>1997</v>
      </c>
      <c r="B25" s="52">
        <f t="shared" si="3"/>
        <v>8.1666666666666665E-2</v>
      </c>
      <c r="C25" s="52">
        <f t="shared" si="3"/>
        <v>8.3999999999999991E-2</v>
      </c>
      <c r="D25" s="52">
        <f t="shared" si="3"/>
        <v>8.1666666666666665E-2</v>
      </c>
      <c r="E25" s="52">
        <f t="shared" si="3"/>
        <v>8.1666666666666665E-2</v>
      </c>
      <c r="F25" s="52">
        <f t="shared" si="3"/>
        <v>-8.1666666666666665E-2</v>
      </c>
      <c r="G25" s="52">
        <f t="shared" si="3"/>
        <v>-9.3333333333333338E-2</v>
      </c>
      <c r="H25" s="52">
        <f t="shared" si="3"/>
        <v>6.883333333333333E-2</v>
      </c>
      <c r="I25" s="52">
        <f t="shared" si="3"/>
        <v>7.2333333333333333E-2</v>
      </c>
      <c r="J25" s="52">
        <f t="shared" si="3"/>
        <v>0</v>
      </c>
      <c r="K25" s="52">
        <f t="shared" si="3"/>
        <v>0</v>
      </c>
      <c r="L25" s="52">
        <f t="shared" si="3"/>
        <v>6.9234491666666398E-2</v>
      </c>
      <c r="M25" s="52">
        <f t="shared" si="3"/>
        <v>7.3087361666666517E-2</v>
      </c>
      <c r="N25" s="52">
        <f t="shared" si="3"/>
        <v>0</v>
      </c>
      <c r="O25" s="52">
        <f t="shared" si="3"/>
        <v>0</v>
      </c>
      <c r="P25" s="75"/>
      <c r="Q25" s="53">
        <v>363.35000000000008</v>
      </c>
      <c r="R25" s="53">
        <v>363.35000000000008</v>
      </c>
      <c r="S25" s="53">
        <f t="shared" si="4"/>
        <v>16.481666666666666</v>
      </c>
      <c r="T25" s="53">
        <f t="shared" si="5"/>
        <v>16.483999999999998</v>
      </c>
      <c r="U25" s="53">
        <f t="shared" si="6"/>
        <v>1094.8934333333334</v>
      </c>
      <c r="V25" s="53">
        <f t="shared" si="7"/>
        <v>1094.8934333333334</v>
      </c>
      <c r="W25" s="53">
        <f t="shared" si="8"/>
        <v>74.039484999999999</v>
      </c>
      <c r="X25" s="53">
        <f t="shared" si="9"/>
        <v>74.030839999999998</v>
      </c>
      <c r="Y25" s="53">
        <f t="shared" si="10"/>
        <v>19.368833333333335</v>
      </c>
      <c r="Z25" s="53">
        <f t="shared" si="11"/>
        <v>19.372333333333334</v>
      </c>
      <c r="AA25" s="53"/>
      <c r="AB25" s="53"/>
      <c r="AC25" s="53">
        <f t="shared" si="12"/>
        <v>21.569234491666666</v>
      </c>
      <c r="AD25" s="53">
        <f t="shared" si="13"/>
        <v>21.573087361666666</v>
      </c>
      <c r="AE25" s="53"/>
      <c r="AF25" s="53"/>
    </row>
    <row r="26" spans="1:88">
      <c r="A26" s="51">
        <v>1998</v>
      </c>
      <c r="B26" s="52">
        <f t="shared" si="3"/>
        <v>9.3333333333333324E-2</v>
      </c>
      <c r="C26" s="52">
        <f t="shared" si="3"/>
        <v>9.5999999999999988E-2</v>
      </c>
      <c r="D26" s="52">
        <f t="shared" si="3"/>
        <v>9.3333333333333324E-2</v>
      </c>
      <c r="E26" s="52">
        <f t="shared" si="3"/>
        <v>9.3333333333333324E-2</v>
      </c>
      <c r="F26" s="52">
        <f t="shared" si="3"/>
        <v>-9.3333333333333324E-2</v>
      </c>
      <c r="G26" s="52">
        <f t="shared" si="3"/>
        <v>-0.10666666666666667</v>
      </c>
      <c r="H26" s="52">
        <f t="shared" si="3"/>
        <v>7.8666666666666663E-2</v>
      </c>
      <c r="I26" s="52">
        <f t="shared" si="3"/>
        <v>8.2666666666666666E-2</v>
      </c>
      <c r="J26" s="52">
        <f t="shared" si="3"/>
        <v>0</v>
      </c>
      <c r="K26" s="52">
        <f t="shared" si="3"/>
        <v>0</v>
      </c>
      <c r="L26" s="52">
        <f t="shared" si="3"/>
        <v>7.9125133333333028E-2</v>
      </c>
      <c r="M26" s="52">
        <f t="shared" si="3"/>
        <v>8.3528413333333162E-2</v>
      </c>
      <c r="N26" s="52">
        <f t="shared" si="3"/>
        <v>0</v>
      </c>
      <c r="O26" s="52">
        <f t="shared" si="3"/>
        <v>0</v>
      </c>
      <c r="P26" s="75"/>
      <c r="Q26" s="53">
        <v>364.90000000000009</v>
      </c>
      <c r="R26" s="53">
        <v>364.90000000000009</v>
      </c>
      <c r="S26" s="53">
        <f t="shared" si="4"/>
        <v>16.493333333333332</v>
      </c>
      <c r="T26" s="53">
        <f t="shared" si="5"/>
        <v>16.495999999999999</v>
      </c>
      <c r="U26" s="53">
        <f t="shared" si="6"/>
        <v>1095.0210666666667</v>
      </c>
      <c r="V26" s="53">
        <f t="shared" si="7"/>
        <v>1095.0210666666667</v>
      </c>
      <c r="W26" s="53">
        <f t="shared" si="8"/>
        <v>74.030839999999998</v>
      </c>
      <c r="X26" s="53">
        <f t="shared" si="9"/>
        <v>74.020959999999988</v>
      </c>
      <c r="Y26" s="53">
        <f t="shared" si="10"/>
        <v>19.378666666666668</v>
      </c>
      <c r="Z26" s="53">
        <f t="shared" si="11"/>
        <v>19.382666666666669</v>
      </c>
      <c r="AA26" s="53"/>
      <c r="AB26" s="53"/>
      <c r="AC26" s="53">
        <f t="shared" si="12"/>
        <v>21.579125133333331</v>
      </c>
      <c r="AD26" s="53">
        <f t="shared" si="13"/>
        <v>21.583528413333333</v>
      </c>
      <c r="AE26" s="53"/>
      <c r="AF26" s="53"/>
      <c r="CE26" s="69" t="s">
        <v>91</v>
      </c>
      <c r="CH26" s="69" t="s">
        <v>133</v>
      </c>
    </row>
    <row r="27" spans="1:88">
      <c r="A27" s="48">
        <v>1999</v>
      </c>
      <c r="B27" s="49">
        <f t="shared" si="3"/>
        <v>0.10499999999999998</v>
      </c>
      <c r="C27" s="49">
        <f t="shared" si="3"/>
        <v>0.10799999999999998</v>
      </c>
      <c r="D27" s="49">
        <f t="shared" si="3"/>
        <v>0.10499999999999998</v>
      </c>
      <c r="E27" s="49">
        <f t="shared" si="3"/>
        <v>0.10499999999999998</v>
      </c>
      <c r="F27" s="49">
        <f t="shared" si="3"/>
        <v>-0.10499999999999998</v>
      </c>
      <c r="G27" s="49">
        <f t="shared" si="3"/>
        <v>-0.12000000000000001</v>
      </c>
      <c r="H27" s="49">
        <f t="shared" si="3"/>
        <v>8.8499999999999995E-2</v>
      </c>
      <c r="I27" s="49">
        <f t="shared" si="3"/>
        <v>9.2999999999999999E-2</v>
      </c>
      <c r="J27" s="49">
        <f t="shared" si="3"/>
        <v>0</v>
      </c>
      <c r="K27" s="49">
        <f t="shared" si="3"/>
        <v>0</v>
      </c>
      <c r="L27" s="49">
        <f t="shared" si="3"/>
        <v>8.9015774999999658E-2</v>
      </c>
      <c r="M27" s="49">
        <f t="shared" si="3"/>
        <v>9.3969464999999808E-2</v>
      </c>
      <c r="N27" s="49">
        <f t="shared" si="3"/>
        <v>0</v>
      </c>
      <c r="O27" s="49">
        <f t="shared" si="3"/>
        <v>0</v>
      </c>
      <c r="P27" s="76"/>
      <c r="Q27" s="50">
        <v>366.4500000000001</v>
      </c>
      <c r="R27" s="50">
        <v>366.4500000000001</v>
      </c>
      <c r="S27" s="50">
        <f t="shared" si="4"/>
        <v>16.504999999999999</v>
      </c>
      <c r="T27" s="50">
        <f t="shared" si="5"/>
        <v>16.507999999999999</v>
      </c>
      <c r="U27" s="50">
        <f t="shared" si="6"/>
        <v>1095.1487</v>
      </c>
      <c r="V27" s="50">
        <f t="shared" si="7"/>
        <v>1095.1487</v>
      </c>
      <c r="W27" s="50">
        <f t="shared" si="8"/>
        <v>74.022194999999996</v>
      </c>
      <c r="X27" s="50">
        <f t="shared" si="9"/>
        <v>74.011079999999993</v>
      </c>
      <c r="Y27" s="50">
        <f t="shared" si="10"/>
        <v>19.388500000000001</v>
      </c>
      <c r="Z27" s="50">
        <f t="shared" si="11"/>
        <v>19.393000000000001</v>
      </c>
      <c r="AA27" s="50"/>
      <c r="AB27" s="50"/>
      <c r="AC27" s="50">
        <f t="shared" si="12"/>
        <v>21.589015775</v>
      </c>
      <c r="AD27" s="50">
        <f t="shared" si="13"/>
        <v>21.593969465000001</v>
      </c>
      <c r="AE27" s="50"/>
      <c r="AF27" s="50"/>
      <c r="CE27" s="69" t="s">
        <v>148</v>
      </c>
      <c r="CF27" s="69" t="s">
        <v>149</v>
      </c>
      <c r="CG27" s="69" t="s">
        <v>150</v>
      </c>
      <c r="CH27" s="69" t="s">
        <v>148</v>
      </c>
      <c r="CI27" s="69" t="s">
        <v>149</v>
      </c>
      <c r="CJ27" s="69" t="s">
        <v>150</v>
      </c>
    </row>
    <row r="28" spans="1:88">
      <c r="A28" s="51">
        <v>2000</v>
      </c>
      <c r="B28" s="52">
        <f t="shared" si="3"/>
        <v>0.11666666666666664</v>
      </c>
      <c r="C28" s="52">
        <f t="shared" si="3"/>
        <v>0.11999999999999998</v>
      </c>
      <c r="D28" s="52">
        <f t="shared" si="3"/>
        <v>0.11666666666666664</v>
      </c>
      <c r="E28" s="52">
        <f t="shared" si="3"/>
        <v>0.11666666666666664</v>
      </c>
      <c r="F28" s="52">
        <f t="shared" si="3"/>
        <v>-0.11666666666666664</v>
      </c>
      <c r="G28" s="52">
        <f t="shared" si="3"/>
        <v>-0.13333333333333333</v>
      </c>
      <c r="H28" s="52">
        <f t="shared" si="3"/>
        <v>9.8333333333333328E-2</v>
      </c>
      <c r="I28" s="52">
        <f t="shared" si="3"/>
        <v>0.10333333333333333</v>
      </c>
      <c r="J28" s="52">
        <f t="shared" si="3"/>
        <v>0</v>
      </c>
      <c r="K28" s="52">
        <f t="shared" si="3"/>
        <v>0</v>
      </c>
      <c r="L28" s="52">
        <f t="shared" si="3"/>
        <v>9.8906416666666289E-2</v>
      </c>
      <c r="M28" s="52">
        <f t="shared" si="3"/>
        <v>0.10441051666666645</v>
      </c>
      <c r="N28" s="52">
        <f t="shared" si="3"/>
        <v>0</v>
      </c>
      <c r="O28" s="52">
        <f t="shared" si="3"/>
        <v>0</v>
      </c>
      <c r="Q28" s="53">
        <v>368</v>
      </c>
      <c r="R28" s="53">
        <v>368</v>
      </c>
      <c r="S28" s="53">
        <f t="shared" si="4"/>
        <v>16.516666666666666</v>
      </c>
      <c r="T28" s="53">
        <f t="shared" si="5"/>
        <v>16.52</v>
      </c>
      <c r="U28" s="36">
        <f t="shared" si="6"/>
        <v>1095.2763333333332</v>
      </c>
      <c r="V28" s="36">
        <f t="shared" si="7"/>
        <v>1095.2763333333332</v>
      </c>
      <c r="W28" s="53">
        <f t="shared" si="8"/>
        <v>74.013549999999995</v>
      </c>
      <c r="X28" s="53">
        <f t="shared" si="9"/>
        <v>74.001199999999997</v>
      </c>
      <c r="Y28" s="36">
        <f t="shared" si="10"/>
        <v>19.398333333333333</v>
      </c>
      <c r="Z28" s="36">
        <f t="shared" si="11"/>
        <v>19.403333333333332</v>
      </c>
      <c r="AA28" s="53"/>
      <c r="AB28" s="53"/>
      <c r="AC28" s="36">
        <f t="shared" si="12"/>
        <v>21.598906416666665</v>
      </c>
      <c r="AD28" s="36">
        <f t="shared" si="13"/>
        <v>21.604410516666668</v>
      </c>
      <c r="AE28" s="53"/>
      <c r="AF28" s="53"/>
      <c r="CD28" s="69">
        <v>2000</v>
      </c>
      <c r="CE28" s="54">
        <f t="shared" ref="CE28:CE91" si="14">S28</f>
        <v>16.516666666666666</v>
      </c>
      <c r="CF28" s="54">
        <f t="shared" ref="CF28:CF91" si="15">W28</f>
        <v>74.013549999999995</v>
      </c>
      <c r="CG28" s="69">
        <f t="shared" ref="CG28:CG91" si="16">Q28</f>
        <v>368</v>
      </c>
      <c r="CH28" s="54">
        <f t="shared" ref="CH28:CH91" si="17">T28</f>
        <v>16.52</v>
      </c>
      <c r="CI28" s="54">
        <f>X28</f>
        <v>74.001199999999997</v>
      </c>
      <c r="CJ28" s="69">
        <f t="shared" ref="CJ28:CJ91" si="18">R28</f>
        <v>368</v>
      </c>
    </row>
    <row r="29" spans="1:88">
      <c r="A29" s="35">
        <v>2001</v>
      </c>
      <c r="B29" s="47">
        <f t="shared" si="3"/>
        <v>0.1283333333333333</v>
      </c>
      <c r="C29" s="47">
        <f t="shared" si="3"/>
        <v>0.13199999999999998</v>
      </c>
      <c r="D29" s="47">
        <f t="shared" si="3"/>
        <v>0.1283333333333333</v>
      </c>
      <c r="E29" s="47">
        <f t="shared" si="3"/>
        <v>0.1283333333333333</v>
      </c>
      <c r="F29" s="47">
        <f t="shared" si="3"/>
        <v>-0.1283333333333333</v>
      </c>
      <c r="G29" s="47">
        <f t="shared" si="3"/>
        <v>-0.14666666666666667</v>
      </c>
      <c r="H29" s="47">
        <f t="shared" si="3"/>
        <v>0.10816666666666666</v>
      </c>
      <c r="I29" s="47">
        <f t="shared" si="3"/>
        <v>0.11366666666666667</v>
      </c>
      <c r="J29" s="47">
        <f t="shared" si="3"/>
        <v>0</v>
      </c>
      <c r="K29" s="47">
        <f t="shared" si="3"/>
        <v>0</v>
      </c>
      <c r="L29" s="47">
        <f t="shared" si="3"/>
        <v>0.10879705833333292</v>
      </c>
      <c r="M29" s="47">
        <f t="shared" si="3"/>
        <v>0.1148515683333331</v>
      </c>
      <c r="N29" s="47">
        <f t="shared" si="3"/>
        <v>0</v>
      </c>
      <c r="O29" s="47">
        <f t="shared" si="3"/>
        <v>0</v>
      </c>
      <c r="Q29" s="36">
        <v>369.95</v>
      </c>
      <c r="R29" s="36">
        <v>370.15</v>
      </c>
      <c r="S29" s="36">
        <f t="shared" si="4"/>
        <v>16.528333333333332</v>
      </c>
      <c r="T29" s="36">
        <f t="shared" si="5"/>
        <v>16.532</v>
      </c>
      <c r="U29" s="36">
        <f t="shared" si="6"/>
        <v>1095.4039666666667</v>
      </c>
      <c r="V29" s="36">
        <f t="shared" si="7"/>
        <v>1095.4039666666667</v>
      </c>
      <c r="W29" s="36">
        <f t="shared" si="8"/>
        <v>74.004904999999994</v>
      </c>
      <c r="X29" s="36">
        <f t="shared" si="9"/>
        <v>73.991319999999988</v>
      </c>
      <c r="Y29" s="36">
        <f t="shared" si="10"/>
        <v>19.408166666666666</v>
      </c>
      <c r="Z29" s="36">
        <f t="shared" si="11"/>
        <v>19.413666666666668</v>
      </c>
      <c r="AA29" s="53"/>
      <c r="AB29" s="53"/>
      <c r="AC29" s="36">
        <f t="shared" si="12"/>
        <v>21.608797058333334</v>
      </c>
      <c r="AD29" s="36">
        <f t="shared" si="13"/>
        <v>21.614851568333332</v>
      </c>
      <c r="AE29" s="53"/>
      <c r="AF29" s="53"/>
      <c r="CD29" s="69">
        <v>2001</v>
      </c>
      <c r="CE29" s="54">
        <f t="shared" si="14"/>
        <v>16.528333333333332</v>
      </c>
      <c r="CF29" s="54">
        <f t="shared" si="15"/>
        <v>74.004904999999994</v>
      </c>
      <c r="CG29" s="69">
        <f t="shared" si="16"/>
        <v>369.95</v>
      </c>
      <c r="CH29" s="54">
        <f t="shared" si="17"/>
        <v>16.532</v>
      </c>
      <c r="CI29" s="54">
        <f t="shared" ref="CI29:CI92" si="19">X29</f>
        <v>73.991319999999988</v>
      </c>
      <c r="CJ29" s="69">
        <f t="shared" si="18"/>
        <v>370.15</v>
      </c>
    </row>
    <row r="30" spans="1:88">
      <c r="A30" s="35">
        <v>2002</v>
      </c>
      <c r="B30" s="47">
        <f t="shared" si="3"/>
        <v>0.13999999999999996</v>
      </c>
      <c r="C30" s="47">
        <f t="shared" si="3"/>
        <v>0.14399999999999999</v>
      </c>
      <c r="D30" s="47">
        <f t="shared" si="3"/>
        <v>0.13999999999999996</v>
      </c>
      <c r="E30" s="47">
        <f t="shared" si="3"/>
        <v>0.13999999999999996</v>
      </c>
      <c r="F30" s="47">
        <f t="shared" si="3"/>
        <v>-0.13999999999999996</v>
      </c>
      <c r="G30" s="47">
        <f t="shared" si="3"/>
        <v>-0.16</v>
      </c>
      <c r="H30" s="47">
        <f t="shared" si="3"/>
        <v>0.11799999999999999</v>
      </c>
      <c r="I30" s="47">
        <f t="shared" si="3"/>
        <v>0.124</v>
      </c>
      <c r="J30" s="47">
        <f t="shared" si="3"/>
        <v>0</v>
      </c>
      <c r="K30" s="47">
        <f t="shared" si="3"/>
        <v>0</v>
      </c>
      <c r="L30" s="47">
        <f t="shared" si="3"/>
        <v>0.11868769999999955</v>
      </c>
      <c r="M30" s="47">
        <f t="shared" si="3"/>
        <v>0.12529261999999974</v>
      </c>
      <c r="N30" s="47">
        <f t="shared" si="3"/>
        <v>0</v>
      </c>
      <c r="O30" s="47">
        <f t="shared" si="3"/>
        <v>0</v>
      </c>
      <c r="Q30" s="36">
        <v>371.9</v>
      </c>
      <c r="R30" s="36">
        <v>372.29999999999995</v>
      </c>
      <c r="S30" s="36">
        <f t="shared" si="4"/>
        <v>16.54</v>
      </c>
      <c r="T30" s="36">
        <f t="shared" si="5"/>
        <v>16.543999999999997</v>
      </c>
      <c r="U30" s="36">
        <f t="shared" si="6"/>
        <v>1095.5316</v>
      </c>
      <c r="V30" s="36">
        <f t="shared" si="7"/>
        <v>1095.5316</v>
      </c>
      <c r="W30" s="36">
        <f t="shared" si="8"/>
        <v>73.996259999999992</v>
      </c>
      <c r="X30" s="36">
        <f t="shared" si="9"/>
        <v>73.981439999999992</v>
      </c>
      <c r="Y30" s="36">
        <f t="shared" si="10"/>
        <v>19.417999999999999</v>
      </c>
      <c r="Z30" s="36">
        <f t="shared" si="11"/>
        <v>19.423999999999999</v>
      </c>
      <c r="AA30" s="53"/>
      <c r="AB30" s="53"/>
      <c r="AC30" s="36">
        <f t="shared" si="12"/>
        <v>21.618687699999999</v>
      </c>
      <c r="AD30" s="36">
        <f t="shared" si="13"/>
        <v>21.62529262</v>
      </c>
      <c r="AE30" s="53"/>
      <c r="AF30" s="53"/>
      <c r="CD30" s="69">
        <v>2002</v>
      </c>
      <c r="CE30" s="54">
        <f t="shared" si="14"/>
        <v>16.54</v>
      </c>
      <c r="CF30" s="54">
        <f t="shared" si="15"/>
        <v>73.996259999999992</v>
      </c>
      <c r="CG30" s="69">
        <f t="shared" si="16"/>
        <v>371.9</v>
      </c>
      <c r="CH30" s="54">
        <f t="shared" si="17"/>
        <v>16.543999999999997</v>
      </c>
      <c r="CI30" s="54">
        <f t="shared" si="19"/>
        <v>73.981439999999992</v>
      </c>
      <c r="CJ30" s="69">
        <f t="shared" si="18"/>
        <v>372.29999999999995</v>
      </c>
    </row>
    <row r="31" spans="1:88">
      <c r="A31" s="35">
        <v>2003</v>
      </c>
      <c r="B31" s="47">
        <f t="shared" si="3"/>
        <v>0.15166666666666662</v>
      </c>
      <c r="C31" s="47">
        <f t="shared" si="3"/>
        <v>0.156</v>
      </c>
      <c r="D31" s="47">
        <f t="shared" si="3"/>
        <v>0.15166666666666662</v>
      </c>
      <c r="E31" s="47">
        <f t="shared" si="3"/>
        <v>0.15166666666666662</v>
      </c>
      <c r="F31" s="47">
        <f t="shared" si="3"/>
        <v>-0.15166666666666662</v>
      </c>
      <c r="G31" s="47">
        <f t="shared" si="3"/>
        <v>-0.17333333333333334</v>
      </c>
      <c r="H31" s="47">
        <f t="shared" si="3"/>
        <v>0.12783333333333333</v>
      </c>
      <c r="I31" s="47">
        <f t="shared" si="3"/>
        <v>0.13433333333333333</v>
      </c>
      <c r="J31" s="47">
        <f t="shared" si="3"/>
        <v>0</v>
      </c>
      <c r="K31" s="47">
        <f t="shared" si="3"/>
        <v>0</v>
      </c>
      <c r="L31" s="47">
        <f t="shared" si="3"/>
        <v>0.12857834166666618</v>
      </c>
      <c r="M31" s="47">
        <f t="shared" si="3"/>
        <v>0.13573367166666639</v>
      </c>
      <c r="N31" s="47">
        <f t="shared" si="3"/>
        <v>0</v>
      </c>
      <c r="O31" s="47">
        <f t="shared" si="3"/>
        <v>0</v>
      </c>
      <c r="Q31" s="36">
        <v>373.84999999999997</v>
      </c>
      <c r="R31" s="36">
        <v>374.44999999999993</v>
      </c>
      <c r="S31" s="36">
        <f t="shared" si="4"/>
        <v>16.551666666666666</v>
      </c>
      <c r="T31" s="36">
        <f t="shared" si="5"/>
        <v>16.555999999999997</v>
      </c>
      <c r="U31" s="36">
        <f t="shared" si="6"/>
        <v>1095.6592333333333</v>
      </c>
      <c r="V31" s="36">
        <f t="shared" si="7"/>
        <v>1095.6592333333333</v>
      </c>
      <c r="W31" s="36">
        <f t="shared" si="8"/>
        <v>73.987614999999991</v>
      </c>
      <c r="X31" s="36">
        <f t="shared" si="9"/>
        <v>73.971559999999997</v>
      </c>
      <c r="Y31" s="36">
        <f t="shared" si="10"/>
        <v>19.427833333333336</v>
      </c>
      <c r="Z31" s="36">
        <f t="shared" si="11"/>
        <v>19.434333333333335</v>
      </c>
      <c r="AA31" s="53"/>
      <c r="AB31" s="53"/>
      <c r="AC31" s="36">
        <f t="shared" si="12"/>
        <v>21.628578341666667</v>
      </c>
      <c r="AD31" s="36">
        <f t="shared" si="13"/>
        <v>21.635733671666667</v>
      </c>
      <c r="AE31" s="53"/>
      <c r="AF31" s="53"/>
      <c r="CD31" s="69">
        <v>2003</v>
      </c>
      <c r="CE31" s="54">
        <f t="shared" si="14"/>
        <v>16.551666666666666</v>
      </c>
      <c r="CF31" s="54">
        <f t="shared" si="15"/>
        <v>73.987614999999991</v>
      </c>
      <c r="CG31" s="69">
        <f t="shared" si="16"/>
        <v>373.84999999999997</v>
      </c>
      <c r="CH31" s="54">
        <f t="shared" si="17"/>
        <v>16.555999999999997</v>
      </c>
      <c r="CI31" s="54">
        <f t="shared" si="19"/>
        <v>73.971559999999997</v>
      </c>
      <c r="CJ31" s="69">
        <f t="shared" si="18"/>
        <v>374.44999999999993</v>
      </c>
    </row>
    <row r="32" spans="1:88">
      <c r="A32" s="35">
        <v>2004</v>
      </c>
      <c r="B32" s="47">
        <f t="shared" si="3"/>
        <v>0.16333333333333327</v>
      </c>
      <c r="C32" s="47">
        <f t="shared" si="3"/>
        <v>0.16800000000000001</v>
      </c>
      <c r="D32" s="47">
        <f t="shared" si="3"/>
        <v>0.16333333333333327</v>
      </c>
      <c r="E32" s="47">
        <f t="shared" si="3"/>
        <v>0.16333333333333327</v>
      </c>
      <c r="F32" s="47">
        <f t="shared" si="3"/>
        <v>-0.16333333333333327</v>
      </c>
      <c r="G32" s="47">
        <f t="shared" si="3"/>
        <v>-0.18666666666666668</v>
      </c>
      <c r="H32" s="47">
        <f t="shared" si="3"/>
        <v>0.13766666666666666</v>
      </c>
      <c r="I32" s="47">
        <f t="shared" si="3"/>
        <v>0.14466666666666667</v>
      </c>
      <c r="J32" s="47">
        <f t="shared" si="3"/>
        <v>0</v>
      </c>
      <c r="K32" s="47">
        <f t="shared" si="3"/>
        <v>0</v>
      </c>
      <c r="L32" s="47">
        <f t="shared" si="3"/>
        <v>0.1384689833333328</v>
      </c>
      <c r="M32" s="47">
        <f t="shared" si="3"/>
        <v>0.14617472333333303</v>
      </c>
      <c r="N32" s="47">
        <f t="shared" si="3"/>
        <v>0</v>
      </c>
      <c r="O32" s="47">
        <f t="shared" si="3"/>
        <v>0</v>
      </c>
      <c r="Q32" s="36">
        <v>375.79999999999995</v>
      </c>
      <c r="R32" s="36">
        <v>376.59999999999991</v>
      </c>
      <c r="S32" s="36">
        <f t="shared" si="4"/>
        <v>16.563333333333333</v>
      </c>
      <c r="T32" s="36">
        <f t="shared" si="5"/>
        <v>16.567999999999998</v>
      </c>
      <c r="U32" s="36">
        <f t="shared" si="6"/>
        <v>1095.7868666666666</v>
      </c>
      <c r="V32" s="36">
        <f t="shared" si="7"/>
        <v>1095.7868666666666</v>
      </c>
      <c r="W32" s="36">
        <f t="shared" si="8"/>
        <v>73.97896999999999</v>
      </c>
      <c r="X32" s="36">
        <f t="shared" si="9"/>
        <v>73.961680000000001</v>
      </c>
      <c r="Y32" s="36">
        <f t="shared" si="10"/>
        <v>19.437666666666669</v>
      </c>
      <c r="Z32" s="36">
        <f t="shared" si="11"/>
        <v>19.444666666666667</v>
      </c>
      <c r="AA32" s="53"/>
      <c r="AB32" s="53"/>
      <c r="AC32" s="36">
        <f t="shared" si="12"/>
        <v>21.638468983333333</v>
      </c>
      <c r="AD32" s="36">
        <f t="shared" si="13"/>
        <v>21.646174723333331</v>
      </c>
      <c r="AE32" s="53"/>
      <c r="AF32" s="53"/>
      <c r="CD32" s="69">
        <v>2004</v>
      </c>
      <c r="CE32" s="54">
        <f t="shared" si="14"/>
        <v>16.563333333333333</v>
      </c>
      <c r="CF32" s="54">
        <f t="shared" si="15"/>
        <v>73.97896999999999</v>
      </c>
      <c r="CG32" s="69">
        <f t="shared" si="16"/>
        <v>375.79999999999995</v>
      </c>
      <c r="CH32" s="54">
        <f t="shared" si="17"/>
        <v>16.567999999999998</v>
      </c>
      <c r="CI32" s="54">
        <f t="shared" si="19"/>
        <v>73.961680000000001</v>
      </c>
      <c r="CJ32" s="69">
        <f t="shared" si="18"/>
        <v>376.59999999999991</v>
      </c>
    </row>
    <row r="33" spans="1:95">
      <c r="A33" s="35">
        <v>2005</v>
      </c>
      <c r="B33" s="47">
        <f t="shared" si="3"/>
        <v>0.17499999999999993</v>
      </c>
      <c r="C33" s="47">
        <f t="shared" si="3"/>
        <v>0.18000000000000002</v>
      </c>
      <c r="D33" s="47">
        <f t="shared" si="3"/>
        <v>0.17499999999999993</v>
      </c>
      <c r="E33" s="47">
        <f t="shared" si="3"/>
        <v>0.17499999999999993</v>
      </c>
      <c r="F33" s="47">
        <f t="shared" si="3"/>
        <v>-0.17499999999999993</v>
      </c>
      <c r="G33" s="47">
        <f t="shared" si="3"/>
        <v>-0.2</v>
      </c>
      <c r="H33" s="47">
        <f t="shared" si="3"/>
        <v>0.14749999999999999</v>
      </c>
      <c r="I33" s="47">
        <f t="shared" si="3"/>
        <v>0.155</v>
      </c>
      <c r="J33" s="47">
        <f t="shared" si="3"/>
        <v>0</v>
      </c>
      <c r="K33" s="47">
        <f t="shared" si="3"/>
        <v>0</v>
      </c>
      <c r="L33" s="47">
        <f t="shared" si="3"/>
        <v>0.14835962499999941</v>
      </c>
      <c r="M33" s="47">
        <f t="shared" si="3"/>
        <v>0.15661577499999968</v>
      </c>
      <c r="N33" s="47">
        <f t="shared" si="3"/>
        <v>0</v>
      </c>
      <c r="O33" s="47">
        <f t="shared" si="3"/>
        <v>0</v>
      </c>
      <c r="Q33" s="36">
        <v>377.74999999999994</v>
      </c>
      <c r="R33" s="36">
        <v>378.74999999999989</v>
      </c>
      <c r="S33" s="36">
        <f t="shared" si="4"/>
        <v>16.574999999999999</v>
      </c>
      <c r="T33" s="36">
        <f t="shared" si="5"/>
        <v>16.579999999999998</v>
      </c>
      <c r="U33" s="36">
        <f t="shared" si="6"/>
        <v>1095.9145000000001</v>
      </c>
      <c r="V33" s="36">
        <f t="shared" si="7"/>
        <v>1095.9145000000001</v>
      </c>
      <c r="W33" s="36">
        <f t="shared" si="8"/>
        <v>73.970324999999988</v>
      </c>
      <c r="X33" s="36">
        <f t="shared" si="9"/>
        <v>73.951799999999992</v>
      </c>
      <c r="Y33" s="36">
        <f t="shared" si="10"/>
        <v>19.447500000000002</v>
      </c>
      <c r="Z33" s="36">
        <f t="shared" si="11"/>
        <v>19.455000000000002</v>
      </c>
      <c r="AA33" s="53"/>
      <c r="AB33" s="53"/>
      <c r="AC33" s="36">
        <f t="shared" si="12"/>
        <v>21.648359624999998</v>
      </c>
      <c r="AD33" s="36">
        <f t="shared" si="13"/>
        <v>21.656615774999999</v>
      </c>
      <c r="AE33" s="53"/>
      <c r="AF33" s="53"/>
      <c r="CD33" s="69">
        <v>2005</v>
      </c>
      <c r="CE33" s="54">
        <f t="shared" si="14"/>
        <v>16.574999999999999</v>
      </c>
      <c r="CF33" s="54">
        <f t="shared" si="15"/>
        <v>73.970324999999988</v>
      </c>
      <c r="CG33" s="69">
        <f t="shared" si="16"/>
        <v>377.74999999999994</v>
      </c>
      <c r="CH33" s="54">
        <f t="shared" si="17"/>
        <v>16.579999999999998</v>
      </c>
      <c r="CI33" s="54">
        <f t="shared" si="19"/>
        <v>73.951799999999992</v>
      </c>
      <c r="CJ33" s="69">
        <f t="shared" si="18"/>
        <v>378.74999999999989</v>
      </c>
    </row>
    <row r="34" spans="1:95">
      <c r="A34" s="35">
        <v>2006</v>
      </c>
      <c r="B34" s="47">
        <f t="shared" si="3"/>
        <v>0.18666666666666659</v>
      </c>
      <c r="C34" s="47">
        <f t="shared" si="3"/>
        <v>0.19200000000000003</v>
      </c>
      <c r="D34" s="47">
        <f t="shared" si="3"/>
        <v>0.18666666666666659</v>
      </c>
      <c r="E34" s="47">
        <f t="shared" si="3"/>
        <v>0.18666666666666659</v>
      </c>
      <c r="F34" s="47">
        <f t="shared" si="3"/>
        <v>-0.18666666666666659</v>
      </c>
      <c r="G34" s="47">
        <f t="shared" si="3"/>
        <v>-0.21333333333333335</v>
      </c>
      <c r="H34" s="47">
        <f t="shared" si="3"/>
        <v>0.15733333333333333</v>
      </c>
      <c r="I34" s="47">
        <f t="shared" si="3"/>
        <v>0.16533333333333333</v>
      </c>
      <c r="J34" s="47">
        <f t="shared" si="3"/>
        <v>0</v>
      </c>
      <c r="K34" s="47">
        <f t="shared" si="3"/>
        <v>0</v>
      </c>
      <c r="L34" s="47">
        <f t="shared" si="3"/>
        <v>0.15825026666666603</v>
      </c>
      <c r="M34" s="47">
        <f t="shared" si="3"/>
        <v>0.16705682666666632</v>
      </c>
      <c r="N34" s="47">
        <f t="shared" si="3"/>
        <v>0</v>
      </c>
      <c r="O34" s="47">
        <f t="shared" si="3"/>
        <v>0</v>
      </c>
      <c r="Q34" s="36">
        <v>379.69999999999993</v>
      </c>
      <c r="R34" s="36">
        <v>380.89999999999986</v>
      </c>
      <c r="S34" s="36">
        <f t="shared" si="4"/>
        <v>16.586666666666666</v>
      </c>
      <c r="T34" s="36">
        <f t="shared" si="5"/>
        <v>16.591999999999999</v>
      </c>
      <c r="U34" s="36">
        <f t="shared" si="6"/>
        <v>1096.0421333333334</v>
      </c>
      <c r="V34" s="36">
        <f t="shared" si="7"/>
        <v>1096.0421333333334</v>
      </c>
      <c r="W34" s="36">
        <f t="shared" si="8"/>
        <v>73.961680000000001</v>
      </c>
      <c r="X34" s="36">
        <f t="shared" si="9"/>
        <v>73.941919999999996</v>
      </c>
      <c r="Y34" s="36">
        <f t="shared" si="10"/>
        <v>19.457333333333334</v>
      </c>
      <c r="Z34" s="36">
        <f t="shared" si="11"/>
        <v>19.465333333333334</v>
      </c>
      <c r="AA34" s="53"/>
      <c r="AB34" s="53"/>
      <c r="AC34" s="36">
        <f t="shared" si="12"/>
        <v>21.658250266666666</v>
      </c>
      <c r="AD34" s="36">
        <f t="shared" si="13"/>
        <v>21.667056826666666</v>
      </c>
      <c r="AE34" s="53"/>
      <c r="AF34" s="53"/>
      <c r="CD34" s="69">
        <v>2006</v>
      </c>
      <c r="CE34" s="54">
        <f t="shared" si="14"/>
        <v>16.586666666666666</v>
      </c>
      <c r="CF34" s="54">
        <f t="shared" si="15"/>
        <v>73.961680000000001</v>
      </c>
      <c r="CG34" s="69">
        <f t="shared" si="16"/>
        <v>379.69999999999993</v>
      </c>
      <c r="CH34" s="54">
        <f t="shared" si="17"/>
        <v>16.591999999999999</v>
      </c>
      <c r="CI34" s="54">
        <f t="shared" si="19"/>
        <v>73.941919999999996</v>
      </c>
      <c r="CJ34" s="69">
        <f t="shared" si="18"/>
        <v>380.89999999999986</v>
      </c>
    </row>
    <row r="35" spans="1:95">
      <c r="A35" s="35">
        <v>2007</v>
      </c>
      <c r="B35" s="47">
        <f t="shared" ref="B35:O37" si="20">(B$6-B$5)/COUNT($A$18:$A$37)+B34</f>
        <v>0.19833333333333325</v>
      </c>
      <c r="C35" s="47">
        <f t="shared" si="20"/>
        <v>0.20400000000000004</v>
      </c>
      <c r="D35" s="47">
        <f t="shared" si="20"/>
        <v>0.19833333333333325</v>
      </c>
      <c r="E35" s="47">
        <f t="shared" si="20"/>
        <v>0.19833333333333325</v>
      </c>
      <c r="F35" s="47">
        <f t="shared" si="20"/>
        <v>-0.19833333333333325</v>
      </c>
      <c r="G35" s="47">
        <f t="shared" si="20"/>
        <v>-0.22666666666666668</v>
      </c>
      <c r="H35" s="47">
        <f t="shared" si="20"/>
        <v>0.16716666666666666</v>
      </c>
      <c r="I35" s="47">
        <f t="shared" si="20"/>
        <v>0.17566666666666667</v>
      </c>
      <c r="J35" s="47">
        <f t="shared" si="20"/>
        <v>0</v>
      </c>
      <c r="K35" s="47">
        <f t="shared" si="20"/>
        <v>0</v>
      </c>
      <c r="L35" s="47">
        <f t="shared" si="20"/>
        <v>0.16814090833333264</v>
      </c>
      <c r="M35" s="47">
        <f t="shared" si="20"/>
        <v>0.17749787833333297</v>
      </c>
      <c r="N35" s="47">
        <f t="shared" si="20"/>
        <v>0</v>
      </c>
      <c r="O35" s="47">
        <f t="shared" si="20"/>
        <v>0</v>
      </c>
      <c r="Q35" s="36">
        <v>381.64999999999992</v>
      </c>
      <c r="R35" s="36">
        <v>383.04999999999984</v>
      </c>
      <c r="S35" s="36">
        <f t="shared" si="4"/>
        <v>16.598333333333333</v>
      </c>
      <c r="T35" s="36">
        <f t="shared" si="5"/>
        <v>16.603999999999999</v>
      </c>
      <c r="U35" s="36">
        <f t="shared" si="6"/>
        <v>1096.1697666666666</v>
      </c>
      <c r="V35" s="36">
        <f t="shared" si="7"/>
        <v>1096.1697666666666</v>
      </c>
      <c r="W35" s="36">
        <f t="shared" si="8"/>
        <v>73.953035</v>
      </c>
      <c r="X35" s="36">
        <f t="shared" si="9"/>
        <v>73.932040000000001</v>
      </c>
      <c r="Y35" s="36">
        <f t="shared" si="10"/>
        <v>19.467166666666667</v>
      </c>
      <c r="Z35" s="36">
        <f t="shared" si="11"/>
        <v>19.475666666666669</v>
      </c>
      <c r="AA35" s="53"/>
      <c r="AB35" s="53"/>
      <c r="AC35" s="36">
        <f t="shared" si="12"/>
        <v>21.668140908333331</v>
      </c>
      <c r="AD35" s="36">
        <f t="shared" si="13"/>
        <v>21.677497878333334</v>
      </c>
      <c r="AE35" s="53"/>
      <c r="AF35" s="53"/>
      <c r="CD35" s="69">
        <v>2007</v>
      </c>
      <c r="CE35" s="54">
        <f t="shared" si="14"/>
        <v>16.598333333333333</v>
      </c>
      <c r="CF35" s="54">
        <f t="shared" si="15"/>
        <v>73.953035</v>
      </c>
      <c r="CG35" s="69">
        <f t="shared" si="16"/>
        <v>381.64999999999992</v>
      </c>
      <c r="CH35" s="54">
        <f t="shared" si="17"/>
        <v>16.603999999999999</v>
      </c>
      <c r="CI35" s="54">
        <f t="shared" si="19"/>
        <v>73.932040000000001</v>
      </c>
      <c r="CJ35" s="69">
        <f t="shared" si="18"/>
        <v>383.04999999999984</v>
      </c>
    </row>
    <row r="36" spans="1:95">
      <c r="A36" s="35">
        <v>2008</v>
      </c>
      <c r="B36" s="47">
        <f t="shared" si="20"/>
        <v>0.20999999999999991</v>
      </c>
      <c r="C36" s="47">
        <f t="shared" si="20"/>
        <v>0.21600000000000005</v>
      </c>
      <c r="D36" s="47">
        <f t="shared" si="20"/>
        <v>0.20999999999999991</v>
      </c>
      <c r="E36" s="47">
        <f t="shared" si="20"/>
        <v>0.20999999999999991</v>
      </c>
      <c r="F36" s="47">
        <f t="shared" si="20"/>
        <v>-0.20999999999999991</v>
      </c>
      <c r="G36" s="47">
        <f t="shared" si="20"/>
        <v>-0.24000000000000002</v>
      </c>
      <c r="H36" s="47">
        <f t="shared" si="20"/>
        <v>0.17699999999999999</v>
      </c>
      <c r="I36" s="47">
        <f t="shared" si="20"/>
        <v>0.186</v>
      </c>
      <c r="J36" s="47">
        <f t="shared" si="20"/>
        <v>0</v>
      </c>
      <c r="K36" s="47">
        <f t="shared" si="20"/>
        <v>0</v>
      </c>
      <c r="L36" s="47">
        <f t="shared" si="20"/>
        <v>0.17803154999999926</v>
      </c>
      <c r="M36" s="47">
        <f t="shared" si="20"/>
        <v>0.18793892999999962</v>
      </c>
      <c r="N36" s="47">
        <f t="shared" si="20"/>
        <v>0</v>
      </c>
      <c r="O36" s="47">
        <f t="shared" si="20"/>
        <v>0</v>
      </c>
      <c r="Q36" s="36">
        <v>383.59999999999991</v>
      </c>
      <c r="R36" s="36">
        <v>385.19999999999982</v>
      </c>
      <c r="S36" s="36">
        <f t="shared" si="4"/>
        <v>16.61</v>
      </c>
      <c r="T36" s="36">
        <f t="shared" si="5"/>
        <v>16.616</v>
      </c>
      <c r="U36" s="36">
        <f t="shared" si="6"/>
        <v>1096.2973999999999</v>
      </c>
      <c r="V36" s="36">
        <f t="shared" si="7"/>
        <v>1096.2973999999999</v>
      </c>
      <c r="W36" s="36">
        <f t="shared" si="8"/>
        <v>73.944389999999999</v>
      </c>
      <c r="X36" s="36">
        <f t="shared" si="9"/>
        <v>73.922159999999991</v>
      </c>
      <c r="Y36" s="36">
        <f t="shared" si="10"/>
        <v>19.477</v>
      </c>
      <c r="Z36" s="36">
        <f t="shared" si="11"/>
        <v>19.486000000000001</v>
      </c>
      <c r="AA36" s="53"/>
      <c r="AB36" s="53"/>
      <c r="AC36" s="36">
        <f t="shared" si="12"/>
        <v>21.67803155</v>
      </c>
      <c r="AD36" s="36">
        <f t="shared" si="13"/>
        <v>21.687938930000001</v>
      </c>
      <c r="AE36" s="53"/>
      <c r="AF36" s="53"/>
      <c r="CD36" s="69">
        <v>2008</v>
      </c>
      <c r="CE36" s="54">
        <f t="shared" si="14"/>
        <v>16.61</v>
      </c>
      <c r="CF36" s="54">
        <f t="shared" si="15"/>
        <v>73.944389999999999</v>
      </c>
      <c r="CG36" s="69">
        <f t="shared" si="16"/>
        <v>383.59999999999991</v>
      </c>
      <c r="CH36" s="54">
        <f t="shared" si="17"/>
        <v>16.616</v>
      </c>
      <c r="CI36" s="54">
        <f t="shared" si="19"/>
        <v>73.922159999999991</v>
      </c>
      <c r="CJ36" s="69">
        <f t="shared" si="18"/>
        <v>385.19999999999982</v>
      </c>
    </row>
    <row r="37" spans="1:95">
      <c r="A37" s="35">
        <v>2009</v>
      </c>
      <c r="B37" s="47">
        <f t="shared" si="20"/>
        <v>0.22166666666666657</v>
      </c>
      <c r="C37" s="47">
        <f t="shared" si="20"/>
        <v>0.22800000000000006</v>
      </c>
      <c r="D37" s="47">
        <f t="shared" si="20"/>
        <v>0.22166666666666657</v>
      </c>
      <c r="E37" s="47">
        <f t="shared" si="20"/>
        <v>0.22166666666666657</v>
      </c>
      <c r="F37" s="47">
        <f t="shared" si="20"/>
        <v>-0.22166666666666657</v>
      </c>
      <c r="G37" s="47">
        <f t="shared" si="20"/>
        <v>-0.25333333333333335</v>
      </c>
      <c r="H37" s="47">
        <f t="shared" si="20"/>
        <v>0.18683333333333332</v>
      </c>
      <c r="I37" s="47">
        <f t="shared" si="20"/>
        <v>0.19633333333333333</v>
      </c>
      <c r="J37" s="47">
        <f t="shared" si="20"/>
        <v>0</v>
      </c>
      <c r="K37" s="47">
        <f t="shared" si="20"/>
        <v>0</v>
      </c>
      <c r="L37" s="47">
        <f t="shared" si="20"/>
        <v>0.18792219166666588</v>
      </c>
      <c r="M37" s="47">
        <f t="shared" si="20"/>
        <v>0.19837998166666626</v>
      </c>
      <c r="N37" s="47">
        <f t="shared" si="20"/>
        <v>0</v>
      </c>
      <c r="O37" s="47">
        <f t="shared" si="20"/>
        <v>0</v>
      </c>
      <c r="Q37" s="36">
        <v>385.5499999999999</v>
      </c>
      <c r="R37" s="36">
        <v>387.3499999999998</v>
      </c>
      <c r="S37" s="36">
        <f t="shared" si="4"/>
        <v>16.621666666666666</v>
      </c>
      <c r="T37" s="36">
        <f t="shared" si="5"/>
        <v>16.628</v>
      </c>
      <c r="U37" s="36">
        <f t="shared" si="6"/>
        <v>1096.4250333333334</v>
      </c>
      <c r="V37" s="36">
        <f t="shared" si="7"/>
        <v>1096.4250333333334</v>
      </c>
      <c r="W37" s="36">
        <f t="shared" si="8"/>
        <v>73.935744999999997</v>
      </c>
      <c r="X37" s="36">
        <f t="shared" si="9"/>
        <v>73.912279999999996</v>
      </c>
      <c r="Y37" s="36">
        <f t="shared" si="10"/>
        <v>19.486833333333333</v>
      </c>
      <c r="Z37" s="36">
        <f t="shared" si="11"/>
        <v>19.496333333333332</v>
      </c>
      <c r="AA37" s="53"/>
      <c r="AB37" s="53"/>
      <c r="AC37" s="36">
        <f t="shared" si="12"/>
        <v>21.687922191666665</v>
      </c>
      <c r="AD37" s="36">
        <f t="shared" si="13"/>
        <v>21.698379981666665</v>
      </c>
      <c r="AE37" s="53"/>
      <c r="AF37" s="53"/>
      <c r="CD37" s="69">
        <v>2009</v>
      </c>
      <c r="CE37" s="54">
        <f t="shared" si="14"/>
        <v>16.621666666666666</v>
      </c>
      <c r="CF37" s="54">
        <f t="shared" si="15"/>
        <v>73.935744999999997</v>
      </c>
      <c r="CG37" s="69">
        <f t="shared" si="16"/>
        <v>385.5499999999999</v>
      </c>
      <c r="CH37" s="54">
        <f t="shared" si="17"/>
        <v>16.628</v>
      </c>
      <c r="CI37" s="54">
        <f t="shared" si="19"/>
        <v>73.912279999999996</v>
      </c>
      <c r="CJ37" s="69">
        <f t="shared" si="18"/>
        <v>387.3499999999998</v>
      </c>
    </row>
    <row r="38" spans="1:95">
      <c r="A38" s="35">
        <v>2010</v>
      </c>
      <c r="B38" s="47">
        <f>B6</f>
        <v>0.23333333333333331</v>
      </c>
      <c r="C38" s="47">
        <f>C6</f>
        <v>0.24</v>
      </c>
      <c r="D38" s="47">
        <f>D6</f>
        <v>0.23333333333333331</v>
      </c>
      <c r="E38" s="47">
        <f>E6</f>
        <v>0.23333333333333331</v>
      </c>
      <c r="F38" s="47">
        <f t="shared" ref="F38:N38" si="21">F6</f>
        <v>-0.23333333333333331</v>
      </c>
      <c r="G38" s="47">
        <f t="shared" si="21"/>
        <v>-0.26666666666666666</v>
      </c>
      <c r="H38" s="47">
        <f t="shared" si="21"/>
        <v>0.19666666666666666</v>
      </c>
      <c r="I38" s="47">
        <f t="shared" si="21"/>
        <v>0.20666666666666667</v>
      </c>
      <c r="J38" s="47">
        <f t="shared" si="21"/>
        <v>0</v>
      </c>
      <c r="K38" s="47">
        <f t="shared" si="21"/>
        <v>0</v>
      </c>
      <c r="L38" s="47">
        <f t="shared" si="21"/>
        <v>0.19781283333333258</v>
      </c>
      <c r="M38" s="47">
        <f t="shared" si="21"/>
        <v>0.20882103333333291</v>
      </c>
      <c r="N38" s="47">
        <f t="shared" si="21"/>
        <v>0</v>
      </c>
      <c r="O38" s="47">
        <f>O6</f>
        <v>0</v>
      </c>
      <c r="Q38" s="36">
        <v>387.5</v>
      </c>
      <c r="R38" s="36">
        <v>389.5</v>
      </c>
      <c r="S38" s="36">
        <f t="shared" si="4"/>
        <v>16.633333333333333</v>
      </c>
      <c r="T38" s="36">
        <f t="shared" si="5"/>
        <v>16.639999999999997</v>
      </c>
      <c r="U38" s="36">
        <f t="shared" si="6"/>
        <v>1096.5526666666667</v>
      </c>
      <c r="V38" s="36">
        <f t="shared" si="7"/>
        <v>1096.5526666666667</v>
      </c>
      <c r="W38" s="36">
        <f t="shared" si="8"/>
        <v>73.927099999999996</v>
      </c>
      <c r="X38" s="36">
        <f t="shared" si="9"/>
        <v>73.9024</v>
      </c>
      <c r="Y38" s="36">
        <f t="shared" si="10"/>
        <v>19.496666666666666</v>
      </c>
      <c r="Z38" s="36">
        <f t="shared" si="11"/>
        <v>19.506666666666668</v>
      </c>
      <c r="AA38" s="53"/>
      <c r="AB38" s="53"/>
      <c r="AC38" s="36">
        <f t="shared" si="12"/>
        <v>21.697812833333334</v>
      </c>
      <c r="AD38" s="36">
        <f t="shared" si="13"/>
        <v>21.708821033333333</v>
      </c>
      <c r="AE38" s="53"/>
      <c r="AF38" s="53"/>
      <c r="CD38" s="69">
        <v>2010</v>
      </c>
      <c r="CE38" s="54">
        <f t="shared" si="14"/>
        <v>16.633333333333333</v>
      </c>
      <c r="CF38" s="54">
        <f t="shared" si="15"/>
        <v>73.927099999999996</v>
      </c>
      <c r="CG38" s="69">
        <f t="shared" si="16"/>
        <v>387.5</v>
      </c>
      <c r="CH38" s="54">
        <f t="shared" si="17"/>
        <v>16.639999999999997</v>
      </c>
      <c r="CI38" s="54">
        <f t="shared" si="19"/>
        <v>73.9024</v>
      </c>
      <c r="CJ38" s="69">
        <f t="shared" si="18"/>
        <v>389.5</v>
      </c>
    </row>
    <row r="39" spans="1:95">
      <c r="A39" s="35">
        <v>2011</v>
      </c>
      <c r="B39" s="47">
        <f t="shared" ref="B39:O54" si="22">(B$7-B$6)/COUNT($A$38:$A$57)+B38</f>
        <v>0.25666666666666665</v>
      </c>
      <c r="C39" s="47">
        <f t="shared" si="22"/>
        <v>0.26400000000000001</v>
      </c>
      <c r="D39" s="47">
        <f t="shared" si="22"/>
        <v>0.25666666666666665</v>
      </c>
      <c r="E39" s="47">
        <f t="shared" si="22"/>
        <v>0.25666666666666665</v>
      </c>
      <c r="F39" s="47">
        <f t="shared" si="22"/>
        <v>-0.25666666666666665</v>
      </c>
      <c r="G39" s="47">
        <f t="shared" si="22"/>
        <v>-0.29333333333333333</v>
      </c>
      <c r="H39" s="47">
        <f t="shared" si="22"/>
        <v>0.21633333333333332</v>
      </c>
      <c r="I39" s="47">
        <f t="shared" si="22"/>
        <v>0.22733333333333333</v>
      </c>
      <c r="J39" s="47">
        <f t="shared" si="22"/>
        <v>0</v>
      </c>
      <c r="K39" s="47">
        <f t="shared" si="22"/>
        <v>0</v>
      </c>
      <c r="L39" s="47">
        <f t="shared" si="22"/>
        <v>0.21759411666666584</v>
      </c>
      <c r="M39" s="47">
        <f t="shared" si="22"/>
        <v>0.2297031366666662</v>
      </c>
      <c r="N39" s="47">
        <f t="shared" si="22"/>
        <v>0</v>
      </c>
      <c r="O39" s="47">
        <f t="shared" si="22"/>
        <v>0</v>
      </c>
      <c r="Q39" s="36">
        <v>390.35</v>
      </c>
      <c r="R39" s="36">
        <v>392.45</v>
      </c>
      <c r="S39" s="36">
        <f t="shared" si="4"/>
        <v>16.656666666666666</v>
      </c>
      <c r="T39" s="36">
        <f t="shared" si="5"/>
        <v>16.663999999999998</v>
      </c>
      <c r="U39" s="36">
        <f t="shared" si="6"/>
        <v>1096.8079333333333</v>
      </c>
      <c r="V39" s="36">
        <f t="shared" si="7"/>
        <v>1096.8079333333333</v>
      </c>
      <c r="W39" s="36">
        <f t="shared" si="8"/>
        <v>73.909809999999993</v>
      </c>
      <c r="X39" s="36">
        <f t="shared" si="9"/>
        <v>73.882639999999995</v>
      </c>
      <c r="Y39" s="36">
        <f t="shared" si="10"/>
        <v>19.516333333333336</v>
      </c>
      <c r="Z39" s="36">
        <f t="shared" si="11"/>
        <v>19.527333333333335</v>
      </c>
      <c r="AA39" s="53"/>
      <c r="AB39" s="53"/>
      <c r="AC39" s="36">
        <f t="shared" si="12"/>
        <v>21.717594116666668</v>
      </c>
      <c r="AD39" s="36">
        <f t="shared" si="13"/>
        <v>21.729703136666664</v>
      </c>
      <c r="AE39" s="53"/>
      <c r="AF39" s="53"/>
      <c r="CD39" s="69">
        <v>2011</v>
      </c>
      <c r="CE39" s="54">
        <f t="shared" si="14"/>
        <v>16.656666666666666</v>
      </c>
      <c r="CF39" s="54">
        <f t="shared" si="15"/>
        <v>73.909809999999993</v>
      </c>
      <c r="CG39" s="69">
        <f t="shared" si="16"/>
        <v>390.35</v>
      </c>
      <c r="CH39" s="54">
        <f t="shared" si="17"/>
        <v>16.663999999999998</v>
      </c>
      <c r="CI39" s="54">
        <f t="shared" si="19"/>
        <v>73.882639999999995</v>
      </c>
      <c r="CJ39" s="69">
        <f t="shared" si="18"/>
        <v>392.45</v>
      </c>
    </row>
    <row r="40" spans="1:95">
      <c r="A40" s="35">
        <v>2012</v>
      </c>
      <c r="B40" s="47">
        <f t="shared" si="22"/>
        <v>0.27999999999999997</v>
      </c>
      <c r="C40" s="47">
        <f t="shared" si="22"/>
        <v>0.28800000000000003</v>
      </c>
      <c r="D40" s="47">
        <f t="shared" si="22"/>
        <v>0.27999999999999997</v>
      </c>
      <c r="E40" s="47">
        <f t="shared" si="22"/>
        <v>0.27999999999999997</v>
      </c>
      <c r="F40" s="47">
        <f t="shared" si="22"/>
        <v>-0.27999999999999997</v>
      </c>
      <c r="G40" s="47">
        <f t="shared" si="22"/>
        <v>-0.32</v>
      </c>
      <c r="H40" s="47">
        <f t="shared" si="22"/>
        <v>0.23599999999999999</v>
      </c>
      <c r="I40" s="47">
        <f t="shared" si="22"/>
        <v>0.248</v>
      </c>
      <c r="J40" s="47">
        <f t="shared" si="22"/>
        <v>0</v>
      </c>
      <c r="K40" s="47">
        <f t="shared" si="22"/>
        <v>0</v>
      </c>
      <c r="L40" s="47">
        <f t="shared" si="22"/>
        <v>0.2373753999999991</v>
      </c>
      <c r="M40" s="47">
        <f t="shared" si="22"/>
        <v>0.25058523999999949</v>
      </c>
      <c r="N40" s="47">
        <f t="shared" si="22"/>
        <v>0</v>
      </c>
      <c r="O40" s="47">
        <f t="shared" si="22"/>
        <v>0</v>
      </c>
      <c r="Q40" s="36">
        <v>393.20000000000005</v>
      </c>
      <c r="R40" s="36">
        <v>395.4</v>
      </c>
      <c r="S40" s="36">
        <f t="shared" si="4"/>
        <v>16.68</v>
      </c>
      <c r="T40" s="36">
        <f t="shared" si="5"/>
        <v>16.687999999999999</v>
      </c>
      <c r="U40" s="36">
        <f t="shared" si="6"/>
        <v>1097.0632000000001</v>
      </c>
      <c r="V40" s="36">
        <f t="shared" si="7"/>
        <v>1097.0632000000001</v>
      </c>
      <c r="W40" s="36">
        <f t="shared" si="8"/>
        <v>73.89251999999999</v>
      </c>
      <c r="X40" s="36">
        <f t="shared" si="9"/>
        <v>73.86287999999999</v>
      </c>
      <c r="Y40" s="36">
        <f t="shared" si="10"/>
        <v>19.536000000000001</v>
      </c>
      <c r="Z40" s="36">
        <f t="shared" si="11"/>
        <v>19.548000000000002</v>
      </c>
      <c r="AA40" s="53"/>
      <c r="AB40" s="53"/>
      <c r="AC40" s="36">
        <f t="shared" si="12"/>
        <v>21.737375399999998</v>
      </c>
      <c r="AD40" s="36">
        <f t="shared" si="13"/>
        <v>21.750585239999999</v>
      </c>
      <c r="AE40" s="53"/>
      <c r="AF40" s="53"/>
      <c r="CD40" s="69">
        <v>2012</v>
      </c>
      <c r="CE40" s="54">
        <f t="shared" si="14"/>
        <v>16.68</v>
      </c>
      <c r="CF40" s="54">
        <f t="shared" si="15"/>
        <v>73.89251999999999</v>
      </c>
      <c r="CG40" s="69">
        <f t="shared" si="16"/>
        <v>393.20000000000005</v>
      </c>
      <c r="CH40" s="54">
        <f t="shared" si="17"/>
        <v>16.687999999999999</v>
      </c>
      <c r="CI40" s="54">
        <f t="shared" si="19"/>
        <v>73.86287999999999</v>
      </c>
      <c r="CJ40" s="69">
        <f t="shared" si="18"/>
        <v>395.4</v>
      </c>
    </row>
    <row r="41" spans="1:95">
      <c r="A41" s="35">
        <v>2013</v>
      </c>
      <c r="B41" s="47">
        <f t="shared" si="22"/>
        <v>0.30333333333333329</v>
      </c>
      <c r="C41" s="47">
        <f t="shared" si="22"/>
        <v>0.31200000000000006</v>
      </c>
      <c r="D41" s="47">
        <f t="shared" si="22"/>
        <v>0.30333333333333329</v>
      </c>
      <c r="E41" s="47">
        <f t="shared" si="22"/>
        <v>0.30333333333333329</v>
      </c>
      <c r="F41" s="47">
        <f t="shared" si="22"/>
        <v>-0.30333333333333329</v>
      </c>
      <c r="G41" s="47">
        <f t="shared" si="22"/>
        <v>-0.34666666666666668</v>
      </c>
      <c r="H41" s="47">
        <f t="shared" si="22"/>
        <v>0.25566666666666665</v>
      </c>
      <c r="I41" s="47">
        <f t="shared" si="22"/>
        <v>0.26866666666666666</v>
      </c>
      <c r="J41" s="47">
        <f t="shared" si="22"/>
        <v>0</v>
      </c>
      <c r="K41" s="47">
        <f t="shared" si="22"/>
        <v>0</v>
      </c>
      <c r="L41" s="47">
        <f t="shared" si="22"/>
        <v>0.25715668333333236</v>
      </c>
      <c r="M41" s="47">
        <f t="shared" si="22"/>
        <v>0.27146734333333278</v>
      </c>
      <c r="N41" s="47">
        <f t="shared" si="22"/>
        <v>0</v>
      </c>
      <c r="O41" s="47">
        <f t="shared" si="22"/>
        <v>0</v>
      </c>
      <c r="Q41" s="36">
        <v>396.05000000000007</v>
      </c>
      <c r="R41" s="36">
        <v>398.34999999999997</v>
      </c>
      <c r="S41" s="36">
        <f t="shared" si="4"/>
        <v>16.703333333333333</v>
      </c>
      <c r="T41" s="36">
        <f t="shared" si="5"/>
        <v>16.712</v>
      </c>
      <c r="U41" s="36">
        <f t="shared" si="6"/>
        <v>1097.3184666666666</v>
      </c>
      <c r="V41" s="36">
        <f t="shared" si="7"/>
        <v>1097.3184666666666</v>
      </c>
      <c r="W41" s="36">
        <f t="shared" si="8"/>
        <v>73.875229999999988</v>
      </c>
      <c r="X41" s="36">
        <f t="shared" si="9"/>
        <v>73.843119999999999</v>
      </c>
      <c r="Y41" s="36">
        <f t="shared" si="10"/>
        <v>19.555666666666667</v>
      </c>
      <c r="Z41" s="36">
        <f t="shared" si="11"/>
        <v>19.568666666666669</v>
      </c>
      <c r="AA41" s="53"/>
      <c r="AB41" s="53"/>
      <c r="AC41" s="36">
        <f t="shared" si="12"/>
        <v>21.757156683333331</v>
      </c>
      <c r="AD41" s="36">
        <f t="shared" si="13"/>
        <v>21.771467343333335</v>
      </c>
      <c r="AE41" s="53"/>
      <c r="AF41" s="5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9">
        <v>2013</v>
      </c>
      <c r="CE41" s="54">
        <f t="shared" si="14"/>
        <v>16.703333333333333</v>
      </c>
      <c r="CF41" s="54">
        <f t="shared" si="15"/>
        <v>73.875229999999988</v>
      </c>
      <c r="CG41" s="69">
        <f t="shared" si="16"/>
        <v>396.05000000000007</v>
      </c>
      <c r="CH41" s="54">
        <f t="shared" si="17"/>
        <v>16.712</v>
      </c>
      <c r="CI41" s="54">
        <f t="shared" si="19"/>
        <v>73.843119999999999</v>
      </c>
      <c r="CJ41" s="69">
        <f t="shared" si="18"/>
        <v>398.34999999999997</v>
      </c>
      <c r="CK41" s="43"/>
      <c r="CL41" s="43"/>
      <c r="CM41" s="43"/>
      <c r="CN41" s="43"/>
      <c r="CO41" s="43"/>
      <c r="CP41" s="43"/>
      <c r="CQ41" s="43"/>
    </row>
    <row r="42" spans="1:95">
      <c r="A42" s="35">
        <v>2014</v>
      </c>
      <c r="B42" s="47">
        <f t="shared" si="22"/>
        <v>0.32666666666666661</v>
      </c>
      <c r="C42" s="47">
        <f t="shared" si="22"/>
        <v>0.33600000000000008</v>
      </c>
      <c r="D42" s="47">
        <f t="shared" si="22"/>
        <v>0.32666666666666661</v>
      </c>
      <c r="E42" s="47">
        <f t="shared" si="22"/>
        <v>0.32666666666666661</v>
      </c>
      <c r="F42" s="47">
        <f t="shared" si="22"/>
        <v>-0.32666666666666661</v>
      </c>
      <c r="G42" s="47">
        <f t="shared" si="22"/>
        <v>-0.37333333333333335</v>
      </c>
      <c r="H42" s="47">
        <f t="shared" si="22"/>
        <v>0.27533333333333332</v>
      </c>
      <c r="I42" s="47">
        <f t="shared" si="22"/>
        <v>0.28933333333333333</v>
      </c>
      <c r="J42" s="47">
        <f t="shared" si="22"/>
        <v>0</v>
      </c>
      <c r="K42" s="47">
        <f t="shared" si="22"/>
        <v>0</v>
      </c>
      <c r="L42" s="47">
        <f t="shared" si="22"/>
        <v>0.27693796666666559</v>
      </c>
      <c r="M42" s="47">
        <f t="shared" si="22"/>
        <v>0.29234944666666607</v>
      </c>
      <c r="N42" s="47">
        <f t="shared" si="22"/>
        <v>0</v>
      </c>
      <c r="O42" s="47">
        <f t="shared" si="22"/>
        <v>0</v>
      </c>
      <c r="Q42" s="36">
        <v>398.90000000000009</v>
      </c>
      <c r="R42" s="36">
        <v>401.29999999999995</v>
      </c>
      <c r="S42" s="36">
        <f t="shared" si="4"/>
        <v>16.726666666666667</v>
      </c>
      <c r="T42" s="36">
        <f t="shared" si="5"/>
        <v>16.735999999999997</v>
      </c>
      <c r="U42" s="36">
        <f t="shared" si="6"/>
        <v>1097.5737333333334</v>
      </c>
      <c r="V42" s="36">
        <f t="shared" si="7"/>
        <v>1097.5737333333334</v>
      </c>
      <c r="W42" s="36">
        <f t="shared" si="8"/>
        <v>73.857939999999999</v>
      </c>
      <c r="X42" s="36">
        <f t="shared" si="9"/>
        <v>73.823359999999994</v>
      </c>
      <c r="Y42" s="36">
        <f t="shared" si="10"/>
        <v>19.575333333333333</v>
      </c>
      <c r="Z42" s="36">
        <f t="shared" si="11"/>
        <v>19.589333333333332</v>
      </c>
      <c r="AA42" s="53"/>
      <c r="AB42" s="53"/>
      <c r="AC42" s="36">
        <f t="shared" si="12"/>
        <v>21.776937966666665</v>
      </c>
      <c r="AD42" s="36">
        <f t="shared" si="13"/>
        <v>21.792349446666666</v>
      </c>
      <c r="AE42" s="53"/>
      <c r="AF42" s="53"/>
      <c r="CD42" s="69">
        <v>2014</v>
      </c>
      <c r="CE42" s="54">
        <f t="shared" si="14"/>
        <v>16.726666666666667</v>
      </c>
      <c r="CF42" s="54">
        <f t="shared" si="15"/>
        <v>73.857939999999999</v>
      </c>
      <c r="CG42" s="69">
        <f t="shared" si="16"/>
        <v>398.90000000000009</v>
      </c>
      <c r="CH42" s="54">
        <f t="shared" si="17"/>
        <v>16.735999999999997</v>
      </c>
      <c r="CI42" s="54">
        <f t="shared" si="19"/>
        <v>73.823359999999994</v>
      </c>
      <c r="CJ42" s="69">
        <f t="shared" si="18"/>
        <v>401.29999999999995</v>
      </c>
    </row>
    <row r="43" spans="1:95">
      <c r="A43" s="35">
        <v>2015</v>
      </c>
      <c r="B43" s="47">
        <f t="shared" si="22"/>
        <v>0.34999999999999992</v>
      </c>
      <c r="C43" s="47">
        <f t="shared" si="22"/>
        <v>0.3600000000000001</v>
      </c>
      <c r="D43" s="47">
        <f t="shared" si="22"/>
        <v>0.34999999999999992</v>
      </c>
      <c r="E43" s="47">
        <f t="shared" si="22"/>
        <v>0.34999999999999992</v>
      </c>
      <c r="F43" s="47">
        <f t="shared" si="22"/>
        <v>-0.34999999999999992</v>
      </c>
      <c r="G43" s="47">
        <f t="shared" si="22"/>
        <v>-0.4</v>
      </c>
      <c r="H43" s="47">
        <f t="shared" si="22"/>
        <v>0.29499999999999998</v>
      </c>
      <c r="I43" s="47">
        <f t="shared" si="22"/>
        <v>0.31</v>
      </c>
      <c r="J43" s="47">
        <f t="shared" si="22"/>
        <v>0</v>
      </c>
      <c r="K43" s="47">
        <f t="shared" si="22"/>
        <v>0</v>
      </c>
      <c r="L43" s="47">
        <f t="shared" si="22"/>
        <v>0.29671924999999888</v>
      </c>
      <c r="M43" s="47">
        <f t="shared" si="22"/>
        <v>0.31323154999999936</v>
      </c>
      <c r="N43" s="47">
        <f t="shared" si="22"/>
        <v>0</v>
      </c>
      <c r="O43" s="47">
        <f t="shared" si="22"/>
        <v>0</v>
      </c>
      <c r="Q43" s="36">
        <v>401.75000000000011</v>
      </c>
      <c r="R43" s="36">
        <v>404.24999999999994</v>
      </c>
      <c r="S43" s="36">
        <f t="shared" si="4"/>
        <v>16.75</v>
      </c>
      <c r="T43" s="36">
        <f t="shared" si="5"/>
        <v>16.759999999999998</v>
      </c>
      <c r="U43" s="36">
        <f t="shared" si="6"/>
        <v>1097.829</v>
      </c>
      <c r="V43" s="36">
        <f t="shared" si="7"/>
        <v>1097.829</v>
      </c>
      <c r="W43" s="36">
        <f t="shared" si="8"/>
        <v>73.840649999999997</v>
      </c>
      <c r="X43" s="36">
        <f t="shared" si="9"/>
        <v>73.803599999999989</v>
      </c>
      <c r="Y43" s="36">
        <f t="shared" si="10"/>
        <v>19.595000000000002</v>
      </c>
      <c r="Z43" s="36">
        <f t="shared" si="11"/>
        <v>19.61</v>
      </c>
      <c r="AA43" s="53"/>
      <c r="AB43" s="53"/>
      <c r="AC43" s="36">
        <f t="shared" si="12"/>
        <v>21.796719249999999</v>
      </c>
      <c r="AD43" s="36">
        <f t="shared" si="13"/>
        <v>21.813231549999998</v>
      </c>
      <c r="AE43" s="53"/>
      <c r="AF43" s="53"/>
      <c r="CD43" s="69">
        <v>2015</v>
      </c>
      <c r="CE43" s="54">
        <f t="shared" si="14"/>
        <v>16.75</v>
      </c>
      <c r="CF43" s="54">
        <f t="shared" si="15"/>
        <v>73.840649999999997</v>
      </c>
      <c r="CG43" s="69">
        <f t="shared" si="16"/>
        <v>401.75000000000011</v>
      </c>
      <c r="CH43" s="54">
        <f t="shared" si="17"/>
        <v>16.759999999999998</v>
      </c>
      <c r="CI43" s="54">
        <f t="shared" si="19"/>
        <v>73.803599999999989</v>
      </c>
      <c r="CJ43" s="69">
        <f t="shared" si="18"/>
        <v>404.24999999999994</v>
      </c>
    </row>
    <row r="44" spans="1:95">
      <c r="A44" s="35">
        <v>2016</v>
      </c>
      <c r="B44" s="47">
        <f t="shared" si="22"/>
        <v>0.37333333333333324</v>
      </c>
      <c r="C44" s="47">
        <f t="shared" si="22"/>
        <v>0.38400000000000012</v>
      </c>
      <c r="D44" s="47">
        <f t="shared" si="22"/>
        <v>0.37333333333333324</v>
      </c>
      <c r="E44" s="47">
        <f t="shared" si="22"/>
        <v>0.37333333333333324</v>
      </c>
      <c r="F44" s="47">
        <f t="shared" si="22"/>
        <v>-0.37333333333333324</v>
      </c>
      <c r="G44" s="47">
        <f t="shared" si="22"/>
        <v>-0.42666666666666669</v>
      </c>
      <c r="H44" s="47">
        <f t="shared" si="22"/>
        <v>0.31466666666666665</v>
      </c>
      <c r="I44" s="47">
        <f t="shared" si="22"/>
        <v>0.33066666666666666</v>
      </c>
      <c r="J44" s="47">
        <f t="shared" si="22"/>
        <v>0</v>
      </c>
      <c r="K44" s="47">
        <f t="shared" si="22"/>
        <v>0</v>
      </c>
      <c r="L44" s="47">
        <f t="shared" si="22"/>
        <v>0.31650053333333217</v>
      </c>
      <c r="M44" s="47">
        <f t="shared" si="22"/>
        <v>0.33411365333333265</v>
      </c>
      <c r="N44" s="47">
        <f t="shared" si="22"/>
        <v>0</v>
      </c>
      <c r="O44" s="47">
        <f t="shared" si="22"/>
        <v>0</v>
      </c>
      <c r="Q44" s="36">
        <v>404.60000000000014</v>
      </c>
      <c r="R44" s="36">
        <v>407.19999999999993</v>
      </c>
      <c r="S44" s="36">
        <f t="shared" si="4"/>
        <v>16.773333333333333</v>
      </c>
      <c r="T44" s="36">
        <f t="shared" si="5"/>
        <v>16.783999999999999</v>
      </c>
      <c r="U44" s="36">
        <f t="shared" si="6"/>
        <v>1098.0842666666667</v>
      </c>
      <c r="V44" s="36">
        <f t="shared" si="7"/>
        <v>1098.0842666666667</v>
      </c>
      <c r="W44" s="36">
        <f t="shared" si="8"/>
        <v>73.823359999999994</v>
      </c>
      <c r="X44" s="36">
        <f t="shared" si="9"/>
        <v>73.783839999999998</v>
      </c>
      <c r="Y44" s="36">
        <f t="shared" si="10"/>
        <v>19.614666666666668</v>
      </c>
      <c r="Z44" s="36">
        <f t="shared" si="11"/>
        <v>19.630666666666666</v>
      </c>
      <c r="AA44" s="53"/>
      <c r="AB44" s="53"/>
      <c r="AC44" s="36">
        <f t="shared" si="12"/>
        <v>21.816500533333333</v>
      </c>
      <c r="AD44" s="36">
        <f t="shared" si="13"/>
        <v>21.834113653333333</v>
      </c>
      <c r="AE44" s="53"/>
      <c r="AF44" s="53"/>
      <c r="CD44" s="69">
        <v>2016</v>
      </c>
      <c r="CE44" s="54">
        <f t="shared" si="14"/>
        <v>16.773333333333333</v>
      </c>
      <c r="CF44" s="54">
        <f t="shared" si="15"/>
        <v>73.823359999999994</v>
      </c>
      <c r="CG44" s="69">
        <f t="shared" si="16"/>
        <v>404.60000000000014</v>
      </c>
      <c r="CH44" s="54">
        <f t="shared" si="17"/>
        <v>16.783999999999999</v>
      </c>
      <c r="CI44" s="54">
        <f t="shared" si="19"/>
        <v>73.783839999999998</v>
      </c>
      <c r="CJ44" s="69">
        <f t="shared" si="18"/>
        <v>407.19999999999993</v>
      </c>
    </row>
    <row r="45" spans="1:95">
      <c r="A45" s="35">
        <v>2017</v>
      </c>
      <c r="B45" s="47">
        <f t="shared" si="22"/>
        <v>0.39666666666666656</v>
      </c>
      <c r="C45" s="47">
        <f t="shared" si="22"/>
        <v>0.40800000000000014</v>
      </c>
      <c r="D45" s="47">
        <f t="shared" si="22"/>
        <v>0.39666666666666656</v>
      </c>
      <c r="E45" s="47">
        <f t="shared" si="22"/>
        <v>0.39666666666666656</v>
      </c>
      <c r="F45" s="47">
        <f t="shared" si="22"/>
        <v>-0.39666666666666656</v>
      </c>
      <c r="G45" s="47">
        <f t="shared" si="22"/>
        <v>-0.45333333333333337</v>
      </c>
      <c r="H45" s="47">
        <f t="shared" si="22"/>
        <v>0.33433333333333332</v>
      </c>
      <c r="I45" s="47">
        <f t="shared" si="22"/>
        <v>0.35133333333333333</v>
      </c>
      <c r="J45" s="47">
        <f t="shared" si="22"/>
        <v>0</v>
      </c>
      <c r="K45" s="47">
        <f t="shared" si="22"/>
        <v>0</v>
      </c>
      <c r="L45" s="47">
        <f t="shared" si="22"/>
        <v>0.33628181666666546</v>
      </c>
      <c r="M45" s="47">
        <f t="shared" si="22"/>
        <v>0.35499575666666594</v>
      </c>
      <c r="N45" s="47">
        <f t="shared" si="22"/>
        <v>0</v>
      </c>
      <c r="O45" s="47">
        <f t="shared" si="22"/>
        <v>0</v>
      </c>
      <c r="Q45" s="36">
        <v>407.45000000000016</v>
      </c>
      <c r="R45" s="36">
        <v>410.14999999999992</v>
      </c>
      <c r="S45" s="36">
        <f t="shared" si="4"/>
        <v>16.796666666666667</v>
      </c>
      <c r="T45" s="36">
        <f t="shared" si="5"/>
        <v>16.808</v>
      </c>
      <c r="U45" s="36">
        <f t="shared" si="6"/>
        <v>1098.3395333333333</v>
      </c>
      <c r="V45" s="36">
        <f t="shared" si="7"/>
        <v>1098.3395333333333</v>
      </c>
      <c r="W45" s="36">
        <f t="shared" si="8"/>
        <v>73.806069999999991</v>
      </c>
      <c r="X45" s="36">
        <f t="shared" si="9"/>
        <v>73.764079999999993</v>
      </c>
      <c r="Y45" s="36">
        <f t="shared" si="10"/>
        <v>19.634333333333334</v>
      </c>
      <c r="Z45" s="36">
        <f t="shared" si="11"/>
        <v>19.651333333333334</v>
      </c>
      <c r="AA45" s="53"/>
      <c r="AB45" s="53"/>
      <c r="AC45" s="36">
        <f t="shared" si="12"/>
        <v>21.836281816666666</v>
      </c>
      <c r="AD45" s="36">
        <f t="shared" si="13"/>
        <v>21.854995756666668</v>
      </c>
      <c r="AE45" s="53"/>
      <c r="AF45" s="53"/>
      <c r="CD45" s="69">
        <v>2017</v>
      </c>
      <c r="CE45" s="54">
        <f t="shared" si="14"/>
        <v>16.796666666666667</v>
      </c>
      <c r="CF45" s="54">
        <f t="shared" si="15"/>
        <v>73.806069999999991</v>
      </c>
      <c r="CG45" s="69">
        <f t="shared" si="16"/>
        <v>407.45000000000016</v>
      </c>
      <c r="CH45" s="54">
        <f t="shared" si="17"/>
        <v>16.808</v>
      </c>
      <c r="CI45" s="54">
        <f t="shared" si="19"/>
        <v>73.764079999999993</v>
      </c>
      <c r="CJ45" s="69">
        <f t="shared" si="18"/>
        <v>410.14999999999992</v>
      </c>
    </row>
    <row r="46" spans="1:95">
      <c r="A46" s="35">
        <v>2018</v>
      </c>
      <c r="B46" s="47">
        <f t="shared" si="22"/>
        <v>0.41999999999999987</v>
      </c>
      <c r="C46" s="47">
        <f t="shared" si="22"/>
        <v>0.43200000000000016</v>
      </c>
      <c r="D46" s="47">
        <f t="shared" si="22"/>
        <v>0.41999999999999987</v>
      </c>
      <c r="E46" s="47">
        <f t="shared" si="22"/>
        <v>0.41999999999999987</v>
      </c>
      <c r="F46" s="47">
        <f t="shared" si="22"/>
        <v>-0.41999999999999987</v>
      </c>
      <c r="G46" s="47">
        <f t="shared" si="22"/>
        <v>-0.48000000000000004</v>
      </c>
      <c r="H46" s="47">
        <f t="shared" si="22"/>
        <v>0.35399999999999998</v>
      </c>
      <c r="I46" s="47">
        <f t="shared" si="22"/>
        <v>0.372</v>
      </c>
      <c r="J46" s="47">
        <f t="shared" si="22"/>
        <v>0</v>
      </c>
      <c r="K46" s="47">
        <f t="shared" si="22"/>
        <v>0</v>
      </c>
      <c r="L46" s="47">
        <f t="shared" si="22"/>
        <v>0.35606309999999874</v>
      </c>
      <c r="M46" s="47">
        <f t="shared" si="22"/>
        <v>0.37587785999999923</v>
      </c>
      <c r="N46" s="47">
        <f t="shared" si="22"/>
        <v>0</v>
      </c>
      <c r="O46" s="47">
        <f t="shared" si="22"/>
        <v>0</v>
      </c>
      <c r="Q46" s="36">
        <v>410.30000000000018</v>
      </c>
      <c r="R46" s="36">
        <v>413.09999999999991</v>
      </c>
      <c r="S46" s="36">
        <f t="shared" si="4"/>
        <v>16.819999999999997</v>
      </c>
      <c r="T46" s="36">
        <f t="shared" si="5"/>
        <v>16.831999999999997</v>
      </c>
      <c r="U46" s="36">
        <f t="shared" si="6"/>
        <v>1098.5948000000001</v>
      </c>
      <c r="V46" s="36">
        <f t="shared" si="7"/>
        <v>1098.5948000000001</v>
      </c>
      <c r="W46" s="36">
        <f t="shared" si="8"/>
        <v>73.788779999999988</v>
      </c>
      <c r="X46" s="36">
        <f t="shared" si="9"/>
        <v>73.744319999999988</v>
      </c>
      <c r="Y46" s="36">
        <f t="shared" si="10"/>
        <v>19.654</v>
      </c>
      <c r="Z46" s="36">
        <f t="shared" si="11"/>
        <v>19.672000000000001</v>
      </c>
      <c r="AA46" s="53"/>
      <c r="AB46" s="53"/>
      <c r="AC46" s="36">
        <f t="shared" si="12"/>
        <v>21.8560631</v>
      </c>
      <c r="AD46" s="36">
        <f t="shared" si="13"/>
        <v>21.875877859999999</v>
      </c>
      <c r="AE46" s="53"/>
      <c r="AF46" s="53"/>
      <c r="CD46" s="69">
        <v>2018</v>
      </c>
      <c r="CE46" s="54">
        <f t="shared" si="14"/>
        <v>16.819999999999997</v>
      </c>
      <c r="CF46" s="54">
        <f t="shared" si="15"/>
        <v>73.788779999999988</v>
      </c>
      <c r="CG46" s="69">
        <f t="shared" si="16"/>
        <v>410.30000000000018</v>
      </c>
      <c r="CH46" s="54">
        <f t="shared" si="17"/>
        <v>16.831999999999997</v>
      </c>
      <c r="CI46" s="54">
        <f t="shared" si="19"/>
        <v>73.744319999999988</v>
      </c>
      <c r="CJ46" s="69">
        <f t="shared" si="18"/>
        <v>413.09999999999991</v>
      </c>
    </row>
    <row r="47" spans="1:95">
      <c r="A47" s="35">
        <v>2019</v>
      </c>
      <c r="B47" s="47">
        <f t="shared" si="22"/>
        <v>0.44333333333333319</v>
      </c>
      <c r="C47" s="47">
        <f t="shared" si="22"/>
        <v>0.45600000000000018</v>
      </c>
      <c r="D47" s="47">
        <f t="shared" si="22"/>
        <v>0.44333333333333319</v>
      </c>
      <c r="E47" s="47">
        <f t="shared" si="22"/>
        <v>0.44333333333333319</v>
      </c>
      <c r="F47" s="47">
        <f t="shared" si="22"/>
        <v>-0.44333333333333319</v>
      </c>
      <c r="G47" s="47">
        <f t="shared" si="22"/>
        <v>-0.50666666666666671</v>
      </c>
      <c r="H47" s="47">
        <f t="shared" si="22"/>
        <v>0.37366666666666665</v>
      </c>
      <c r="I47" s="47">
        <f t="shared" si="22"/>
        <v>0.39266666666666666</v>
      </c>
      <c r="J47" s="47">
        <f t="shared" si="22"/>
        <v>0</v>
      </c>
      <c r="K47" s="47">
        <f t="shared" si="22"/>
        <v>0</v>
      </c>
      <c r="L47" s="47">
        <f t="shared" si="22"/>
        <v>0.37584438333333203</v>
      </c>
      <c r="M47" s="47">
        <f t="shared" si="22"/>
        <v>0.39675996333333252</v>
      </c>
      <c r="N47" s="47">
        <f t="shared" si="22"/>
        <v>0</v>
      </c>
      <c r="O47" s="47">
        <f t="shared" si="22"/>
        <v>0</v>
      </c>
      <c r="Q47" s="36">
        <v>413.1500000000002</v>
      </c>
      <c r="R47" s="36">
        <v>416.0499999999999</v>
      </c>
      <c r="S47" s="36">
        <f t="shared" si="4"/>
        <v>16.84333333333333</v>
      </c>
      <c r="T47" s="36">
        <f t="shared" si="5"/>
        <v>16.855999999999998</v>
      </c>
      <c r="U47" s="36">
        <f t="shared" si="6"/>
        <v>1098.8500666666666</v>
      </c>
      <c r="V47" s="36">
        <f t="shared" si="7"/>
        <v>1098.8500666666666</v>
      </c>
      <c r="W47" s="36">
        <f t="shared" si="8"/>
        <v>73.77149</v>
      </c>
      <c r="X47" s="36">
        <f t="shared" si="9"/>
        <v>73.724559999999997</v>
      </c>
      <c r="Y47" s="36">
        <f t="shared" si="10"/>
        <v>19.673666666666666</v>
      </c>
      <c r="Z47" s="36">
        <f t="shared" si="11"/>
        <v>19.692666666666668</v>
      </c>
      <c r="AA47" s="53"/>
      <c r="AB47" s="53"/>
      <c r="AC47" s="36">
        <f t="shared" si="12"/>
        <v>21.87584438333333</v>
      </c>
      <c r="AD47" s="36">
        <f t="shared" si="13"/>
        <v>21.896759963333331</v>
      </c>
      <c r="AE47" s="53"/>
      <c r="AF47" s="53"/>
      <c r="CD47" s="69">
        <v>2019</v>
      </c>
      <c r="CE47" s="54">
        <f t="shared" si="14"/>
        <v>16.84333333333333</v>
      </c>
      <c r="CF47" s="54">
        <f t="shared" si="15"/>
        <v>73.77149</v>
      </c>
      <c r="CG47" s="69">
        <f t="shared" si="16"/>
        <v>413.1500000000002</v>
      </c>
      <c r="CH47" s="54">
        <f t="shared" si="17"/>
        <v>16.855999999999998</v>
      </c>
      <c r="CI47" s="54">
        <f t="shared" si="19"/>
        <v>73.724559999999997</v>
      </c>
      <c r="CJ47" s="69">
        <f t="shared" si="18"/>
        <v>416.0499999999999</v>
      </c>
    </row>
    <row r="48" spans="1:95">
      <c r="A48" s="35">
        <v>2020</v>
      </c>
      <c r="B48" s="47">
        <f t="shared" si="22"/>
        <v>0.46666666666666651</v>
      </c>
      <c r="C48" s="47">
        <f t="shared" si="22"/>
        <v>0.4800000000000002</v>
      </c>
      <c r="D48" s="47">
        <f t="shared" si="22"/>
        <v>0.46666666666666651</v>
      </c>
      <c r="E48" s="47">
        <f t="shared" si="22"/>
        <v>0.46666666666666651</v>
      </c>
      <c r="F48" s="47">
        <f t="shared" si="22"/>
        <v>-0.46666666666666651</v>
      </c>
      <c r="G48" s="47">
        <f t="shared" si="22"/>
        <v>-0.53333333333333344</v>
      </c>
      <c r="H48" s="47">
        <f t="shared" si="22"/>
        <v>0.39333333333333331</v>
      </c>
      <c r="I48" s="47">
        <f t="shared" si="22"/>
        <v>0.41333333333333333</v>
      </c>
      <c r="J48" s="47">
        <f t="shared" si="22"/>
        <v>0</v>
      </c>
      <c r="K48" s="47">
        <f t="shared" si="22"/>
        <v>0</v>
      </c>
      <c r="L48" s="47">
        <f t="shared" si="22"/>
        <v>0.39562566666666532</v>
      </c>
      <c r="M48" s="47">
        <f t="shared" si="22"/>
        <v>0.41764206666666581</v>
      </c>
      <c r="N48" s="47">
        <f t="shared" si="22"/>
        <v>0</v>
      </c>
      <c r="O48" s="47">
        <f t="shared" si="22"/>
        <v>0</v>
      </c>
      <c r="Q48" s="36">
        <v>416</v>
      </c>
      <c r="R48" s="36">
        <v>419</v>
      </c>
      <c r="S48" s="36">
        <f t="shared" si="4"/>
        <v>16.866666666666664</v>
      </c>
      <c r="T48" s="36">
        <f t="shared" si="5"/>
        <v>16.88</v>
      </c>
      <c r="U48" s="36">
        <f t="shared" si="6"/>
        <v>1099.1053333333334</v>
      </c>
      <c r="V48" s="36">
        <f t="shared" si="7"/>
        <v>1099.1053333333334</v>
      </c>
      <c r="W48" s="36">
        <f t="shared" si="8"/>
        <v>73.754199999999997</v>
      </c>
      <c r="X48" s="36">
        <f t="shared" si="9"/>
        <v>73.704799999999992</v>
      </c>
      <c r="Y48" s="36">
        <f t="shared" si="10"/>
        <v>19.693333333333335</v>
      </c>
      <c r="Z48" s="36">
        <f t="shared" si="11"/>
        <v>19.713333333333335</v>
      </c>
      <c r="AA48" s="53"/>
      <c r="AB48" s="53"/>
      <c r="AC48" s="36">
        <f t="shared" si="12"/>
        <v>21.895625666666664</v>
      </c>
      <c r="AD48" s="36">
        <f t="shared" si="13"/>
        <v>21.917642066666666</v>
      </c>
      <c r="AE48" s="53"/>
      <c r="AF48" s="53"/>
      <c r="CD48" s="69">
        <v>2020</v>
      </c>
      <c r="CE48" s="54">
        <f t="shared" si="14"/>
        <v>16.866666666666664</v>
      </c>
      <c r="CF48" s="54">
        <f t="shared" si="15"/>
        <v>73.754199999999997</v>
      </c>
      <c r="CG48" s="69">
        <f t="shared" si="16"/>
        <v>416</v>
      </c>
      <c r="CH48" s="54">
        <f t="shared" si="17"/>
        <v>16.88</v>
      </c>
      <c r="CI48" s="54">
        <f t="shared" si="19"/>
        <v>73.704799999999992</v>
      </c>
      <c r="CJ48" s="69">
        <f t="shared" si="18"/>
        <v>419</v>
      </c>
    </row>
    <row r="49" spans="1:90">
      <c r="A49" s="35">
        <v>2021</v>
      </c>
      <c r="B49" s="47">
        <f t="shared" si="22"/>
        <v>0.48999999999999982</v>
      </c>
      <c r="C49" s="47">
        <f t="shared" si="22"/>
        <v>0.50400000000000023</v>
      </c>
      <c r="D49" s="47">
        <f t="shared" si="22"/>
        <v>0.48999999999999982</v>
      </c>
      <c r="E49" s="47">
        <f t="shared" si="22"/>
        <v>0.48999999999999982</v>
      </c>
      <c r="F49" s="47">
        <f t="shared" si="22"/>
        <v>-0.48999999999999982</v>
      </c>
      <c r="G49" s="47">
        <f t="shared" si="22"/>
        <v>-0.56000000000000005</v>
      </c>
      <c r="H49" s="47">
        <f t="shared" si="22"/>
        <v>0.41299999999999998</v>
      </c>
      <c r="I49" s="47">
        <f t="shared" si="22"/>
        <v>0.434</v>
      </c>
      <c r="J49" s="47">
        <f t="shared" si="22"/>
        <v>0</v>
      </c>
      <c r="K49" s="47">
        <f t="shared" si="22"/>
        <v>0</v>
      </c>
      <c r="L49" s="47">
        <f t="shared" si="22"/>
        <v>0.41540694999999861</v>
      </c>
      <c r="M49" s="47">
        <f t="shared" si="22"/>
        <v>0.4385241699999991</v>
      </c>
      <c r="N49" s="47">
        <f t="shared" si="22"/>
        <v>0</v>
      </c>
      <c r="O49" s="47">
        <f t="shared" si="22"/>
        <v>0</v>
      </c>
      <c r="Q49" s="36">
        <v>419.6</v>
      </c>
      <c r="R49" s="36">
        <v>422.15</v>
      </c>
      <c r="S49" s="36">
        <f t="shared" si="4"/>
        <v>16.889999999999997</v>
      </c>
      <c r="T49" s="36">
        <f t="shared" si="5"/>
        <v>16.904</v>
      </c>
      <c r="U49" s="36">
        <f t="shared" si="6"/>
        <v>1099.3606</v>
      </c>
      <c r="V49" s="36">
        <f t="shared" si="7"/>
        <v>1099.3606</v>
      </c>
      <c r="W49" s="36">
        <f t="shared" si="8"/>
        <v>73.736909999999995</v>
      </c>
      <c r="X49" s="36">
        <f t="shared" si="9"/>
        <v>73.685040000000001</v>
      </c>
      <c r="Y49" s="36">
        <f t="shared" si="10"/>
        <v>19.713000000000001</v>
      </c>
      <c r="Z49" s="36">
        <f t="shared" si="11"/>
        <v>19.734000000000002</v>
      </c>
      <c r="AA49" s="53"/>
      <c r="AB49" s="53"/>
      <c r="AC49" s="36">
        <f t="shared" si="12"/>
        <v>21.915406949999998</v>
      </c>
      <c r="AD49" s="36">
        <f t="shared" si="13"/>
        <v>21.938524170000001</v>
      </c>
      <c r="AE49" s="53"/>
      <c r="AF49" s="53"/>
      <c r="CD49" s="69">
        <v>2021</v>
      </c>
      <c r="CE49" s="54">
        <f t="shared" si="14"/>
        <v>16.889999999999997</v>
      </c>
      <c r="CF49" s="54">
        <f t="shared" si="15"/>
        <v>73.736909999999995</v>
      </c>
      <c r="CG49" s="69">
        <f t="shared" si="16"/>
        <v>419.6</v>
      </c>
      <c r="CH49" s="54">
        <f t="shared" si="17"/>
        <v>16.904</v>
      </c>
      <c r="CI49" s="54">
        <f t="shared" si="19"/>
        <v>73.685040000000001</v>
      </c>
      <c r="CJ49" s="69">
        <f t="shared" si="18"/>
        <v>422.15</v>
      </c>
    </row>
    <row r="50" spans="1:90">
      <c r="A50" s="35">
        <v>2022</v>
      </c>
      <c r="B50" s="47">
        <f t="shared" si="22"/>
        <v>0.5133333333333332</v>
      </c>
      <c r="C50" s="47">
        <f t="shared" si="22"/>
        <v>0.52800000000000025</v>
      </c>
      <c r="D50" s="47">
        <f t="shared" si="22"/>
        <v>0.5133333333333332</v>
      </c>
      <c r="E50" s="47">
        <f t="shared" si="22"/>
        <v>0.5133333333333332</v>
      </c>
      <c r="F50" s="47">
        <f t="shared" si="22"/>
        <v>-0.5133333333333332</v>
      </c>
      <c r="G50" s="47">
        <f t="shared" si="22"/>
        <v>-0.58666666666666667</v>
      </c>
      <c r="H50" s="47">
        <f t="shared" si="22"/>
        <v>0.43266666666666664</v>
      </c>
      <c r="I50" s="47">
        <f t="shared" si="22"/>
        <v>0.45466666666666666</v>
      </c>
      <c r="J50" s="47">
        <f t="shared" si="22"/>
        <v>0</v>
      </c>
      <c r="K50" s="47">
        <f t="shared" si="22"/>
        <v>0</v>
      </c>
      <c r="L50" s="47">
        <f t="shared" si="22"/>
        <v>0.4351882333333319</v>
      </c>
      <c r="M50" s="47">
        <f t="shared" si="22"/>
        <v>0.45940627333333239</v>
      </c>
      <c r="N50" s="47">
        <f t="shared" si="22"/>
        <v>0</v>
      </c>
      <c r="O50" s="47">
        <f t="shared" si="22"/>
        <v>0</v>
      </c>
      <c r="Q50" s="36">
        <v>423.20000000000005</v>
      </c>
      <c r="R50" s="36">
        <v>425.29999999999995</v>
      </c>
      <c r="S50" s="36">
        <f t="shared" si="4"/>
        <v>16.91333333333333</v>
      </c>
      <c r="T50" s="36">
        <f t="shared" si="5"/>
        <v>16.927999999999997</v>
      </c>
      <c r="U50" s="36">
        <f t="shared" si="6"/>
        <v>1099.6158666666668</v>
      </c>
      <c r="V50" s="36">
        <f t="shared" si="7"/>
        <v>1099.6158666666668</v>
      </c>
      <c r="W50" s="36">
        <f t="shared" si="8"/>
        <v>73.719619999999992</v>
      </c>
      <c r="X50" s="36">
        <f t="shared" si="9"/>
        <v>73.665279999999996</v>
      </c>
      <c r="Y50" s="36">
        <f t="shared" si="10"/>
        <v>19.732666666666667</v>
      </c>
      <c r="Z50" s="36">
        <f t="shared" si="11"/>
        <v>19.754666666666669</v>
      </c>
      <c r="AA50" s="53"/>
      <c r="AB50" s="53"/>
      <c r="AC50" s="36">
        <f t="shared" si="12"/>
        <v>21.935188233333331</v>
      </c>
      <c r="AD50" s="36">
        <f t="shared" si="13"/>
        <v>21.959406273333332</v>
      </c>
      <c r="AE50" s="53"/>
      <c r="AF50" s="53"/>
      <c r="CD50" s="69">
        <v>2022</v>
      </c>
      <c r="CE50" s="54">
        <f t="shared" si="14"/>
        <v>16.91333333333333</v>
      </c>
      <c r="CF50" s="54">
        <f t="shared" si="15"/>
        <v>73.719619999999992</v>
      </c>
      <c r="CG50" s="69">
        <f t="shared" si="16"/>
        <v>423.20000000000005</v>
      </c>
      <c r="CH50" s="54">
        <f t="shared" si="17"/>
        <v>16.927999999999997</v>
      </c>
      <c r="CI50" s="54">
        <f t="shared" si="19"/>
        <v>73.665279999999996</v>
      </c>
      <c r="CJ50" s="69">
        <f t="shared" si="18"/>
        <v>425.29999999999995</v>
      </c>
    </row>
    <row r="51" spans="1:90">
      <c r="A51" s="35">
        <v>2023</v>
      </c>
      <c r="B51" s="47">
        <f t="shared" si="22"/>
        <v>0.53666666666666651</v>
      </c>
      <c r="C51" s="47">
        <f t="shared" si="22"/>
        <v>0.55200000000000027</v>
      </c>
      <c r="D51" s="47">
        <f t="shared" si="22"/>
        <v>0.53666666666666651</v>
      </c>
      <c r="E51" s="47">
        <f t="shared" si="22"/>
        <v>0.53666666666666651</v>
      </c>
      <c r="F51" s="47">
        <f t="shared" si="22"/>
        <v>-0.53666666666666651</v>
      </c>
      <c r="G51" s="47">
        <f t="shared" si="22"/>
        <v>-0.61333333333333329</v>
      </c>
      <c r="H51" s="47">
        <f t="shared" si="22"/>
        <v>0.45233333333333331</v>
      </c>
      <c r="I51" s="47">
        <f t="shared" si="22"/>
        <v>0.47533333333333333</v>
      </c>
      <c r="J51" s="47">
        <f t="shared" si="22"/>
        <v>0</v>
      </c>
      <c r="K51" s="47">
        <f t="shared" si="22"/>
        <v>0</v>
      </c>
      <c r="L51" s="47">
        <f t="shared" si="22"/>
        <v>0.45496951666666519</v>
      </c>
      <c r="M51" s="47">
        <f t="shared" si="22"/>
        <v>0.48028837666666568</v>
      </c>
      <c r="N51" s="47">
        <f t="shared" si="22"/>
        <v>0</v>
      </c>
      <c r="O51" s="47">
        <f t="shared" si="22"/>
        <v>0</v>
      </c>
      <c r="Q51" s="36">
        <v>426.80000000000007</v>
      </c>
      <c r="R51" s="36">
        <v>428.44999999999993</v>
      </c>
      <c r="S51" s="36">
        <f t="shared" si="4"/>
        <v>16.936666666666664</v>
      </c>
      <c r="T51" s="36">
        <f t="shared" si="5"/>
        <v>16.951999999999998</v>
      </c>
      <c r="U51" s="36">
        <f t="shared" si="6"/>
        <v>1099.8711333333333</v>
      </c>
      <c r="V51" s="36">
        <f t="shared" si="7"/>
        <v>1099.8711333333333</v>
      </c>
      <c r="W51" s="36">
        <f t="shared" si="8"/>
        <v>73.702329999999989</v>
      </c>
      <c r="X51" s="36">
        <f t="shared" si="9"/>
        <v>73.645519999999991</v>
      </c>
      <c r="Y51" s="36">
        <f t="shared" si="10"/>
        <v>19.752333333333333</v>
      </c>
      <c r="Z51" s="36">
        <f t="shared" si="11"/>
        <v>19.775333333333332</v>
      </c>
      <c r="AA51" s="53"/>
      <c r="AB51" s="53"/>
      <c r="AC51" s="36">
        <f t="shared" si="12"/>
        <v>21.954969516666665</v>
      </c>
      <c r="AD51" s="36">
        <f t="shared" si="13"/>
        <v>21.980288376666664</v>
      </c>
      <c r="AE51" s="53"/>
      <c r="AF51" s="53"/>
      <c r="CD51" s="69">
        <v>2023</v>
      </c>
      <c r="CE51" s="54">
        <f t="shared" si="14"/>
        <v>16.936666666666664</v>
      </c>
      <c r="CF51" s="54">
        <f t="shared" si="15"/>
        <v>73.702329999999989</v>
      </c>
      <c r="CG51" s="69">
        <f t="shared" si="16"/>
        <v>426.80000000000007</v>
      </c>
      <c r="CH51" s="54">
        <f t="shared" si="17"/>
        <v>16.951999999999998</v>
      </c>
      <c r="CI51" s="54">
        <f t="shared" si="19"/>
        <v>73.645519999999991</v>
      </c>
      <c r="CJ51" s="69">
        <f t="shared" si="18"/>
        <v>428.44999999999993</v>
      </c>
    </row>
    <row r="52" spans="1:90">
      <c r="A52" s="35">
        <v>2024</v>
      </c>
      <c r="B52" s="47">
        <f t="shared" si="22"/>
        <v>0.55999999999999983</v>
      </c>
      <c r="C52" s="47">
        <f t="shared" si="22"/>
        <v>0.57600000000000029</v>
      </c>
      <c r="D52" s="47">
        <f t="shared" si="22"/>
        <v>0.55999999999999983</v>
      </c>
      <c r="E52" s="47">
        <f t="shared" si="22"/>
        <v>0.55999999999999983</v>
      </c>
      <c r="F52" s="47">
        <f t="shared" si="22"/>
        <v>-0.55999999999999983</v>
      </c>
      <c r="G52" s="47">
        <f t="shared" si="22"/>
        <v>-0.6399999999999999</v>
      </c>
      <c r="H52" s="47">
        <f t="shared" si="22"/>
        <v>0.47199999999999998</v>
      </c>
      <c r="I52" s="47">
        <f t="shared" si="22"/>
        <v>0.496</v>
      </c>
      <c r="J52" s="47">
        <f t="shared" si="22"/>
        <v>0</v>
      </c>
      <c r="K52" s="47">
        <f t="shared" si="22"/>
        <v>0</v>
      </c>
      <c r="L52" s="47">
        <f t="shared" si="22"/>
        <v>0.47475079999999847</v>
      </c>
      <c r="M52" s="47">
        <f t="shared" si="22"/>
        <v>0.50117047999999897</v>
      </c>
      <c r="N52" s="47">
        <f t="shared" si="22"/>
        <v>0</v>
      </c>
      <c r="O52" s="47">
        <f t="shared" si="22"/>
        <v>0</v>
      </c>
      <c r="Q52" s="36">
        <v>430.40000000000009</v>
      </c>
      <c r="R52" s="36">
        <v>431.59999999999991</v>
      </c>
      <c r="S52" s="36">
        <f t="shared" si="4"/>
        <v>16.959999999999997</v>
      </c>
      <c r="T52" s="36">
        <f t="shared" si="5"/>
        <v>16.975999999999999</v>
      </c>
      <c r="U52" s="36">
        <f t="shared" si="6"/>
        <v>1100.1264000000001</v>
      </c>
      <c r="V52" s="36">
        <f t="shared" si="7"/>
        <v>1100.1264000000001</v>
      </c>
      <c r="W52" s="36">
        <f t="shared" si="8"/>
        <v>73.685040000000001</v>
      </c>
      <c r="X52" s="36">
        <f t="shared" si="9"/>
        <v>73.62576</v>
      </c>
      <c r="Y52" s="36">
        <f t="shared" si="10"/>
        <v>19.772000000000002</v>
      </c>
      <c r="Z52" s="36">
        <f t="shared" si="11"/>
        <v>19.795999999999999</v>
      </c>
      <c r="AA52" s="53"/>
      <c r="AB52" s="53"/>
      <c r="AC52" s="36">
        <f t="shared" si="12"/>
        <v>21.974750799999999</v>
      </c>
      <c r="AD52" s="36">
        <f t="shared" si="13"/>
        <v>22.001170479999999</v>
      </c>
      <c r="AE52" s="53"/>
      <c r="AF52" s="53"/>
      <c r="AH52" s="43"/>
      <c r="CD52" s="69">
        <v>2024</v>
      </c>
      <c r="CE52" s="54">
        <f t="shared" si="14"/>
        <v>16.959999999999997</v>
      </c>
      <c r="CF52" s="54">
        <f t="shared" si="15"/>
        <v>73.685040000000001</v>
      </c>
      <c r="CG52" s="69">
        <f t="shared" si="16"/>
        <v>430.40000000000009</v>
      </c>
      <c r="CH52" s="54">
        <f t="shared" si="17"/>
        <v>16.975999999999999</v>
      </c>
      <c r="CI52" s="54">
        <f t="shared" si="19"/>
        <v>73.62576</v>
      </c>
      <c r="CJ52" s="69">
        <f t="shared" si="18"/>
        <v>431.59999999999991</v>
      </c>
    </row>
    <row r="53" spans="1:90">
      <c r="A53" s="35">
        <v>2025</v>
      </c>
      <c r="B53" s="47">
        <f t="shared" si="22"/>
        <v>0.58333333333333315</v>
      </c>
      <c r="C53" s="47">
        <f t="shared" si="22"/>
        <v>0.60000000000000031</v>
      </c>
      <c r="D53" s="47">
        <f t="shared" si="22"/>
        <v>0.58333333333333315</v>
      </c>
      <c r="E53" s="47">
        <f t="shared" si="22"/>
        <v>0.58333333333333315</v>
      </c>
      <c r="F53" s="47">
        <f t="shared" si="22"/>
        <v>-0.58333333333333315</v>
      </c>
      <c r="G53" s="47">
        <f t="shared" si="22"/>
        <v>-0.66666666666666652</v>
      </c>
      <c r="H53" s="47">
        <f t="shared" si="22"/>
        <v>0.49166666666666664</v>
      </c>
      <c r="I53" s="47">
        <f t="shared" si="22"/>
        <v>0.51666666666666661</v>
      </c>
      <c r="J53" s="47">
        <f t="shared" si="22"/>
        <v>0</v>
      </c>
      <c r="K53" s="47">
        <f t="shared" si="22"/>
        <v>0</v>
      </c>
      <c r="L53" s="47">
        <f t="shared" si="22"/>
        <v>0.49453208333333176</v>
      </c>
      <c r="M53" s="47">
        <f t="shared" si="22"/>
        <v>0.52205258333333227</v>
      </c>
      <c r="N53" s="47">
        <f t="shared" si="22"/>
        <v>0</v>
      </c>
      <c r="O53" s="47">
        <f t="shared" si="22"/>
        <v>0</v>
      </c>
      <c r="Q53" s="36">
        <v>434.00000000000011</v>
      </c>
      <c r="R53" s="36">
        <v>434.74999999999989</v>
      </c>
      <c r="S53" s="36">
        <f t="shared" si="4"/>
        <v>16.983333333333331</v>
      </c>
      <c r="T53" s="36">
        <f t="shared" si="5"/>
        <v>17</v>
      </c>
      <c r="U53" s="36">
        <f t="shared" si="6"/>
        <v>1100.3816666666667</v>
      </c>
      <c r="V53" s="36">
        <f t="shared" si="7"/>
        <v>1100.3816666666667</v>
      </c>
      <c r="W53" s="36">
        <f t="shared" si="8"/>
        <v>73.667749999999998</v>
      </c>
      <c r="X53" s="36">
        <f t="shared" si="9"/>
        <v>73.605999999999995</v>
      </c>
      <c r="Y53" s="36">
        <f t="shared" si="10"/>
        <v>19.791666666666668</v>
      </c>
      <c r="Z53" s="36">
        <f t="shared" si="11"/>
        <v>19.816666666666666</v>
      </c>
      <c r="AA53" s="53"/>
      <c r="AB53" s="53"/>
      <c r="AC53" s="36">
        <f t="shared" si="12"/>
        <v>21.994532083333333</v>
      </c>
      <c r="AD53" s="36">
        <f t="shared" si="13"/>
        <v>22.022052583333334</v>
      </c>
      <c r="AE53" s="53"/>
      <c r="AF53" s="53"/>
      <c r="AH53" s="43"/>
      <c r="CD53" s="69">
        <v>2025</v>
      </c>
      <c r="CE53" s="54">
        <f t="shared" si="14"/>
        <v>16.983333333333331</v>
      </c>
      <c r="CF53" s="54">
        <f t="shared" si="15"/>
        <v>73.667749999999998</v>
      </c>
      <c r="CG53" s="69">
        <f t="shared" si="16"/>
        <v>434.00000000000011</v>
      </c>
      <c r="CH53" s="54">
        <f t="shared" si="17"/>
        <v>17</v>
      </c>
      <c r="CI53" s="54">
        <f t="shared" si="19"/>
        <v>73.605999999999995</v>
      </c>
      <c r="CJ53" s="69">
        <f t="shared" si="18"/>
        <v>434.74999999999989</v>
      </c>
    </row>
    <row r="54" spans="1:90">
      <c r="A54" s="35">
        <v>2026</v>
      </c>
      <c r="B54" s="47">
        <f t="shared" si="22"/>
        <v>0.60666666666666647</v>
      </c>
      <c r="C54" s="47">
        <f t="shared" si="22"/>
        <v>0.62400000000000033</v>
      </c>
      <c r="D54" s="47">
        <f t="shared" si="22"/>
        <v>0.60666666666666647</v>
      </c>
      <c r="E54" s="47">
        <f t="shared" si="22"/>
        <v>0.60666666666666647</v>
      </c>
      <c r="F54" s="47">
        <f t="shared" si="22"/>
        <v>-0.60666666666666647</v>
      </c>
      <c r="G54" s="47">
        <f t="shared" si="22"/>
        <v>-0.69333333333333313</v>
      </c>
      <c r="H54" s="47">
        <f t="shared" si="22"/>
        <v>0.51133333333333331</v>
      </c>
      <c r="I54" s="47">
        <f t="shared" si="22"/>
        <v>0.53733333333333322</v>
      </c>
      <c r="J54" s="47">
        <f t="shared" si="22"/>
        <v>0</v>
      </c>
      <c r="K54" s="47">
        <f t="shared" si="22"/>
        <v>0</v>
      </c>
      <c r="L54" s="47">
        <f t="shared" si="22"/>
        <v>0.51431336666666505</v>
      </c>
      <c r="M54" s="47">
        <f t="shared" si="22"/>
        <v>0.54293468666666556</v>
      </c>
      <c r="N54" s="47">
        <f t="shared" si="22"/>
        <v>0</v>
      </c>
      <c r="O54" s="47">
        <f t="shared" si="22"/>
        <v>0</v>
      </c>
      <c r="Q54" s="36">
        <v>437.60000000000014</v>
      </c>
      <c r="R54" s="36">
        <v>437.89999999999986</v>
      </c>
      <c r="S54" s="36">
        <f t="shared" si="4"/>
        <v>17.006666666666664</v>
      </c>
      <c r="T54" s="36">
        <f t="shared" si="5"/>
        <v>17.023999999999997</v>
      </c>
      <c r="U54" s="36">
        <f t="shared" si="6"/>
        <v>1100.6369333333332</v>
      </c>
      <c r="V54" s="36">
        <f t="shared" si="7"/>
        <v>1100.6369333333332</v>
      </c>
      <c r="W54" s="36">
        <f t="shared" si="8"/>
        <v>73.650459999999995</v>
      </c>
      <c r="X54" s="36">
        <f t="shared" si="9"/>
        <v>73.586239999999989</v>
      </c>
      <c r="Y54" s="36">
        <f t="shared" si="10"/>
        <v>19.811333333333334</v>
      </c>
      <c r="Z54" s="36">
        <f t="shared" si="11"/>
        <v>19.837333333333333</v>
      </c>
      <c r="AA54" s="53"/>
      <c r="AB54" s="53"/>
      <c r="AC54" s="36">
        <f t="shared" si="12"/>
        <v>22.014313366666666</v>
      </c>
      <c r="AD54" s="36">
        <f t="shared" si="13"/>
        <v>22.042934686666666</v>
      </c>
      <c r="AE54" s="53"/>
      <c r="AF54" s="53"/>
      <c r="AH54" s="43"/>
      <c r="CD54" s="69">
        <v>2026</v>
      </c>
      <c r="CE54" s="54">
        <f t="shared" si="14"/>
        <v>17.006666666666664</v>
      </c>
      <c r="CF54" s="54">
        <f t="shared" si="15"/>
        <v>73.650459999999995</v>
      </c>
      <c r="CG54" s="69">
        <f t="shared" si="16"/>
        <v>437.60000000000014</v>
      </c>
      <c r="CH54" s="54">
        <f t="shared" si="17"/>
        <v>17.023999999999997</v>
      </c>
      <c r="CI54" s="54">
        <f t="shared" si="19"/>
        <v>73.586239999999989</v>
      </c>
      <c r="CJ54" s="69">
        <f t="shared" si="18"/>
        <v>437.89999999999986</v>
      </c>
    </row>
    <row r="55" spans="1:90">
      <c r="A55" s="35">
        <v>2027</v>
      </c>
      <c r="B55" s="47">
        <f t="shared" ref="B55:O57" si="23">(B$7-B$6)/COUNT($A$38:$A$57)+B54</f>
        <v>0.62999999999999978</v>
      </c>
      <c r="C55" s="47">
        <f t="shared" si="23"/>
        <v>0.64800000000000035</v>
      </c>
      <c r="D55" s="47">
        <f t="shared" si="23"/>
        <v>0.62999999999999978</v>
      </c>
      <c r="E55" s="47">
        <f t="shared" si="23"/>
        <v>0.62999999999999978</v>
      </c>
      <c r="F55" s="47">
        <f t="shared" si="23"/>
        <v>-0.62999999999999978</v>
      </c>
      <c r="G55" s="47">
        <f t="shared" si="23"/>
        <v>-0.71999999999999975</v>
      </c>
      <c r="H55" s="47">
        <f t="shared" si="23"/>
        <v>0.53099999999999992</v>
      </c>
      <c r="I55" s="47">
        <f t="shared" si="23"/>
        <v>0.55799999999999983</v>
      </c>
      <c r="J55" s="47">
        <f t="shared" si="23"/>
        <v>0</v>
      </c>
      <c r="K55" s="47">
        <f t="shared" si="23"/>
        <v>0</v>
      </c>
      <c r="L55" s="47">
        <f t="shared" si="23"/>
        <v>0.53409464999999834</v>
      </c>
      <c r="M55" s="47">
        <f t="shared" si="23"/>
        <v>0.56381678999999885</v>
      </c>
      <c r="N55" s="47">
        <f t="shared" si="23"/>
        <v>0</v>
      </c>
      <c r="O55" s="47">
        <f t="shared" si="23"/>
        <v>0</v>
      </c>
      <c r="Q55" s="36">
        <v>441.20000000000016</v>
      </c>
      <c r="R55" s="36">
        <v>441.04999999999984</v>
      </c>
      <c r="S55" s="36">
        <f t="shared" si="4"/>
        <v>17.029999999999998</v>
      </c>
      <c r="T55" s="36">
        <f t="shared" si="5"/>
        <v>17.047999999999998</v>
      </c>
      <c r="U55" s="36">
        <f t="shared" si="6"/>
        <v>1100.8922</v>
      </c>
      <c r="V55" s="36">
        <f t="shared" si="7"/>
        <v>1100.8922</v>
      </c>
      <c r="W55" s="36">
        <f t="shared" si="8"/>
        <v>73.633169999999993</v>
      </c>
      <c r="X55" s="36">
        <f t="shared" si="9"/>
        <v>73.566479999999999</v>
      </c>
      <c r="Y55" s="36">
        <f t="shared" si="10"/>
        <v>19.831</v>
      </c>
      <c r="Z55" s="36">
        <f t="shared" si="11"/>
        <v>19.858000000000001</v>
      </c>
      <c r="AA55" s="53"/>
      <c r="AB55" s="53"/>
      <c r="AC55" s="36">
        <f t="shared" si="12"/>
        <v>22.03409465</v>
      </c>
      <c r="AD55" s="36">
        <f t="shared" si="13"/>
        <v>22.063816789999997</v>
      </c>
      <c r="AE55" s="53"/>
      <c r="AF55" s="53"/>
      <c r="AH55" s="43"/>
      <c r="CD55" s="69">
        <v>2027</v>
      </c>
      <c r="CE55" s="54">
        <f t="shared" si="14"/>
        <v>17.029999999999998</v>
      </c>
      <c r="CF55" s="54">
        <f t="shared" si="15"/>
        <v>73.633169999999993</v>
      </c>
      <c r="CG55" s="69">
        <f t="shared" si="16"/>
        <v>441.20000000000016</v>
      </c>
      <c r="CH55" s="54">
        <f t="shared" si="17"/>
        <v>17.047999999999998</v>
      </c>
      <c r="CI55" s="54">
        <f t="shared" si="19"/>
        <v>73.566479999999999</v>
      </c>
      <c r="CJ55" s="69">
        <f t="shared" si="18"/>
        <v>441.04999999999984</v>
      </c>
    </row>
    <row r="56" spans="1:90">
      <c r="A56" s="35">
        <v>2028</v>
      </c>
      <c r="B56" s="47">
        <f t="shared" si="23"/>
        <v>0.6533333333333331</v>
      </c>
      <c r="C56" s="47">
        <f t="shared" si="23"/>
        <v>0.67200000000000037</v>
      </c>
      <c r="D56" s="47">
        <f t="shared" si="23"/>
        <v>0.6533333333333331</v>
      </c>
      <c r="E56" s="47">
        <f t="shared" si="23"/>
        <v>0.6533333333333331</v>
      </c>
      <c r="F56" s="47">
        <f t="shared" si="23"/>
        <v>-0.6533333333333331</v>
      </c>
      <c r="G56" s="47">
        <f t="shared" si="23"/>
        <v>-0.74666666666666637</v>
      </c>
      <c r="H56" s="47">
        <f t="shared" si="23"/>
        <v>0.55066666666666664</v>
      </c>
      <c r="I56" s="47">
        <f t="shared" si="23"/>
        <v>0.57866666666666644</v>
      </c>
      <c r="J56" s="47">
        <f t="shared" si="23"/>
        <v>0</v>
      </c>
      <c r="K56" s="47">
        <f t="shared" si="23"/>
        <v>0</v>
      </c>
      <c r="L56" s="47">
        <f t="shared" si="23"/>
        <v>0.55387593333333163</v>
      </c>
      <c r="M56" s="47">
        <f t="shared" si="23"/>
        <v>0.58469889333333214</v>
      </c>
      <c r="N56" s="47">
        <f t="shared" si="23"/>
        <v>0</v>
      </c>
      <c r="O56" s="47">
        <f t="shared" si="23"/>
        <v>0</v>
      </c>
      <c r="Q56" s="36">
        <v>444.80000000000018</v>
      </c>
      <c r="R56" s="36">
        <v>444.19999999999982</v>
      </c>
      <c r="S56" s="36">
        <f t="shared" si="4"/>
        <v>17.053333333333331</v>
      </c>
      <c r="T56" s="36">
        <f t="shared" si="5"/>
        <v>17.071999999999999</v>
      </c>
      <c r="U56" s="36">
        <f t="shared" si="6"/>
        <v>1101.1474666666666</v>
      </c>
      <c r="V56" s="36">
        <f t="shared" si="7"/>
        <v>1101.1474666666666</v>
      </c>
      <c r="W56" s="36">
        <f t="shared" si="8"/>
        <v>73.61587999999999</v>
      </c>
      <c r="X56" s="36">
        <f t="shared" si="9"/>
        <v>73.546719999999993</v>
      </c>
      <c r="Y56" s="36">
        <f t="shared" si="10"/>
        <v>19.850666666666669</v>
      </c>
      <c r="Z56" s="36">
        <f t="shared" si="11"/>
        <v>19.878666666666668</v>
      </c>
      <c r="AA56" s="53"/>
      <c r="AB56" s="53"/>
      <c r="AC56" s="36">
        <f t="shared" si="12"/>
        <v>22.05387593333333</v>
      </c>
      <c r="AD56" s="36">
        <f t="shared" si="13"/>
        <v>22.084698893333332</v>
      </c>
      <c r="AE56" s="53"/>
      <c r="AF56" s="53"/>
      <c r="AH56" s="43"/>
      <c r="BG56" s="55"/>
      <c r="BO56" s="55"/>
      <c r="BW56" s="55"/>
      <c r="CD56" s="69">
        <v>2028</v>
      </c>
      <c r="CE56" s="54">
        <f t="shared" si="14"/>
        <v>17.053333333333331</v>
      </c>
      <c r="CF56" s="54">
        <f t="shared" si="15"/>
        <v>73.61587999999999</v>
      </c>
      <c r="CG56" s="69">
        <f t="shared" si="16"/>
        <v>444.80000000000018</v>
      </c>
      <c r="CH56" s="54">
        <f t="shared" si="17"/>
        <v>17.071999999999999</v>
      </c>
      <c r="CI56" s="54">
        <f t="shared" si="19"/>
        <v>73.546719999999993</v>
      </c>
      <c r="CJ56" s="69">
        <f t="shared" si="18"/>
        <v>444.19999999999982</v>
      </c>
      <c r="CL56" s="55"/>
    </row>
    <row r="57" spans="1:90">
      <c r="A57" s="35">
        <v>2029</v>
      </c>
      <c r="B57" s="47">
        <f t="shared" si="23"/>
        <v>0.67666666666666642</v>
      </c>
      <c r="C57" s="47">
        <f t="shared" si="23"/>
        <v>0.6960000000000004</v>
      </c>
      <c r="D57" s="47">
        <f t="shared" si="23"/>
        <v>0.67666666666666642</v>
      </c>
      <c r="E57" s="47">
        <f t="shared" si="23"/>
        <v>0.67666666666666642</v>
      </c>
      <c r="F57" s="47">
        <f t="shared" si="23"/>
        <v>-0.67666666666666642</v>
      </c>
      <c r="G57" s="47">
        <f t="shared" si="23"/>
        <v>-0.77333333333333298</v>
      </c>
      <c r="H57" s="47">
        <f t="shared" si="23"/>
        <v>0.57033333333333336</v>
      </c>
      <c r="I57" s="47">
        <f t="shared" si="23"/>
        <v>0.59933333333333305</v>
      </c>
      <c r="J57" s="47">
        <f t="shared" si="23"/>
        <v>0</v>
      </c>
      <c r="K57" s="47">
        <f t="shared" si="23"/>
        <v>0</v>
      </c>
      <c r="L57" s="47">
        <f t="shared" si="23"/>
        <v>0.57365721666666492</v>
      </c>
      <c r="M57" s="47">
        <f t="shared" si="23"/>
        <v>0.60558099666666543</v>
      </c>
      <c r="N57" s="47">
        <f t="shared" si="23"/>
        <v>0</v>
      </c>
      <c r="O57" s="47">
        <f t="shared" si="23"/>
        <v>0</v>
      </c>
      <c r="Q57" s="36">
        <v>448.4000000000002</v>
      </c>
      <c r="R57" s="36">
        <v>447.3499999999998</v>
      </c>
      <c r="S57" s="36">
        <f t="shared" si="4"/>
        <v>17.076666666666664</v>
      </c>
      <c r="T57" s="36">
        <f t="shared" si="5"/>
        <v>17.096</v>
      </c>
      <c r="U57" s="36">
        <f t="shared" si="6"/>
        <v>1101.4027333333333</v>
      </c>
      <c r="V57" s="36">
        <f t="shared" si="7"/>
        <v>1101.4027333333333</v>
      </c>
      <c r="W57" s="36">
        <f t="shared" si="8"/>
        <v>73.598590000000002</v>
      </c>
      <c r="X57" s="36">
        <f t="shared" si="9"/>
        <v>73.526959999999988</v>
      </c>
      <c r="Y57" s="36">
        <f t="shared" si="10"/>
        <v>19.870333333333335</v>
      </c>
      <c r="Z57" s="36">
        <f t="shared" si="11"/>
        <v>19.899333333333335</v>
      </c>
      <c r="AA57" s="53"/>
      <c r="AB57" s="53"/>
      <c r="AC57" s="36">
        <f t="shared" si="12"/>
        <v>22.073657216666664</v>
      </c>
      <c r="AD57" s="36">
        <f t="shared" si="13"/>
        <v>22.105580996666667</v>
      </c>
      <c r="AE57" s="53"/>
      <c r="AF57" s="53"/>
      <c r="AH57" s="43"/>
      <c r="CD57" s="69">
        <v>2029</v>
      </c>
      <c r="CE57" s="54">
        <f t="shared" si="14"/>
        <v>17.076666666666664</v>
      </c>
      <c r="CF57" s="54">
        <f t="shared" si="15"/>
        <v>73.598590000000002</v>
      </c>
      <c r="CG57" s="69">
        <f t="shared" si="16"/>
        <v>448.4000000000002</v>
      </c>
      <c r="CH57" s="54">
        <f t="shared" si="17"/>
        <v>17.096</v>
      </c>
      <c r="CI57" s="54">
        <f t="shared" si="19"/>
        <v>73.526959999999988</v>
      </c>
      <c r="CJ57" s="69">
        <f t="shared" si="18"/>
        <v>447.3499999999998</v>
      </c>
    </row>
    <row r="58" spans="1:90">
      <c r="A58" s="35">
        <v>2030</v>
      </c>
      <c r="B58" s="47">
        <f t="shared" ref="B58:O58" si="24">B$7</f>
        <v>0.7</v>
      </c>
      <c r="C58" s="47">
        <f t="shared" si="24"/>
        <v>0.72</v>
      </c>
      <c r="D58" s="47">
        <f t="shared" si="24"/>
        <v>0.7</v>
      </c>
      <c r="E58" s="47">
        <f t="shared" si="24"/>
        <v>0.7</v>
      </c>
      <c r="F58" s="47">
        <f t="shared" si="24"/>
        <v>-0.7</v>
      </c>
      <c r="G58" s="47">
        <f t="shared" si="24"/>
        <v>-0.8</v>
      </c>
      <c r="H58" s="47">
        <f t="shared" si="24"/>
        <v>0.59</v>
      </c>
      <c r="I58" s="47">
        <f t="shared" si="24"/>
        <v>0.62</v>
      </c>
      <c r="J58" s="47">
        <f t="shared" si="24"/>
        <v>0</v>
      </c>
      <c r="K58" s="47">
        <f t="shared" si="24"/>
        <v>0</v>
      </c>
      <c r="L58" s="47">
        <f t="shared" si="24"/>
        <v>0.59343849999999776</v>
      </c>
      <c r="M58" s="47">
        <f t="shared" si="24"/>
        <v>0.62646309999999872</v>
      </c>
      <c r="N58" s="47">
        <f t="shared" si="24"/>
        <v>0</v>
      </c>
      <c r="O58" s="47">
        <f t="shared" si="24"/>
        <v>0</v>
      </c>
      <c r="Q58" s="36">
        <v>452</v>
      </c>
      <c r="R58" s="36">
        <v>450.5</v>
      </c>
      <c r="S58" s="36">
        <f t="shared" si="4"/>
        <v>17.099999999999998</v>
      </c>
      <c r="T58" s="36">
        <f t="shared" si="5"/>
        <v>17.119999999999997</v>
      </c>
      <c r="U58" s="36">
        <f t="shared" si="6"/>
        <v>1101.6579999999999</v>
      </c>
      <c r="V58" s="36">
        <f t="shared" si="7"/>
        <v>1101.6579999999999</v>
      </c>
      <c r="W58" s="36">
        <f t="shared" si="8"/>
        <v>73.581299999999999</v>
      </c>
      <c r="X58" s="36">
        <f t="shared" si="9"/>
        <v>73.507199999999997</v>
      </c>
      <c r="Y58" s="36">
        <f t="shared" si="10"/>
        <v>19.89</v>
      </c>
      <c r="Z58" s="36">
        <f t="shared" si="11"/>
        <v>19.920000000000002</v>
      </c>
      <c r="AA58" s="53"/>
      <c r="AB58" s="53"/>
      <c r="AC58" s="36">
        <f t="shared" si="12"/>
        <v>22.093438499999998</v>
      </c>
      <c r="AD58" s="36">
        <f t="shared" si="13"/>
        <v>22.126463099999999</v>
      </c>
      <c r="AE58" s="53"/>
      <c r="AF58" s="53"/>
      <c r="AH58" s="43"/>
      <c r="CD58" s="69">
        <v>2030</v>
      </c>
      <c r="CE58" s="54">
        <f t="shared" si="14"/>
        <v>17.099999999999998</v>
      </c>
      <c r="CF58" s="54">
        <f t="shared" si="15"/>
        <v>73.581299999999999</v>
      </c>
      <c r="CG58" s="69">
        <f t="shared" si="16"/>
        <v>452</v>
      </c>
      <c r="CH58" s="54">
        <f t="shared" si="17"/>
        <v>17.119999999999997</v>
      </c>
      <c r="CI58" s="54">
        <f t="shared" si="19"/>
        <v>73.507199999999997</v>
      </c>
      <c r="CJ58" s="69">
        <f t="shared" si="18"/>
        <v>450.5</v>
      </c>
    </row>
    <row r="59" spans="1:90">
      <c r="A59" s="35">
        <v>2031</v>
      </c>
      <c r="B59" s="47">
        <f t="shared" ref="B59:O74" si="25">(B$8-B$7)/COUNT($A$58:$A$77)+B58</f>
        <v>0.75</v>
      </c>
      <c r="C59" s="47">
        <f t="shared" si="25"/>
        <v>0.754</v>
      </c>
      <c r="D59" s="47">
        <f t="shared" si="25"/>
        <v>0.75</v>
      </c>
      <c r="E59" s="47">
        <f t="shared" si="25"/>
        <v>0.73499999999999999</v>
      </c>
      <c r="F59" s="47">
        <f t="shared" si="25"/>
        <v>-0.755</v>
      </c>
      <c r="G59" s="47">
        <f t="shared" si="25"/>
        <v>-0.82850000000000001</v>
      </c>
      <c r="H59" s="47">
        <f t="shared" si="25"/>
        <v>0.622</v>
      </c>
      <c r="I59" s="47">
        <f t="shared" si="25"/>
        <v>0.64149999999999996</v>
      </c>
      <c r="J59" s="47">
        <f t="shared" si="25"/>
        <v>0</v>
      </c>
      <c r="K59" s="47">
        <f t="shared" si="25"/>
        <v>0</v>
      </c>
      <c r="L59" s="47">
        <f t="shared" si="25"/>
        <v>0.6254036799999978</v>
      </c>
      <c r="M59" s="47">
        <f t="shared" si="25"/>
        <v>0.64784288499999865</v>
      </c>
      <c r="N59" s="47">
        <f t="shared" si="25"/>
        <v>0</v>
      </c>
      <c r="O59" s="47">
        <f t="shared" si="25"/>
        <v>0</v>
      </c>
      <c r="Q59" s="36">
        <v>456.75</v>
      </c>
      <c r="R59" s="36">
        <v>454.15</v>
      </c>
      <c r="S59" s="36">
        <f t="shared" si="4"/>
        <v>17.149999999999999</v>
      </c>
      <c r="T59" s="36">
        <f t="shared" si="5"/>
        <v>17.154</v>
      </c>
      <c r="U59" s="36">
        <f t="shared" si="6"/>
        <v>1102.2049999999999</v>
      </c>
      <c r="V59" s="36">
        <f t="shared" si="7"/>
        <v>1102.0409</v>
      </c>
      <c r="W59" s="36">
        <f t="shared" si="8"/>
        <v>73.540544999999995</v>
      </c>
      <c r="X59" s="36">
        <f t="shared" si="9"/>
        <v>73.486081499999997</v>
      </c>
      <c r="Y59" s="36">
        <f t="shared" si="10"/>
        <v>19.922000000000001</v>
      </c>
      <c r="Z59" s="36">
        <f t="shared" si="11"/>
        <v>19.941500000000001</v>
      </c>
      <c r="AA59" s="53"/>
      <c r="AB59" s="53"/>
      <c r="AC59" s="36">
        <f t="shared" si="12"/>
        <v>22.125403679999998</v>
      </c>
      <c r="AD59" s="36">
        <f t="shared" si="13"/>
        <v>22.147842884999999</v>
      </c>
      <c r="AE59" s="53"/>
      <c r="AF59" s="53"/>
      <c r="AH59" s="43"/>
      <c r="CD59" s="69">
        <v>2031</v>
      </c>
      <c r="CE59" s="54">
        <f t="shared" si="14"/>
        <v>17.149999999999999</v>
      </c>
      <c r="CF59" s="54">
        <f t="shared" si="15"/>
        <v>73.540544999999995</v>
      </c>
      <c r="CG59" s="69">
        <f t="shared" si="16"/>
        <v>456.75</v>
      </c>
      <c r="CH59" s="54">
        <f t="shared" si="17"/>
        <v>17.154</v>
      </c>
      <c r="CI59" s="54">
        <f t="shared" si="19"/>
        <v>73.486081499999997</v>
      </c>
      <c r="CJ59" s="69">
        <f t="shared" si="18"/>
        <v>454.15</v>
      </c>
    </row>
    <row r="60" spans="1:90">
      <c r="A60" s="35">
        <v>2032</v>
      </c>
      <c r="B60" s="47">
        <f t="shared" si="25"/>
        <v>0.8</v>
      </c>
      <c r="C60" s="47">
        <f t="shared" si="25"/>
        <v>0.78800000000000003</v>
      </c>
      <c r="D60" s="47">
        <f t="shared" si="25"/>
        <v>0.8</v>
      </c>
      <c r="E60" s="47">
        <f t="shared" si="25"/>
        <v>0.77</v>
      </c>
      <c r="F60" s="47">
        <f t="shared" si="25"/>
        <v>-0.81</v>
      </c>
      <c r="G60" s="47">
        <f t="shared" si="25"/>
        <v>-0.85699999999999998</v>
      </c>
      <c r="H60" s="47">
        <f t="shared" si="25"/>
        <v>0.65400000000000003</v>
      </c>
      <c r="I60" s="47">
        <f t="shared" si="25"/>
        <v>0.66299999999999992</v>
      </c>
      <c r="J60" s="47">
        <f t="shared" si="25"/>
        <v>0</v>
      </c>
      <c r="K60" s="47">
        <f t="shared" si="25"/>
        <v>0</v>
      </c>
      <c r="L60" s="47">
        <f t="shared" si="25"/>
        <v>0.65736885999999783</v>
      </c>
      <c r="M60" s="47">
        <f t="shared" si="25"/>
        <v>0.66922266999999858</v>
      </c>
      <c r="N60" s="47">
        <f t="shared" si="25"/>
        <v>0</v>
      </c>
      <c r="O60" s="47">
        <f t="shared" si="25"/>
        <v>0</v>
      </c>
      <c r="Q60" s="36">
        <v>461.5</v>
      </c>
      <c r="R60" s="36">
        <v>457.79999999999995</v>
      </c>
      <c r="S60" s="36">
        <f t="shared" si="4"/>
        <v>17.2</v>
      </c>
      <c r="T60" s="36">
        <f t="shared" si="5"/>
        <v>17.187999999999999</v>
      </c>
      <c r="U60" s="36">
        <f t="shared" si="6"/>
        <v>1102.752</v>
      </c>
      <c r="V60" s="36">
        <f t="shared" si="7"/>
        <v>1102.4238</v>
      </c>
      <c r="W60" s="36">
        <f t="shared" si="8"/>
        <v>73.49978999999999</v>
      </c>
      <c r="X60" s="36">
        <f t="shared" si="9"/>
        <v>73.464962999999997</v>
      </c>
      <c r="Y60" s="36">
        <f t="shared" si="10"/>
        <v>19.954000000000001</v>
      </c>
      <c r="Z60" s="36">
        <f t="shared" si="11"/>
        <v>19.963000000000001</v>
      </c>
      <c r="AA60" s="53"/>
      <c r="AB60" s="53"/>
      <c r="AC60" s="36">
        <f t="shared" si="12"/>
        <v>22.157368859999998</v>
      </c>
      <c r="AD60" s="36">
        <f t="shared" si="13"/>
        <v>22.16922267</v>
      </c>
      <c r="AE60" s="53"/>
      <c r="AF60" s="53"/>
      <c r="AH60" s="43"/>
      <c r="CD60" s="69">
        <v>2032</v>
      </c>
      <c r="CE60" s="54">
        <f t="shared" si="14"/>
        <v>17.2</v>
      </c>
      <c r="CF60" s="54">
        <f t="shared" si="15"/>
        <v>73.49978999999999</v>
      </c>
      <c r="CG60" s="69">
        <f t="shared" si="16"/>
        <v>461.5</v>
      </c>
      <c r="CH60" s="54">
        <f t="shared" si="17"/>
        <v>17.187999999999999</v>
      </c>
      <c r="CI60" s="54">
        <f t="shared" si="19"/>
        <v>73.464962999999997</v>
      </c>
      <c r="CJ60" s="69">
        <f t="shared" si="18"/>
        <v>457.79999999999995</v>
      </c>
    </row>
    <row r="61" spans="1:90">
      <c r="A61" s="35">
        <v>2033</v>
      </c>
      <c r="B61" s="47">
        <f t="shared" si="25"/>
        <v>0.85000000000000009</v>
      </c>
      <c r="C61" s="47">
        <f t="shared" si="25"/>
        <v>0.82200000000000006</v>
      </c>
      <c r="D61" s="47">
        <f t="shared" si="25"/>
        <v>0.85000000000000009</v>
      </c>
      <c r="E61" s="47">
        <f t="shared" si="25"/>
        <v>0.80500000000000005</v>
      </c>
      <c r="F61" s="47">
        <f t="shared" si="25"/>
        <v>-0.8650000000000001</v>
      </c>
      <c r="G61" s="47">
        <f t="shared" si="25"/>
        <v>-0.88549999999999995</v>
      </c>
      <c r="H61" s="47">
        <f t="shared" si="25"/>
        <v>0.68600000000000005</v>
      </c>
      <c r="I61" s="47">
        <f t="shared" si="25"/>
        <v>0.68449999999999989</v>
      </c>
      <c r="J61" s="47">
        <f t="shared" si="25"/>
        <v>0</v>
      </c>
      <c r="K61" s="47">
        <f t="shared" si="25"/>
        <v>0</v>
      </c>
      <c r="L61" s="47">
        <f t="shared" si="25"/>
        <v>0.68933403999999787</v>
      </c>
      <c r="M61" s="47">
        <f t="shared" si="25"/>
        <v>0.69060245499999851</v>
      </c>
      <c r="N61" s="47">
        <f t="shared" si="25"/>
        <v>0</v>
      </c>
      <c r="O61" s="47">
        <f t="shared" si="25"/>
        <v>0</v>
      </c>
      <c r="Q61" s="36">
        <v>466.25</v>
      </c>
      <c r="R61" s="36">
        <v>461.44999999999993</v>
      </c>
      <c r="S61" s="36">
        <f t="shared" si="4"/>
        <v>17.25</v>
      </c>
      <c r="T61" s="36">
        <f t="shared" si="5"/>
        <v>17.221999999999998</v>
      </c>
      <c r="U61" s="36">
        <f t="shared" si="6"/>
        <v>1103.299</v>
      </c>
      <c r="V61" s="36">
        <f t="shared" si="7"/>
        <v>1102.8067000000001</v>
      </c>
      <c r="W61" s="36">
        <f t="shared" si="8"/>
        <v>73.459035</v>
      </c>
      <c r="X61" s="36">
        <f t="shared" si="9"/>
        <v>73.443844499999997</v>
      </c>
      <c r="Y61" s="36">
        <f t="shared" si="10"/>
        <v>19.986000000000001</v>
      </c>
      <c r="Z61" s="36">
        <f t="shared" si="11"/>
        <v>19.984500000000001</v>
      </c>
      <c r="AA61" s="53"/>
      <c r="AB61" s="53"/>
      <c r="AC61" s="36">
        <f t="shared" si="12"/>
        <v>22.189334039999999</v>
      </c>
      <c r="AD61" s="36">
        <f t="shared" si="13"/>
        <v>22.190602454999997</v>
      </c>
      <c r="AE61" s="53"/>
      <c r="AF61" s="53"/>
      <c r="AH61" s="43"/>
      <c r="CD61" s="69">
        <v>2033</v>
      </c>
      <c r="CE61" s="54">
        <f t="shared" si="14"/>
        <v>17.25</v>
      </c>
      <c r="CF61" s="54">
        <f t="shared" si="15"/>
        <v>73.459035</v>
      </c>
      <c r="CG61" s="69">
        <f t="shared" si="16"/>
        <v>466.25</v>
      </c>
      <c r="CH61" s="54">
        <f t="shared" si="17"/>
        <v>17.221999999999998</v>
      </c>
      <c r="CI61" s="54">
        <f t="shared" si="19"/>
        <v>73.443844499999997</v>
      </c>
      <c r="CJ61" s="69">
        <f t="shared" si="18"/>
        <v>461.44999999999993</v>
      </c>
    </row>
    <row r="62" spans="1:90">
      <c r="A62" s="35">
        <v>2034</v>
      </c>
      <c r="B62" s="47">
        <f t="shared" si="25"/>
        <v>0.90000000000000013</v>
      </c>
      <c r="C62" s="47">
        <f t="shared" si="25"/>
        <v>0.85600000000000009</v>
      </c>
      <c r="D62" s="47">
        <f t="shared" si="25"/>
        <v>0.90000000000000013</v>
      </c>
      <c r="E62" s="47">
        <f t="shared" si="25"/>
        <v>0.84000000000000008</v>
      </c>
      <c r="F62" s="47">
        <f t="shared" si="25"/>
        <v>-0.92000000000000015</v>
      </c>
      <c r="G62" s="47">
        <f t="shared" si="25"/>
        <v>-0.91399999999999992</v>
      </c>
      <c r="H62" s="47">
        <f t="shared" si="25"/>
        <v>0.71800000000000008</v>
      </c>
      <c r="I62" s="47">
        <f t="shared" si="25"/>
        <v>0.70599999999999985</v>
      </c>
      <c r="J62" s="47">
        <f t="shared" si="25"/>
        <v>0</v>
      </c>
      <c r="K62" s="47">
        <f t="shared" si="25"/>
        <v>0</v>
      </c>
      <c r="L62" s="47">
        <f t="shared" si="25"/>
        <v>0.72129921999999791</v>
      </c>
      <c r="M62" s="47">
        <f t="shared" si="25"/>
        <v>0.71198223999999843</v>
      </c>
      <c r="N62" s="47">
        <f t="shared" si="25"/>
        <v>0</v>
      </c>
      <c r="O62" s="47">
        <f t="shared" si="25"/>
        <v>0</v>
      </c>
      <c r="Q62" s="36">
        <v>471</v>
      </c>
      <c r="R62" s="36">
        <v>465.09999999999991</v>
      </c>
      <c r="S62" s="36">
        <f t="shared" si="4"/>
        <v>17.299999999999997</v>
      </c>
      <c r="T62" s="36">
        <f t="shared" si="5"/>
        <v>17.256</v>
      </c>
      <c r="U62" s="36">
        <f t="shared" si="6"/>
        <v>1103.846</v>
      </c>
      <c r="V62" s="36">
        <f t="shared" si="7"/>
        <v>1103.1895999999999</v>
      </c>
      <c r="W62" s="36">
        <f t="shared" si="8"/>
        <v>73.418279999999996</v>
      </c>
      <c r="X62" s="36">
        <f t="shared" si="9"/>
        <v>73.422725999999997</v>
      </c>
      <c r="Y62" s="36">
        <f t="shared" si="10"/>
        <v>20.018000000000001</v>
      </c>
      <c r="Z62" s="36">
        <f t="shared" si="11"/>
        <v>20.006</v>
      </c>
      <c r="AA62" s="53"/>
      <c r="AB62" s="53"/>
      <c r="AC62" s="36">
        <f t="shared" si="12"/>
        <v>22.221299219999999</v>
      </c>
      <c r="AD62" s="36">
        <f t="shared" si="13"/>
        <v>22.211982239999998</v>
      </c>
      <c r="AE62" s="53"/>
      <c r="AF62" s="53"/>
      <c r="AH62" s="43"/>
      <c r="CD62" s="69">
        <v>2034</v>
      </c>
      <c r="CE62" s="54">
        <f t="shared" si="14"/>
        <v>17.299999999999997</v>
      </c>
      <c r="CF62" s="54">
        <f t="shared" si="15"/>
        <v>73.418279999999996</v>
      </c>
      <c r="CG62" s="69">
        <f t="shared" si="16"/>
        <v>471</v>
      </c>
      <c r="CH62" s="54">
        <f t="shared" si="17"/>
        <v>17.256</v>
      </c>
      <c r="CI62" s="54">
        <f t="shared" si="19"/>
        <v>73.422725999999997</v>
      </c>
      <c r="CJ62" s="69">
        <f t="shared" si="18"/>
        <v>465.09999999999991</v>
      </c>
    </row>
    <row r="63" spans="1:90">
      <c r="A63" s="35">
        <v>2035</v>
      </c>
      <c r="B63" s="47">
        <f t="shared" si="25"/>
        <v>0.95000000000000018</v>
      </c>
      <c r="C63" s="47">
        <f t="shared" si="25"/>
        <v>0.89000000000000012</v>
      </c>
      <c r="D63" s="47">
        <f t="shared" si="25"/>
        <v>0.95000000000000018</v>
      </c>
      <c r="E63" s="47">
        <f t="shared" si="25"/>
        <v>0.87500000000000011</v>
      </c>
      <c r="F63" s="47">
        <f t="shared" si="25"/>
        <v>-0.9750000000000002</v>
      </c>
      <c r="G63" s="47">
        <f t="shared" si="25"/>
        <v>-0.94249999999999989</v>
      </c>
      <c r="H63" s="47">
        <f t="shared" si="25"/>
        <v>0.75000000000000011</v>
      </c>
      <c r="I63" s="47">
        <f t="shared" si="25"/>
        <v>0.72749999999999981</v>
      </c>
      <c r="J63" s="47">
        <f t="shared" si="25"/>
        <v>0</v>
      </c>
      <c r="K63" s="47">
        <f t="shared" si="25"/>
        <v>0</v>
      </c>
      <c r="L63" s="47">
        <f t="shared" si="25"/>
        <v>0.75326439999999795</v>
      </c>
      <c r="M63" s="47">
        <f t="shared" si="25"/>
        <v>0.73336202499999836</v>
      </c>
      <c r="N63" s="47">
        <f t="shared" si="25"/>
        <v>0</v>
      </c>
      <c r="O63" s="47">
        <f t="shared" si="25"/>
        <v>0</v>
      </c>
      <c r="Q63" s="36">
        <v>475.75</v>
      </c>
      <c r="R63" s="36">
        <v>468.74999999999989</v>
      </c>
      <c r="S63" s="36">
        <f t="shared" si="4"/>
        <v>17.349999999999998</v>
      </c>
      <c r="T63" s="36">
        <f t="shared" si="5"/>
        <v>17.29</v>
      </c>
      <c r="U63" s="36">
        <f t="shared" si="6"/>
        <v>1104.393</v>
      </c>
      <c r="V63" s="36">
        <f t="shared" si="7"/>
        <v>1103.5725</v>
      </c>
      <c r="W63" s="36">
        <f t="shared" si="8"/>
        <v>73.377524999999991</v>
      </c>
      <c r="X63" s="36">
        <f t="shared" si="9"/>
        <v>73.401607499999997</v>
      </c>
      <c r="Y63" s="36">
        <f t="shared" si="10"/>
        <v>20.05</v>
      </c>
      <c r="Z63" s="36">
        <f t="shared" si="11"/>
        <v>20.0275</v>
      </c>
      <c r="AA63" s="53"/>
      <c r="AB63" s="53"/>
      <c r="AC63" s="36">
        <f t="shared" si="12"/>
        <v>22.253264399999999</v>
      </c>
      <c r="AD63" s="36">
        <f t="shared" si="13"/>
        <v>22.233362024999998</v>
      </c>
      <c r="AE63" s="53"/>
      <c r="AF63" s="53"/>
      <c r="AH63" s="43"/>
      <c r="CD63" s="69">
        <v>2035</v>
      </c>
      <c r="CE63" s="54">
        <f t="shared" si="14"/>
        <v>17.349999999999998</v>
      </c>
      <c r="CF63" s="54">
        <f t="shared" si="15"/>
        <v>73.377524999999991</v>
      </c>
      <c r="CG63" s="69">
        <f t="shared" si="16"/>
        <v>475.75</v>
      </c>
      <c r="CH63" s="54">
        <f t="shared" si="17"/>
        <v>17.29</v>
      </c>
      <c r="CI63" s="54">
        <f t="shared" si="19"/>
        <v>73.401607499999997</v>
      </c>
      <c r="CJ63" s="69">
        <f t="shared" si="18"/>
        <v>468.74999999999989</v>
      </c>
    </row>
    <row r="64" spans="1:90">
      <c r="A64" s="35">
        <v>2036</v>
      </c>
      <c r="B64" s="47">
        <f t="shared" si="25"/>
        <v>1.0000000000000002</v>
      </c>
      <c r="C64" s="47">
        <f t="shared" si="25"/>
        <v>0.92400000000000015</v>
      </c>
      <c r="D64" s="47">
        <f t="shared" si="25"/>
        <v>1.0000000000000002</v>
      </c>
      <c r="E64" s="47">
        <f t="shared" si="25"/>
        <v>0.91000000000000014</v>
      </c>
      <c r="F64" s="47">
        <f t="shared" si="25"/>
        <v>-1.0300000000000002</v>
      </c>
      <c r="G64" s="47">
        <f t="shared" si="25"/>
        <v>-0.97099999999999986</v>
      </c>
      <c r="H64" s="47">
        <f t="shared" si="25"/>
        <v>0.78200000000000014</v>
      </c>
      <c r="I64" s="47">
        <f t="shared" si="25"/>
        <v>0.74899999999999978</v>
      </c>
      <c r="J64" s="47">
        <f t="shared" si="25"/>
        <v>0</v>
      </c>
      <c r="K64" s="47">
        <f t="shared" si="25"/>
        <v>0</v>
      </c>
      <c r="L64" s="47">
        <f t="shared" si="25"/>
        <v>0.78522957999999798</v>
      </c>
      <c r="M64" s="47">
        <f t="shared" si="25"/>
        <v>0.75474180999999829</v>
      </c>
      <c r="N64" s="47">
        <f t="shared" si="25"/>
        <v>0</v>
      </c>
      <c r="O64" s="47">
        <f t="shared" si="25"/>
        <v>0</v>
      </c>
      <c r="Q64" s="36">
        <v>480.5</v>
      </c>
      <c r="R64" s="36">
        <v>472.39999999999986</v>
      </c>
      <c r="S64" s="36">
        <f t="shared" si="4"/>
        <v>17.399999999999999</v>
      </c>
      <c r="T64" s="36">
        <f t="shared" si="5"/>
        <v>17.323999999999998</v>
      </c>
      <c r="U64" s="36">
        <f t="shared" si="6"/>
        <v>1104.94</v>
      </c>
      <c r="V64" s="36">
        <f t="shared" si="7"/>
        <v>1103.9554000000001</v>
      </c>
      <c r="W64" s="36">
        <f t="shared" si="8"/>
        <v>73.336770000000001</v>
      </c>
      <c r="X64" s="36">
        <f t="shared" si="9"/>
        <v>73.380488999999997</v>
      </c>
      <c r="Y64" s="36">
        <f t="shared" si="10"/>
        <v>20.082000000000001</v>
      </c>
      <c r="Z64" s="36">
        <f t="shared" si="11"/>
        <v>20.048999999999999</v>
      </c>
      <c r="AA64" s="53"/>
      <c r="AB64" s="53"/>
      <c r="AC64" s="36">
        <f t="shared" si="12"/>
        <v>22.285229579999999</v>
      </c>
      <c r="AD64" s="36">
        <f t="shared" si="13"/>
        <v>22.254741809999999</v>
      </c>
      <c r="AE64" s="53"/>
      <c r="AF64" s="53"/>
      <c r="AH64" s="43"/>
      <c r="CD64" s="69">
        <v>2036</v>
      </c>
      <c r="CE64" s="54">
        <f t="shared" si="14"/>
        <v>17.399999999999999</v>
      </c>
      <c r="CF64" s="54">
        <f t="shared" si="15"/>
        <v>73.336770000000001</v>
      </c>
      <c r="CG64" s="69">
        <f t="shared" si="16"/>
        <v>480.5</v>
      </c>
      <c r="CH64" s="54">
        <f t="shared" si="17"/>
        <v>17.323999999999998</v>
      </c>
      <c r="CI64" s="54">
        <f t="shared" si="19"/>
        <v>73.380488999999997</v>
      </c>
      <c r="CJ64" s="69">
        <f t="shared" si="18"/>
        <v>472.39999999999986</v>
      </c>
    </row>
    <row r="65" spans="1:88">
      <c r="A65" s="35">
        <v>2037</v>
      </c>
      <c r="B65" s="47">
        <f t="shared" si="25"/>
        <v>1.0500000000000003</v>
      </c>
      <c r="C65" s="47">
        <f t="shared" si="25"/>
        <v>0.95800000000000018</v>
      </c>
      <c r="D65" s="47">
        <f t="shared" si="25"/>
        <v>1.0500000000000003</v>
      </c>
      <c r="E65" s="47">
        <f t="shared" si="25"/>
        <v>0.94500000000000017</v>
      </c>
      <c r="F65" s="47">
        <f t="shared" si="25"/>
        <v>-1.0850000000000002</v>
      </c>
      <c r="G65" s="47">
        <f t="shared" si="25"/>
        <v>-0.99949999999999983</v>
      </c>
      <c r="H65" s="47">
        <f t="shared" si="25"/>
        <v>0.81400000000000017</v>
      </c>
      <c r="I65" s="47">
        <f t="shared" si="25"/>
        <v>0.77049999999999974</v>
      </c>
      <c r="J65" s="47">
        <f t="shared" si="25"/>
        <v>0</v>
      </c>
      <c r="K65" s="47">
        <f t="shared" si="25"/>
        <v>0</v>
      </c>
      <c r="L65" s="47">
        <f t="shared" si="25"/>
        <v>0.81719475999999802</v>
      </c>
      <c r="M65" s="47">
        <f t="shared" si="25"/>
        <v>0.77612159499999822</v>
      </c>
      <c r="N65" s="47">
        <f t="shared" si="25"/>
        <v>0</v>
      </c>
      <c r="O65" s="47">
        <f t="shared" si="25"/>
        <v>0</v>
      </c>
      <c r="Q65" s="36">
        <v>485.25</v>
      </c>
      <c r="R65" s="36">
        <v>476.04999999999984</v>
      </c>
      <c r="S65" s="36">
        <f t="shared" si="4"/>
        <v>17.45</v>
      </c>
      <c r="T65" s="36">
        <f t="shared" si="5"/>
        <v>17.357999999999997</v>
      </c>
      <c r="U65" s="36">
        <f t="shared" si="6"/>
        <v>1105.4870000000001</v>
      </c>
      <c r="V65" s="36">
        <f t="shared" si="7"/>
        <v>1104.3382999999999</v>
      </c>
      <c r="W65" s="36">
        <f t="shared" si="8"/>
        <v>73.296014999999997</v>
      </c>
      <c r="X65" s="36">
        <f t="shared" si="9"/>
        <v>73.359370499999997</v>
      </c>
      <c r="Y65" s="36">
        <f t="shared" si="10"/>
        <v>20.114000000000001</v>
      </c>
      <c r="Z65" s="36">
        <f t="shared" si="11"/>
        <v>20.070499999999999</v>
      </c>
      <c r="AA65" s="53"/>
      <c r="AB65" s="53"/>
      <c r="AC65" s="36">
        <f t="shared" si="12"/>
        <v>22.31719476</v>
      </c>
      <c r="AD65" s="36">
        <f t="shared" si="13"/>
        <v>22.276121594999999</v>
      </c>
      <c r="AE65" s="53"/>
      <c r="AF65" s="53"/>
      <c r="AH65" s="43"/>
      <c r="CD65" s="69">
        <v>2037</v>
      </c>
      <c r="CE65" s="54">
        <f t="shared" si="14"/>
        <v>17.45</v>
      </c>
      <c r="CF65" s="54">
        <f t="shared" si="15"/>
        <v>73.296014999999997</v>
      </c>
      <c r="CG65" s="69">
        <f t="shared" si="16"/>
        <v>485.25</v>
      </c>
      <c r="CH65" s="54">
        <f t="shared" si="17"/>
        <v>17.357999999999997</v>
      </c>
      <c r="CI65" s="54">
        <f t="shared" si="19"/>
        <v>73.359370499999997</v>
      </c>
      <c r="CJ65" s="69">
        <f t="shared" si="18"/>
        <v>476.04999999999984</v>
      </c>
    </row>
    <row r="66" spans="1:88">
      <c r="A66" s="35">
        <v>2038</v>
      </c>
      <c r="B66" s="47">
        <f t="shared" si="25"/>
        <v>1.1000000000000003</v>
      </c>
      <c r="C66" s="47">
        <f t="shared" si="25"/>
        <v>0.99200000000000021</v>
      </c>
      <c r="D66" s="47">
        <f t="shared" si="25"/>
        <v>1.1000000000000003</v>
      </c>
      <c r="E66" s="47">
        <f t="shared" si="25"/>
        <v>0.9800000000000002</v>
      </c>
      <c r="F66" s="47">
        <f t="shared" si="25"/>
        <v>-1.1400000000000001</v>
      </c>
      <c r="G66" s="47">
        <f t="shared" si="25"/>
        <v>-1.0279999999999998</v>
      </c>
      <c r="H66" s="47">
        <f t="shared" si="25"/>
        <v>0.8460000000000002</v>
      </c>
      <c r="I66" s="47">
        <f t="shared" si="25"/>
        <v>0.7919999999999997</v>
      </c>
      <c r="J66" s="47">
        <f t="shared" si="25"/>
        <v>0</v>
      </c>
      <c r="K66" s="47">
        <f t="shared" si="25"/>
        <v>0</v>
      </c>
      <c r="L66" s="47">
        <f t="shared" si="25"/>
        <v>0.84915993999999806</v>
      </c>
      <c r="M66" s="47">
        <f t="shared" si="25"/>
        <v>0.79750137999999815</v>
      </c>
      <c r="N66" s="47">
        <f t="shared" si="25"/>
        <v>0</v>
      </c>
      <c r="O66" s="47">
        <f t="shared" si="25"/>
        <v>0</v>
      </c>
      <c r="Q66" s="36">
        <v>490</v>
      </c>
      <c r="R66" s="36">
        <v>479.69999999999982</v>
      </c>
      <c r="S66" s="36">
        <f t="shared" si="4"/>
        <v>17.5</v>
      </c>
      <c r="T66" s="36">
        <f t="shared" si="5"/>
        <v>17.391999999999999</v>
      </c>
      <c r="U66" s="36">
        <f t="shared" si="6"/>
        <v>1106.0340000000001</v>
      </c>
      <c r="V66" s="36">
        <f t="shared" si="7"/>
        <v>1104.7212</v>
      </c>
      <c r="W66" s="36">
        <f t="shared" si="8"/>
        <v>73.255259999999993</v>
      </c>
      <c r="X66" s="36">
        <f t="shared" si="9"/>
        <v>73.338251999999997</v>
      </c>
      <c r="Y66" s="36">
        <f t="shared" si="10"/>
        <v>20.146000000000001</v>
      </c>
      <c r="Z66" s="36">
        <f t="shared" si="11"/>
        <v>20.091999999999999</v>
      </c>
      <c r="AA66" s="53"/>
      <c r="AB66" s="53"/>
      <c r="AC66" s="36">
        <f t="shared" si="12"/>
        <v>22.34915994</v>
      </c>
      <c r="AD66" s="36">
        <f t="shared" si="13"/>
        <v>22.29750138</v>
      </c>
      <c r="AE66" s="53"/>
      <c r="AF66" s="53"/>
      <c r="AH66" s="43"/>
      <c r="CD66" s="69">
        <v>2038</v>
      </c>
      <c r="CE66" s="54">
        <f t="shared" si="14"/>
        <v>17.5</v>
      </c>
      <c r="CF66" s="54">
        <f t="shared" si="15"/>
        <v>73.255259999999993</v>
      </c>
      <c r="CG66" s="69">
        <f t="shared" si="16"/>
        <v>490</v>
      </c>
      <c r="CH66" s="54">
        <f t="shared" si="17"/>
        <v>17.391999999999999</v>
      </c>
      <c r="CI66" s="54">
        <f t="shared" si="19"/>
        <v>73.338251999999997</v>
      </c>
      <c r="CJ66" s="69">
        <f t="shared" si="18"/>
        <v>479.69999999999982</v>
      </c>
    </row>
    <row r="67" spans="1:88">
      <c r="A67" s="35">
        <v>2039</v>
      </c>
      <c r="B67" s="47">
        <f t="shared" si="25"/>
        <v>1.1500000000000004</v>
      </c>
      <c r="C67" s="47">
        <f t="shared" si="25"/>
        <v>1.0260000000000002</v>
      </c>
      <c r="D67" s="47">
        <f t="shared" si="25"/>
        <v>1.1500000000000004</v>
      </c>
      <c r="E67" s="47">
        <f t="shared" si="25"/>
        <v>1.0150000000000001</v>
      </c>
      <c r="F67" s="47">
        <f t="shared" si="25"/>
        <v>-1.1950000000000001</v>
      </c>
      <c r="G67" s="47">
        <f t="shared" si="25"/>
        <v>-1.0564999999999998</v>
      </c>
      <c r="H67" s="47">
        <f t="shared" si="25"/>
        <v>0.87800000000000022</v>
      </c>
      <c r="I67" s="47">
        <f t="shared" si="25"/>
        <v>0.81349999999999967</v>
      </c>
      <c r="J67" s="47">
        <f t="shared" si="25"/>
        <v>0</v>
      </c>
      <c r="K67" s="47">
        <f t="shared" si="25"/>
        <v>0</v>
      </c>
      <c r="L67" s="47">
        <f t="shared" si="25"/>
        <v>0.8811251199999981</v>
      </c>
      <c r="M67" s="47">
        <f t="shared" si="25"/>
        <v>0.81888116499999808</v>
      </c>
      <c r="N67" s="47">
        <f t="shared" si="25"/>
        <v>0</v>
      </c>
      <c r="O67" s="47">
        <f t="shared" si="25"/>
        <v>0</v>
      </c>
      <c r="Q67" s="36">
        <v>494.75</v>
      </c>
      <c r="R67" s="36">
        <v>483.3499999999998</v>
      </c>
      <c r="S67" s="36">
        <f t="shared" si="4"/>
        <v>17.549999999999997</v>
      </c>
      <c r="T67" s="36">
        <f t="shared" si="5"/>
        <v>17.425999999999998</v>
      </c>
      <c r="U67" s="36">
        <f t="shared" si="6"/>
        <v>1106.5809999999999</v>
      </c>
      <c r="V67" s="36">
        <f t="shared" si="7"/>
        <v>1105.1041</v>
      </c>
      <c r="W67" s="36">
        <f t="shared" si="8"/>
        <v>73.214504999999988</v>
      </c>
      <c r="X67" s="36">
        <f t="shared" si="9"/>
        <v>73.317133499999997</v>
      </c>
      <c r="Y67" s="36">
        <f t="shared" si="10"/>
        <v>20.178000000000001</v>
      </c>
      <c r="Z67" s="36">
        <f t="shared" si="11"/>
        <v>20.113500000000002</v>
      </c>
      <c r="AA67" s="53"/>
      <c r="AB67" s="53"/>
      <c r="AC67" s="36">
        <f t="shared" si="12"/>
        <v>22.381125119999997</v>
      </c>
      <c r="AD67" s="36">
        <f t="shared" si="13"/>
        <v>22.318881164999997</v>
      </c>
      <c r="AE67" s="53"/>
      <c r="AF67" s="53"/>
      <c r="AH67" s="43"/>
      <c r="CD67" s="69">
        <v>2039</v>
      </c>
      <c r="CE67" s="54">
        <f t="shared" si="14"/>
        <v>17.549999999999997</v>
      </c>
      <c r="CF67" s="54">
        <f t="shared" si="15"/>
        <v>73.214504999999988</v>
      </c>
      <c r="CG67" s="69">
        <f t="shared" si="16"/>
        <v>494.75</v>
      </c>
      <c r="CH67" s="54">
        <f t="shared" si="17"/>
        <v>17.425999999999998</v>
      </c>
      <c r="CI67" s="54">
        <f t="shared" si="19"/>
        <v>73.317133499999997</v>
      </c>
      <c r="CJ67" s="69">
        <f t="shared" si="18"/>
        <v>483.3499999999998</v>
      </c>
    </row>
    <row r="68" spans="1:88">
      <c r="A68" s="35">
        <v>2040</v>
      </c>
      <c r="B68" s="47">
        <f t="shared" si="25"/>
        <v>1.2000000000000004</v>
      </c>
      <c r="C68" s="47">
        <f t="shared" si="25"/>
        <v>1.0600000000000003</v>
      </c>
      <c r="D68" s="47">
        <f t="shared" si="25"/>
        <v>1.2000000000000004</v>
      </c>
      <c r="E68" s="47">
        <f t="shared" si="25"/>
        <v>1.05</v>
      </c>
      <c r="F68" s="47">
        <f t="shared" si="25"/>
        <v>-1.25</v>
      </c>
      <c r="G68" s="47">
        <f t="shared" si="25"/>
        <v>-1.0849999999999997</v>
      </c>
      <c r="H68" s="47">
        <f t="shared" si="25"/>
        <v>0.91000000000000025</v>
      </c>
      <c r="I68" s="47">
        <f t="shared" si="25"/>
        <v>0.83499999999999963</v>
      </c>
      <c r="J68" s="47">
        <f t="shared" si="25"/>
        <v>0</v>
      </c>
      <c r="K68" s="47">
        <f t="shared" si="25"/>
        <v>0</v>
      </c>
      <c r="L68" s="47">
        <f t="shared" si="25"/>
        <v>0.91309029999999813</v>
      </c>
      <c r="M68" s="47">
        <f t="shared" si="25"/>
        <v>0.84026094999999801</v>
      </c>
      <c r="N68" s="47">
        <f t="shared" si="25"/>
        <v>0</v>
      </c>
      <c r="O68" s="47">
        <f t="shared" si="25"/>
        <v>0</v>
      </c>
      <c r="Q68" s="36">
        <v>499.5</v>
      </c>
      <c r="R68" s="36">
        <v>487</v>
      </c>
      <c r="S68" s="36">
        <f t="shared" si="4"/>
        <v>17.599999999999998</v>
      </c>
      <c r="T68" s="36">
        <f t="shared" si="5"/>
        <v>17.459999999999997</v>
      </c>
      <c r="U68" s="36">
        <f t="shared" si="6"/>
        <v>1107.1279999999999</v>
      </c>
      <c r="V68" s="36">
        <f t="shared" si="7"/>
        <v>1105.4870000000001</v>
      </c>
      <c r="W68" s="36">
        <f t="shared" si="8"/>
        <v>73.173749999999998</v>
      </c>
      <c r="X68" s="36">
        <f t="shared" si="9"/>
        <v>73.296014999999997</v>
      </c>
      <c r="Y68" s="36">
        <f t="shared" si="10"/>
        <v>20.21</v>
      </c>
      <c r="Z68" s="36">
        <f t="shared" si="11"/>
        <v>20.135000000000002</v>
      </c>
      <c r="AA68" s="53"/>
      <c r="AB68" s="53"/>
      <c r="AC68" s="36">
        <f t="shared" si="12"/>
        <v>22.413090299999997</v>
      </c>
      <c r="AD68" s="36">
        <f t="shared" si="13"/>
        <v>22.340260949999998</v>
      </c>
      <c r="AE68" s="53"/>
      <c r="AF68" s="53"/>
      <c r="AH68" s="43"/>
      <c r="CD68" s="69">
        <v>2040</v>
      </c>
      <c r="CE68" s="54">
        <f t="shared" si="14"/>
        <v>17.599999999999998</v>
      </c>
      <c r="CF68" s="54">
        <f t="shared" si="15"/>
        <v>73.173749999999998</v>
      </c>
      <c r="CG68" s="69">
        <f t="shared" si="16"/>
        <v>499.5</v>
      </c>
      <c r="CH68" s="54">
        <f t="shared" si="17"/>
        <v>17.459999999999997</v>
      </c>
      <c r="CI68" s="54">
        <f t="shared" si="19"/>
        <v>73.296014999999997</v>
      </c>
      <c r="CJ68" s="69">
        <f t="shared" si="18"/>
        <v>487</v>
      </c>
    </row>
    <row r="69" spans="1:88">
      <c r="A69" s="35">
        <v>2041</v>
      </c>
      <c r="B69" s="47">
        <f t="shared" si="25"/>
        <v>1.2500000000000004</v>
      </c>
      <c r="C69" s="47">
        <f t="shared" si="25"/>
        <v>1.0940000000000003</v>
      </c>
      <c r="D69" s="47">
        <f t="shared" si="25"/>
        <v>1.2500000000000004</v>
      </c>
      <c r="E69" s="47">
        <f t="shared" si="25"/>
        <v>1.085</v>
      </c>
      <c r="F69" s="47">
        <f t="shared" si="25"/>
        <v>-1.3049999999999999</v>
      </c>
      <c r="G69" s="47">
        <f t="shared" si="25"/>
        <v>-1.1134999999999997</v>
      </c>
      <c r="H69" s="47">
        <f t="shared" si="25"/>
        <v>0.94200000000000028</v>
      </c>
      <c r="I69" s="47">
        <f t="shared" si="25"/>
        <v>0.85649999999999959</v>
      </c>
      <c r="J69" s="47">
        <f t="shared" si="25"/>
        <v>0</v>
      </c>
      <c r="K69" s="47">
        <f t="shared" si="25"/>
        <v>0</v>
      </c>
      <c r="L69" s="47">
        <f t="shared" si="25"/>
        <v>0.94505547999999817</v>
      </c>
      <c r="M69" s="47">
        <f t="shared" si="25"/>
        <v>0.86164073499999794</v>
      </c>
      <c r="N69" s="47">
        <f t="shared" si="25"/>
        <v>0</v>
      </c>
      <c r="O69" s="47">
        <f t="shared" si="25"/>
        <v>0</v>
      </c>
      <c r="Q69" s="36">
        <v>505.65</v>
      </c>
      <c r="R69" s="36">
        <v>491</v>
      </c>
      <c r="S69" s="36">
        <f t="shared" si="4"/>
        <v>17.649999999999999</v>
      </c>
      <c r="T69" s="36">
        <f t="shared" si="5"/>
        <v>17.494</v>
      </c>
      <c r="U69" s="36">
        <f t="shared" si="6"/>
        <v>1107.675</v>
      </c>
      <c r="V69" s="36">
        <f t="shared" si="7"/>
        <v>1105.8698999999999</v>
      </c>
      <c r="W69" s="36">
        <f t="shared" si="8"/>
        <v>73.132994999999994</v>
      </c>
      <c r="X69" s="36">
        <f t="shared" si="9"/>
        <v>73.274896499999997</v>
      </c>
      <c r="Y69" s="36">
        <f t="shared" si="10"/>
        <v>20.242000000000001</v>
      </c>
      <c r="Z69" s="36">
        <f t="shared" si="11"/>
        <v>20.156500000000001</v>
      </c>
      <c r="AA69" s="53"/>
      <c r="AB69" s="53"/>
      <c r="AC69" s="36">
        <f t="shared" si="12"/>
        <v>22.445055479999997</v>
      </c>
      <c r="AD69" s="36">
        <f t="shared" si="13"/>
        <v>22.361640734999998</v>
      </c>
      <c r="AE69" s="53"/>
      <c r="AF69" s="53"/>
      <c r="AH69" s="43"/>
      <c r="CD69" s="69">
        <v>2041</v>
      </c>
      <c r="CE69" s="54">
        <f t="shared" si="14"/>
        <v>17.649999999999999</v>
      </c>
      <c r="CF69" s="54">
        <f t="shared" si="15"/>
        <v>73.132994999999994</v>
      </c>
      <c r="CG69" s="69">
        <f t="shared" si="16"/>
        <v>505.65</v>
      </c>
      <c r="CH69" s="54">
        <f t="shared" si="17"/>
        <v>17.494</v>
      </c>
      <c r="CI69" s="54">
        <f t="shared" si="19"/>
        <v>73.274896499999997</v>
      </c>
      <c r="CJ69" s="69">
        <f t="shared" si="18"/>
        <v>491</v>
      </c>
    </row>
    <row r="70" spans="1:88">
      <c r="A70" s="35">
        <v>2042</v>
      </c>
      <c r="B70" s="47">
        <f t="shared" si="25"/>
        <v>1.3000000000000005</v>
      </c>
      <c r="C70" s="47">
        <f t="shared" si="25"/>
        <v>1.1280000000000003</v>
      </c>
      <c r="D70" s="47">
        <f t="shared" si="25"/>
        <v>1.3000000000000005</v>
      </c>
      <c r="E70" s="47">
        <f t="shared" si="25"/>
        <v>1.1199999999999999</v>
      </c>
      <c r="F70" s="47">
        <f t="shared" si="25"/>
        <v>-1.3599999999999999</v>
      </c>
      <c r="G70" s="47">
        <f t="shared" si="25"/>
        <v>-1.1419999999999997</v>
      </c>
      <c r="H70" s="47">
        <f t="shared" si="25"/>
        <v>0.97400000000000031</v>
      </c>
      <c r="I70" s="47">
        <f t="shared" si="25"/>
        <v>0.87799999999999956</v>
      </c>
      <c r="J70" s="47">
        <f t="shared" si="25"/>
        <v>0</v>
      </c>
      <c r="K70" s="47">
        <f t="shared" si="25"/>
        <v>0</v>
      </c>
      <c r="L70" s="47">
        <f t="shared" si="25"/>
        <v>0.97702065999999821</v>
      </c>
      <c r="M70" s="47">
        <f t="shared" si="25"/>
        <v>0.88302051999999787</v>
      </c>
      <c r="N70" s="47">
        <f t="shared" si="25"/>
        <v>0</v>
      </c>
      <c r="O70" s="47">
        <f t="shared" si="25"/>
        <v>0</v>
      </c>
      <c r="Q70" s="36">
        <v>511.79999999999995</v>
      </c>
      <c r="R70" s="36">
        <v>495</v>
      </c>
      <c r="S70" s="36">
        <f t="shared" si="4"/>
        <v>17.7</v>
      </c>
      <c r="T70" s="36">
        <f t="shared" si="5"/>
        <v>17.527999999999999</v>
      </c>
      <c r="U70" s="36">
        <f t="shared" si="6"/>
        <v>1108.222</v>
      </c>
      <c r="V70" s="36">
        <f t="shared" si="7"/>
        <v>1106.2528</v>
      </c>
      <c r="W70" s="36">
        <f t="shared" si="8"/>
        <v>73.09223999999999</v>
      </c>
      <c r="X70" s="36">
        <f t="shared" si="9"/>
        <v>73.253777999999997</v>
      </c>
      <c r="Y70" s="36">
        <f t="shared" si="10"/>
        <v>20.274000000000001</v>
      </c>
      <c r="Z70" s="36">
        <f t="shared" si="11"/>
        <v>20.178000000000001</v>
      </c>
      <c r="AA70" s="53"/>
      <c r="AB70" s="53"/>
      <c r="AC70" s="36">
        <f t="shared" si="12"/>
        <v>22.477020659999997</v>
      </c>
      <c r="AD70" s="36">
        <f t="shared" si="13"/>
        <v>22.383020519999999</v>
      </c>
      <c r="AE70" s="53"/>
      <c r="AF70" s="53"/>
      <c r="AH70" s="43"/>
      <c r="CD70" s="69">
        <v>2042</v>
      </c>
      <c r="CE70" s="54">
        <f t="shared" si="14"/>
        <v>17.7</v>
      </c>
      <c r="CF70" s="54">
        <f t="shared" si="15"/>
        <v>73.09223999999999</v>
      </c>
      <c r="CG70" s="69">
        <f t="shared" si="16"/>
        <v>511.79999999999995</v>
      </c>
      <c r="CH70" s="54">
        <f t="shared" si="17"/>
        <v>17.527999999999999</v>
      </c>
      <c r="CI70" s="54">
        <f t="shared" si="19"/>
        <v>73.253777999999997</v>
      </c>
      <c r="CJ70" s="69">
        <f t="shared" si="18"/>
        <v>495</v>
      </c>
    </row>
    <row r="71" spans="1:88">
      <c r="A71" s="35">
        <v>2043</v>
      </c>
      <c r="B71" s="47">
        <f t="shared" si="25"/>
        <v>1.3500000000000005</v>
      </c>
      <c r="C71" s="47">
        <f t="shared" si="25"/>
        <v>1.1620000000000004</v>
      </c>
      <c r="D71" s="47">
        <f t="shared" si="25"/>
        <v>1.3500000000000005</v>
      </c>
      <c r="E71" s="47">
        <f t="shared" si="25"/>
        <v>1.1549999999999998</v>
      </c>
      <c r="F71" s="47">
        <f t="shared" si="25"/>
        <v>-1.4149999999999998</v>
      </c>
      <c r="G71" s="47">
        <f t="shared" si="25"/>
        <v>-1.1704999999999997</v>
      </c>
      <c r="H71" s="47">
        <f t="shared" si="25"/>
        <v>1.0060000000000002</v>
      </c>
      <c r="I71" s="47">
        <f t="shared" si="25"/>
        <v>0.89949999999999952</v>
      </c>
      <c r="J71" s="47">
        <f t="shared" si="25"/>
        <v>0</v>
      </c>
      <c r="K71" s="47">
        <f t="shared" si="25"/>
        <v>0</v>
      </c>
      <c r="L71" s="47">
        <f t="shared" si="25"/>
        <v>1.0089858399999982</v>
      </c>
      <c r="M71" s="47">
        <f t="shared" si="25"/>
        <v>0.9044003049999978</v>
      </c>
      <c r="N71" s="47">
        <f t="shared" si="25"/>
        <v>0</v>
      </c>
      <c r="O71" s="47">
        <f t="shared" si="25"/>
        <v>0</v>
      </c>
      <c r="Q71" s="36">
        <v>517.94999999999993</v>
      </c>
      <c r="R71" s="36">
        <v>499</v>
      </c>
      <c r="S71" s="36">
        <f t="shared" si="4"/>
        <v>17.75</v>
      </c>
      <c r="T71" s="36">
        <f t="shared" si="5"/>
        <v>17.561999999999998</v>
      </c>
      <c r="U71" s="36">
        <f t="shared" si="6"/>
        <v>1108.769</v>
      </c>
      <c r="V71" s="36">
        <f t="shared" si="7"/>
        <v>1106.6357</v>
      </c>
      <c r="W71" s="36">
        <f t="shared" si="8"/>
        <v>73.051485</v>
      </c>
      <c r="X71" s="36">
        <f t="shared" si="9"/>
        <v>73.232659499999997</v>
      </c>
      <c r="Y71" s="36">
        <f t="shared" si="10"/>
        <v>20.306000000000001</v>
      </c>
      <c r="Z71" s="36">
        <f t="shared" si="11"/>
        <v>20.1995</v>
      </c>
      <c r="AA71" s="53"/>
      <c r="AB71" s="53"/>
      <c r="AC71" s="36">
        <f t="shared" si="12"/>
        <v>22.508985839999998</v>
      </c>
      <c r="AD71" s="36">
        <f t="shared" si="13"/>
        <v>22.404400304999999</v>
      </c>
      <c r="AE71" s="53"/>
      <c r="AF71" s="53"/>
      <c r="AH71" s="43"/>
      <c r="CD71" s="69">
        <v>2043</v>
      </c>
      <c r="CE71" s="54">
        <f t="shared" si="14"/>
        <v>17.75</v>
      </c>
      <c r="CF71" s="54">
        <f t="shared" si="15"/>
        <v>73.051485</v>
      </c>
      <c r="CG71" s="69">
        <f t="shared" si="16"/>
        <v>517.94999999999993</v>
      </c>
      <c r="CH71" s="54">
        <f t="shared" si="17"/>
        <v>17.561999999999998</v>
      </c>
      <c r="CI71" s="54">
        <f t="shared" si="19"/>
        <v>73.232659499999997</v>
      </c>
      <c r="CJ71" s="69">
        <f t="shared" si="18"/>
        <v>499</v>
      </c>
    </row>
    <row r="72" spans="1:88">
      <c r="A72" s="35">
        <v>2044</v>
      </c>
      <c r="B72" s="47">
        <f t="shared" si="25"/>
        <v>1.4000000000000006</v>
      </c>
      <c r="C72" s="47">
        <f t="shared" si="25"/>
        <v>1.1960000000000004</v>
      </c>
      <c r="D72" s="47">
        <f t="shared" si="25"/>
        <v>1.4000000000000006</v>
      </c>
      <c r="E72" s="47">
        <f t="shared" si="25"/>
        <v>1.1899999999999997</v>
      </c>
      <c r="F72" s="47">
        <f t="shared" si="25"/>
        <v>-1.4699999999999998</v>
      </c>
      <c r="G72" s="47">
        <f t="shared" si="25"/>
        <v>-1.1989999999999996</v>
      </c>
      <c r="H72" s="47">
        <f t="shared" si="25"/>
        <v>1.0380000000000003</v>
      </c>
      <c r="I72" s="47">
        <f t="shared" si="25"/>
        <v>0.92099999999999949</v>
      </c>
      <c r="J72" s="47">
        <f t="shared" si="25"/>
        <v>0</v>
      </c>
      <c r="K72" s="47">
        <f t="shared" si="25"/>
        <v>0</v>
      </c>
      <c r="L72" s="47">
        <f t="shared" si="25"/>
        <v>1.0409510199999983</v>
      </c>
      <c r="M72" s="47">
        <f t="shared" si="25"/>
        <v>0.92578008999999772</v>
      </c>
      <c r="N72" s="47">
        <f t="shared" si="25"/>
        <v>0</v>
      </c>
      <c r="O72" s="47">
        <f t="shared" si="25"/>
        <v>0</v>
      </c>
      <c r="Q72" s="36">
        <v>524.09999999999991</v>
      </c>
      <c r="R72" s="36">
        <v>503</v>
      </c>
      <c r="S72" s="36">
        <f t="shared" si="4"/>
        <v>17.8</v>
      </c>
      <c r="T72" s="36">
        <f t="shared" si="5"/>
        <v>17.596</v>
      </c>
      <c r="U72" s="36">
        <f t="shared" si="6"/>
        <v>1109.316</v>
      </c>
      <c r="V72" s="36">
        <f t="shared" si="7"/>
        <v>1107.0186000000001</v>
      </c>
      <c r="W72" s="36">
        <f t="shared" si="8"/>
        <v>73.010729999999995</v>
      </c>
      <c r="X72" s="36">
        <f t="shared" si="9"/>
        <v>73.211540999999997</v>
      </c>
      <c r="Y72" s="36">
        <f t="shared" si="10"/>
        <v>20.338000000000001</v>
      </c>
      <c r="Z72" s="36">
        <f t="shared" si="11"/>
        <v>20.221</v>
      </c>
      <c r="AA72" s="53"/>
      <c r="AB72" s="53"/>
      <c r="AC72" s="36">
        <f t="shared" si="12"/>
        <v>22.540951019999998</v>
      </c>
      <c r="AD72" s="36">
        <f t="shared" si="13"/>
        <v>22.425780089999996</v>
      </c>
      <c r="AE72" s="53"/>
      <c r="AF72" s="53"/>
      <c r="AH72" s="43"/>
      <c r="CD72" s="69">
        <v>2044</v>
      </c>
      <c r="CE72" s="54">
        <f t="shared" si="14"/>
        <v>17.8</v>
      </c>
      <c r="CF72" s="54">
        <f t="shared" si="15"/>
        <v>73.010729999999995</v>
      </c>
      <c r="CG72" s="69">
        <f t="shared" si="16"/>
        <v>524.09999999999991</v>
      </c>
      <c r="CH72" s="54">
        <f t="shared" si="17"/>
        <v>17.596</v>
      </c>
      <c r="CI72" s="54">
        <f t="shared" si="19"/>
        <v>73.211540999999997</v>
      </c>
      <c r="CJ72" s="69">
        <f t="shared" si="18"/>
        <v>503</v>
      </c>
    </row>
    <row r="73" spans="1:88">
      <c r="A73" s="35">
        <v>2045</v>
      </c>
      <c r="B73" s="47">
        <f t="shared" si="25"/>
        <v>1.4500000000000006</v>
      </c>
      <c r="C73" s="47">
        <f t="shared" si="25"/>
        <v>1.2300000000000004</v>
      </c>
      <c r="D73" s="47">
        <f t="shared" si="25"/>
        <v>1.4500000000000006</v>
      </c>
      <c r="E73" s="47">
        <f t="shared" si="25"/>
        <v>1.2249999999999996</v>
      </c>
      <c r="F73" s="47">
        <f t="shared" si="25"/>
        <v>-1.5249999999999997</v>
      </c>
      <c r="G73" s="47">
        <f t="shared" si="25"/>
        <v>-1.2274999999999996</v>
      </c>
      <c r="H73" s="47">
        <f t="shared" si="25"/>
        <v>1.0700000000000003</v>
      </c>
      <c r="I73" s="47">
        <f t="shared" si="25"/>
        <v>0.94249999999999945</v>
      </c>
      <c r="J73" s="47">
        <f t="shared" si="25"/>
        <v>0</v>
      </c>
      <c r="K73" s="47">
        <f t="shared" si="25"/>
        <v>0</v>
      </c>
      <c r="L73" s="47">
        <f t="shared" si="25"/>
        <v>1.0729161999999983</v>
      </c>
      <c r="M73" s="47">
        <f t="shared" si="25"/>
        <v>0.94715987499999765</v>
      </c>
      <c r="N73" s="47">
        <f t="shared" si="25"/>
        <v>0</v>
      </c>
      <c r="O73" s="47">
        <f t="shared" si="25"/>
        <v>0</v>
      </c>
      <c r="Q73" s="36">
        <v>530.24999999999989</v>
      </c>
      <c r="R73" s="36">
        <v>507</v>
      </c>
      <c r="S73" s="36">
        <f t="shared" si="4"/>
        <v>17.849999999999998</v>
      </c>
      <c r="T73" s="36">
        <f t="shared" si="5"/>
        <v>17.63</v>
      </c>
      <c r="U73" s="36">
        <f t="shared" si="6"/>
        <v>1109.8630000000001</v>
      </c>
      <c r="V73" s="36">
        <f t="shared" si="7"/>
        <v>1107.4014999999999</v>
      </c>
      <c r="W73" s="36">
        <f t="shared" si="8"/>
        <v>72.969974999999991</v>
      </c>
      <c r="X73" s="36">
        <f t="shared" si="9"/>
        <v>73.190422499999997</v>
      </c>
      <c r="Y73" s="36">
        <f t="shared" si="10"/>
        <v>20.37</v>
      </c>
      <c r="Z73" s="36">
        <f t="shared" si="11"/>
        <v>20.2425</v>
      </c>
      <c r="AA73" s="53"/>
      <c r="AB73" s="53"/>
      <c r="AC73" s="36">
        <f t="shared" si="12"/>
        <v>22.572916199999998</v>
      </c>
      <c r="AD73" s="36">
        <f t="shared" si="13"/>
        <v>22.447159874999997</v>
      </c>
      <c r="AE73" s="53"/>
      <c r="AF73" s="53"/>
      <c r="AH73" s="43"/>
      <c r="CD73" s="69">
        <v>2045</v>
      </c>
      <c r="CE73" s="54">
        <f t="shared" si="14"/>
        <v>17.849999999999998</v>
      </c>
      <c r="CF73" s="54">
        <f t="shared" si="15"/>
        <v>72.969974999999991</v>
      </c>
      <c r="CG73" s="69">
        <f t="shared" si="16"/>
        <v>530.24999999999989</v>
      </c>
      <c r="CH73" s="54">
        <f t="shared" si="17"/>
        <v>17.63</v>
      </c>
      <c r="CI73" s="54">
        <f t="shared" si="19"/>
        <v>73.190422499999997</v>
      </c>
      <c r="CJ73" s="69">
        <f t="shared" si="18"/>
        <v>507</v>
      </c>
    </row>
    <row r="74" spans="1:88">
      <c r="A74" s="35">
        <v>2046</v>
      </c>
      <c r="B74" s="47">
        <f t="shared" si="25"/>
        <v>1.5000000000000007</v>
      </c>
      <c r="C74" s="47">
        <f t="shared" si="25"/>
        <v>1.2640000000000005</v>
      </c>
      <c r="D74" s="47">
        <f t="shared" si="25"/>
        <v>1.5000000000000007</v>
      </c>
      <c r="E74" s="47">
        <f t="shared" si="25"/>
        <v>1.2599999999999996</v>
      </c>
      <c r="F74" s="47">
        <f t="shared" si="25"/>
        <v>-1.5799999999999996</v>
      </c>
      <c r="G74" s="47">
        <f t="shared" si="25"/>
        <v>-1.2559999999999996</v>
      </c>
      <c r="H74" s="47">
        <f t="shared" si="25"/>
        <v>1.1020000000000003</v>
      </c>
      <c r="I74" s="47">
        <f t="shared" si="25"/>
        <v>0.96399999999999941</v>
      </c>
      <c r="J74" s="47">
        <f t="shared" si="25"/>
        <v>0</v>
      </c>
      <c r="K74" s="47">
        <f t="shared" si="25"/>
        <v>0</v>
      </c>
      <c r="L74" s="47">
        <f t="shared" si="25"/>
        <v>1.1048813799999984</v>
      </c>
      <c r="M74" s="47">
        <f t="shared" si="25"/>
        <v>0.96853965999999758</v>
      </c>
      <c r="N74" s="47">
        <f t="shared" si="25"/>
        <v>0</v>
      </c>
      <c r="O74" s="47">
        <f t="shared" si="25"/>
        <v>0</v>
      </c>
      <c r="Q74" s="36">
        <v>536.39999999999986</v>
      </c>
      <c r="R74" s="36">
        <v>511</v>
      </c>
      <c r="S74" s="36">
        <f t="shared" si="4"/>
        <v>17.899999999999999</v>
      </c>
      <c r="T74" s="36">
        <f t="shared" si="5"/>
        <v>17.663999999999998</v>
      </c>
      <c r="U74" s="36">
        <f t="shared" si="6"/>
        <v>1110.4100000000001</v>
      </c>
      <c r="V74" s="36">
        <f t="shared" si="7"/>
        <v>1107.7844</v>
      </c>
      <c r="W74" s="36">
        <f t="shared" si="8"/>
        <v>72.929220000000001</v>
      </c>
      <c r="X74" s="36">
        <f t="shared" si="9"/>
        <v>73.169303999999997</v>
      </c>
      <c r="Y74" s="36">
        <f t="shared" si="10"/>
        <v>20.402000000000001</v>
      </c>
      <c r="Z74" s="36">
        <f t="shared" si="11"/>
        <v>20.263999999999999</v>
      </c>
      <c r="AA74" s="53"/>
      <c r="AB74" s="53"/>
      <c r="AC74" s="36">
        <f t="shared" si="12"/>
        <v>22.604881379999998</v>
      </c>
      <c r="AD74" s="36">
        <f t="shared" si="13"/>
        <v>22.468539659999998</v>
      </c>
      <c r="AE74" s="53"/>
      <c r="AF74" s="53"/>
      <c r="AH74" s="43"/>
      <c r="CD74" s="69">
        <v>2046</v>
      </c>
      <c r="CE74" s="54">
        <f t="shared" si="14"/>
        <v>17.899999999999999</v>
      </c>
      <c r="CF74" s="54">
        <f t="shared" si="15"/>
        <v>72.929220000000001</v>
      </c>
      <c r="CG74" s="69">
        <f t="shared" si="16"/>
        <v>536.39999999999986</v>
      </c>
      <c r="CH74" s="54">
        <f t="shared" si="17"/>
        <v>17.663999999999998</v>
      </c>
      <c r="CI74" s="54">
        <f t="shared" si="19"/>
        <v>73.169303999999997</v>
      </c>
      <c r="CJ74" s="69">
        <f t="shared" si="18"/>
        <v>511</v>
      </c>
    </row>
    <row r="75" spans="1:88">
      <c r="A75" s="35">
        <v>2047</v>
      </c>
      <c r="B75" s="47">
        <f t="shared" ref="B75:O77" si="26">(B$8-B$7)/COUNT($A$58:$A$77)+B74</f>
        <v>1.5500000000000007</v>
      </c>
      <c r="C75" s="47">
        <f t="shared" si="26"/>
        <v>1.2980000000000005</v>
      </c>
      <c r="D75" s="47">
        <f t="shared" si="26"/>
        <v>1.5500000000000007</v>
      </c>
      <c r="E75" s="47">
        <f t="shared" si="26"/>
        <v>1.2949999999999995</v>
      </c>
      <c r="F75" s="47">
        <f t="shared" si="26"/>
        <v>-1.6349999999999996</v>
      </c>
      <c r="G75" s="47">
        <f t="shared" si="26"/>
        <v>-1.2844999999999995</v>
      </c>
      <c r="H75" s="47">
        <f t="shared" si="26"/>
        <v>1.1340000000000003</v>
      </c>
      <c r="I75" s="47">
        <f t="shared" si="26"/>
        <v>0.98549999999999938</v>
      </c>
      <c r="J75" s="47">
        <f t="shared" si="26"/>
        <v>0</v>
      </c>
      <c r="K75" s="47">
        <f t="shared" si="26"/>
        <v>0</v>
      </c>
      <c r="L75" s="47">
        <f t="shared" si="26"/>
        <v>1.1368465599999984</v>
      </c>
      <c r="M75" s="47">
        <f t="shared" si="26"/>
        <v>0.98991944499999751</v>
      </c>
      <c r="N75" s="47">
        <f t="shared" si="26"/>
        <v>0</v>
      </c>
      <c r="O75" s="47">
        <f t="shared" si="26"/>
        <v>0</v>
      </c>
      <c r="Q75" s="36">
        <v>542.54999999999984</v>
      </c>
      <c r="R75" s="36">
        <v>515</v>
      </c>
      <c r="S75" s="36">
        <f t="shared" si="4"/>
        <v>17.95</v>
      </c>
      <c r="T75" s="36">
        <f t="shared" si="5"/>
        <v>17.698</v>
      </c>
      <c r="U75" s="36">
        <f t="shared" si="6"/>
        <v>1110.9570000000001</v>
      </c>
      <c r="V75" s="36">
        <f t="shared" si="7"/>
        <v>1108.1673000000001</v>
      </c>
      <c r="W75" s="36">
        <f t="shared" si="8"/>
        <v>72.888464999999997</v>
      </c>
      <c r="X75" s="36">
        <f t="shared" si="9"/>
        <v>73.148185499999997</v>
      </c>
      <c r="Y75" s="36">
        <f t="shared" si="10"/>
        <v>20.434000000000001</v>
      </c>
      <c r="Z75" s="36">
        <f t="shared" si="11"/>
        <v>20.285499999999999</v>
      </c>
      <c r="AA75" s="53"/>
      <c r="AB75" s="53"/>
      <c r="AC75" s="36">
        <f t="shared" si="12"/>
        <v>22.636846559999999</v>
      </c>
      <c r="AD75" s="36">
        <f t="shared" si="13"/>
        <v>22.489919444999998</v>
      </c>
      <c r="AE75" s="53"/>
      <c r="AF75" s="53"/>
      <c r="AH75" s="43"/>
      <c r="CD75" s="69">
        <v>2047</v>
      </c>
      <c r="CE75" s="54">
        <f t="shared" si="14"/>
        <v>17.95</v>
      </c>
      <c r="CF75" s="54">
        <f t="shared" si="15"/>
        <v>72.888464999999997</v>
      </c>
      <c r="CG75" s="69">
        <f t="shared" si="16"/>
        <v>542.54999999999984</v>
      </c>
      <c r="CH75" s="54">
        <f t="shared" si="17"/>
        <v>17.698</v>
      </c>
      <c r="CI75" s="54">
        <f t="shared" si="19"/>
        <v>73.148185499999997</v>
      </c>
      <c r="CJ75" s="69">
        <f t="shared" si="18"/>
        <v>515</v>
      </c>
    </row>
    <row r="76" spans="1:88">
      <c r="A76" s="35">
        <v>2048</v>
      </c>
      <c r="B76" s="47">
        <f t="shared" si="26"/>
        <v>1.6000000000000008</v>
      </c>
      <c r="C76" s="47">
        <f t="shared" si="26"/>
        <v>1.3320000000000005</v>
      </c>
      <c r="D76" s="47">
        <f t="shared" si="26"/>
        <v>1.6000000000000008</v>
      </c>
      <c r="E76" s="47">
        <f t="shared" si="26"/>
        <v>1.3299999999999994</v>
      </c>
      <c r="F76" s="47">
        <f t="shared" si="26"/>
        <v>-1.6899999999999995</v>
      </c>
      <c r="G76" s="47">
        <f t="shared" si="26"/>
        <v>-1.3129999999999995</v>
      </c>
      <c r="H76" s="47">
        <f t="shared" si="26"/>
        <v>1.1660000000000004</v>
      </c>
      <c r="I76" s="47">
        <f t="shared" si="26"/>
        <v>1.0069999999999995</v>
      </c>
      <c r="J76" s="47">
        <f t="shared" si="26"/>
        <v>0</v>
      </c>
      <c r="K76" s="47">
        <f t="shared" si="26"/>
        <v>0</v>
      </c>
      <c r="L76" s="47">
        <f t="shared" si="26"/>
        <v>1.1688117399999984</v>
      </c>
      <c r="M76" s="47">
        <f t="shared" si="26"/>
        <v>1.0112992299999974</v>
      </c>
      <c r="N76" s="47">
        <f t="shared" si="26"/>
        <v>0</v>
      </c>
      <c r="O76" s="47">
        <f t="shared" si="26"/>
        <v>0</v>
      </c>
      <c r="Q76" s="36">
        <v>548.69999999999982</v>
      </c>
      <c r="R76" s="36">
        <v>519</v>
      </c>
      <c r="S76" s="36">
        <f t="shared" si="4"/>
        <v>18</v>
      </c>
      <c r="T76" s="36">
        <f t="shared" si="5"/>
        <v>17.731999999999999</v>
      </c>
      <c r="U76" s="36">
        <f t="shared" si="6"/>
        <v>1111.5039999999999</v>
      </c>
      <c r="V76" s="36">
        <f t="shared" si="7"/>
        <v>1108.5501999999999</v>
      </c>
      <c r="W76" s="36">
        <f t="shared" si="8"/>
        <v>72.847709999999992</v>
      </c>
      <c r="X76" s="36">
        <f t="shared" si="9"/>
        <v>73.127066999999997</v>
      </c>
      <c r="Y76" s="36">
        <f t="shared" si="10"/>
        <v>20.466000000000001</v>
      </c>
      <c r="Z76" s="36">
        <f t="shared" si="11"/>
        <v>20.306999999999999</v>
      </c>
      <c r="AA76" s="53"/>
      <c r="AB76" s="53"/>
      <c r="AC76" s="36">
        <f t="shared" si="12"/>
        <v>22.668811739999999</v>
      </c>
      <c r="AD76" s="36">
        <f t="shared" si="13"/>
        <v>22.511299229999999</v>
      </c>
      <c r="AE76" s="53"/>
      <c r="AF76" s="53"/>
      <c r="AH76" s="43"/>
      <c r="CD76" s="69">
        <v>2048</v>
      </c>
      <c r="CE76" s="54">
        <f t="shared" si="14"/>
        <v>18</v>
      </c>
      <c r="CF76" s="54">
        <f t="shared" si="15"/>
        <v>72.847709999999992</v>
      </c>
      <c r="CG76" s="69">
        <f t="shared" si="16"/>
        <v>548.69999999999982</v>
      </c>
      <c r="CH76" s="54">
        <f t="shared" si="17"/>
        <v>17.731999999999999</v>
      </c>
      <c r="CI76" s="54">
        <f t="shared" si="19"/>
        <v>73.127066999999997</v>
      </c>
      <c r="CJ76" s="69">
        <f t="shared" si="18"/>
        <v>519</v>
      </c>
    </row>
    <row r="77" spans="1:88">
      <c r="A77" s="35">
        <v>2049</v>
      </c>
      <c r="B77" s="47">
        <f t="shared" si="26"/>
        <v>1.6500000000000008</v>
      </c>
      <c r="C77" s="47">
        <f t="shared" si="26"/>
        <v>1.3660000000000005</v>
      </c>
      <c r="D77" s="47">
        <f t="shared" si="26"/>
        <v>1.6500000000000008</v>
      </c>
      <c r="E77" s="47">
        <f t="shared" si="26"/>
        <v>1.3649999999999993</v>
      </c>
      <c r="F77" s="47">
        <f t="shared" si="26"/>
        <v>-1.7449999999999994</v>
      </c>
      <c r="G77" s="47">
        <f t="shared" si="26"/>
        <v>-1.3414999999999995</v>
      </c>
      <c r="H77" s="47">
        <f t="shared" si="26"/>
        <v>1.1980000000000004</v>
      </c>
      <c r="I77" s="47">
        <f t="shared" si="26"/>
        <v>1.0284999999999995</v>
      </c>
      <c r="J77" s="47">
        <f t="shared" si="26"/>
        <v>0</v>
      </c>
      <c r="K77" s="47">
        <f t="shared" si="26"/>
        <v>0</v>
      </c>
      <c r="L77" s="47">
        <f t="shared" si="26"/>
        <v>1.2007769199999985</v>
      </c>
      <c r="M77" s="47">
        <f t="shared" si="26"/>
        <v>1.0326790149999974</v>
      </c>
      <c r="N77" s="47">
        <f t="shared" si="26"/>
        <v>0</v>
      </c>
      <c r="O77" s="47">
        <f t="shared" si="26"/>
        <v>0</v>
      </c>
      <c r="Q77" s="36">
        <v>554.8499999999998</v>
      </c>
      <c r="R77" s="36">
        <v>523</v>
      </c>
      <c r="S77" s="36">
        <f t="shared" si="4"/>
        <v>18.05</v>
      </c>
      <c r="T77" s="36">
        <f t="shared" si="5"/>
        <v>17.765999999999998</v>
      </c>
      <c r="U77" s="36">
        <f t="shared" si="6"/>
        <v>1112.0509999999999</v>
      </c>
      <c r="V77" s="36">
        <f t="shared" si="7"/>
        <v>1108.9331</v>
      </c>
      <c r="W77" s="36">
        <f t="shared" si="8"/>
        <v>72.806954999999988</v>
      </c>
      <c r="X77" s="36">
        <f t="shared" si="9"/>
        <v>73.105948499999997</v>
      </c>
      <c r="Y77" s="36">
        <f t="shared" si="10"/>
        <v>20.498000000000001</v>
      </c>
      <c r="Z77" s="36">
        <f t="shared" si="11"/>
        <v>20.328500000000002</v>
      </c>
      <c r="AA77" s="53"/>
      <c r="AB77" s="53"/>
      <c r="AC77" s="36">
        <f t="shared" si="12"/>
        <v>22.700776919999999</v>
      </c>
      <c r="AD77" s="36">
        <f t="shared" si="13"/>
        <v>22.532679014999996</v>
      </c>
      <c r="AE77" s="53"/>
      <c r="AF77" s="53"/>
      <c r="AH77" s="43"/>
      <c r="CD77" s="69">
        <v>2049</v>
      </c>
      <c r="CE77" s="54">
        <f t="shared" si="14"/>
        <v>18.05</v>
      </c>
      <c r="CF77" s="54">
        <f t="shared" si="15"/>
        <v>72.806954999999988</v>
      </c>
      <c r="CG77" s="69">
        <f t="shared" si="16"/>
        <v>554.8499999999998</v>
      </c>
      <c r="CH77" s="54">
        <f t="shared" si="17"/>
        <v>17.765999999999998</v>
      </c>
      <c r="CI77" s="54">
        <f t="shared" si="19"/>
        <v>73.105948499999997</v>
      </c>
      <c r="CJ77" s="69">
        <f t="shared" si="18"/>
        <v>523</v>
      </c>
    </row>
    <row r="78" spans="1:88">
      <c r="A78" s="35">
        <v>2050</v>
      </c>
      <c r="B78" s="47">
        <f t="shared" ref="B78:O78" si="27">B$8</f>
        <v>1.7</v>
      </c>
      <c r="C78" s="47">
        <f t="shared" si="27"/>
        <v>1.4</v>
      </c>
      <c r="D78" s="47">
        <f t="shared" si="27"/>
        <v>1.7</v>
      </c>
      <c r="E78" s="47">
        <f t="shared" si="27"/>
        <v>1.4</v>
      </c>
      <c r="F78" s="47">
        <f t="shared" si="27"/>
        <v>-1.8</v>
      </c>
      <c r="G78" s="47">
        <f t="shared" si="27"/>
        <v>-1.37</v>
      </c>
      <c r="H78" s="47">
        <f t="shared" si="27"/>
        <v>1.23</v>
      </c>
      <c r="I78" s="47">
        <f t="shared" si="27"/>
        <v>1.05</v>
      </c>
      <c r="J78" s="47">
        <f t="shared" si="27"/>
        <v>0</v>
      </c>
      <c r="K78" s="47">
        <f t="shared" si="27"/>
        <v>0</v>
      </c>
      <c r="L78" s="47">
        <f t="shared" si="27"/>
        <v>1.2327420999999994</v>
      </c>
      <c r="M78" s="47">
        <f t="shared" si="27"/>
        <v>1.0540587999999964</v>
      </c>
      <c r="N78" s="47">
        <f t="shared" si="27"/>
        <v>0</v>
      </c>
      <c r="O78" s="47">
        <f t="shared" si="27"/>
        <v>0</v>
      </c>
      <c r="Q78" s="36">
        <v>561</v>
      </c>
      <c r="R78" s="36">
        <v>527</v>
      </c>
      <c r="S78" s="36">
        <f t="shared" si="4"/>
        <v>18.099999999999998</v>
      </c>
      <c r="T78" s="36">
        <f t="shared" si="5"/>
        <v>17.799999999999997</v>
      </c>
      <c r="U78" s="36">
        <f t="shared" si="6"/>
        <v>1112.598</v>
      </c>
      <c r="V78" s="36">
        <f t="shared" si="7"/>
        <v>1109.316</v>
      </c>
      <c r="W78" s="36">
        <f t="shared" si="8"/>
        <v>72.766199999999998</v>
      </c>
      <c r="X78" s="36">
        <f t="shared" si="9"/>
        <v>73.084829999999997</v>
      </c>
      <c r="Y78" s="36">
        <f t="shared" si="10"/>
        <v>20.53</v>
      </c>
      <c r="Z78" s="36">
        <f t="shared" si="11"/>
        <v>20.350000000000001</v>
      </c>
      <c r="AA78" s="53"/>
      <c r="AB78" s="53"/>
      <c r="AC78" s="36">
        <f t="shared" si="12"/>
        <v>22.732742099999999</v>
      </c>
      <c r="AD78" s="36">
        <f t="shared" si="13"/>
        <v>22.554058799999996</v>
      </c>
      <c r="AE78" s="53"/>
      <c r="AF78" s="53"/>
      <c r="AH78" s="43"/>
      <c r="CD78" s="69">
        <v>2050</v>
      </c>
      <c r="CE78" s="54">
        <f t="shared" si="14"/>
        <v>18.099999999999998</v>
      </c>
      <c r="CF78" s="54">
        <f t="shared" si="15"/>
        <v>72.766199999999998</v>
      </c>
      <c r="CG78" s="69">
        <f t="shared" si="16"/>
        <v>561</v>
      </c>
      <c r="CH78" s="54">
        <f t="shared" si="17"/>
        <v>17.799999999999997</v>
      </c>
      <c r="CI78" s="54">
        <f t="shared" si="19"/>
        <v>73.084829999999997</v>
      </c>
      <c r="CJ78" s="69">
        <f t="shared" si="18"/>
        <v>527</v>
      </c>
    </row>
    <row r="79" spans="1:88">
      <c r="A79" s="35">
        <v>2051</v>
      </c>
      <c r="B79" s="47">
        <f t="shared" ref="B79:O94" si="28">(B$9-B$8)/COUNT($A$78:$A$97)+B78</f>
        <v>1.73</v>
      </c>
      <c r="C79" s="47">
        <f t="shared" si="28"/>
        <v>1.4155</v>
      </c>
      <c r="D79" s="47">
        <f t="shared" si="28"/>
        <v>1.73</v>
      </c>
      <c r="E79" s="47">
        <f t="shared" si="28"/>
        <v>1.4149999999999998</v>
      </c>
      <c r="F79" s="47">
        <f t="shared" si="28"/>
        <v>-1.835</v>
      </c>
      <c r="G79" s="47">
        <f t="shared" si="28"/>
        <v>-1.3915000000000002</v>
      </c>
      <c r="H79" s="47">
        <f t="shared" si="28"/>
        <v>1.268</v>
      </c>
      <c r="I79" s="47">
        <f t="shared" si="28"/>
        <v>1.071</v>
      </c>
      <c r="J79" s="47">
        <f t="shared" si="28"/>
        <v>0</v>
      </c>
      <c r="K79" s="47">
        <f t="shared" si="28"/>
        <v>0</v>
      </c>
      <c r="L79" s="47">
        <f t="shared" si="28"/>
        <v>1.2706434399999993</v>
      </c>
      <c r="M79" s="47">
        <f t="shared" si="28"/>
        <v>1.0748845799999966</v>
      </c>
      <c r="N79" s="47">
        <f t="shared" si="28"/>
        <v>0</v>
      </c>
      <c r="O79" s="47">
        <f t="shared" si="28"/>
        <v>0</v>
      </c>
      <c r="Q79" s="36">
        <v>568.04999999999995</v>
      </c>
      <c r="R79" s="36">
        <v>531.04999999999995</v>
      </c>
      <c r="S79" s="36">
        <f t="shared" si="4"/>
        <v>18.13</v>
      </c>
      <c r="T79" s="36">
        <f t="shared" si="5"/>
        <v>17.8155</v>
      </c>
      <c r="U79" s="36">
        <f t="shared" si="6"/>
        <v>1112.9262000000001</v>
      </c>
      <c r="V79" s="36">
        <f t="shared" si="7"/>
        <v>1109.4801</v>
      </c>
      <c r="W79" s="36">
        <f t="shared" si="8"/>
        <v>72.740264999999994</v>
      </c>
      <c r="X79" s="36">
        <f t="shared" si="9"/>
        <v>73.068898499999989</v>
      </c>
      <c r="Y79" s="36">
        <f t="shared" si="10"/>
        <v>20.568000000000001</v>
      </c>
      <c r="Z79" s="36">
        <f t="shared" si="11"/>
        <v>20.371000000000002</v>
      </c>
      <c r="AA79" s="53"/>
      <c r="AB79" s="53"/>
      <c r="AC79" s="36">
        <f t="shared" si="12"/>
        <v>22.770643440000001</v>
      </c>
      <c r="AD79" s="36">
        <f t="shared" si="13"/>
        <v>22.574884579999996</v>
      </c>
      <c r="AE79" s="53"/>
      <c r="AF79" s="53"/>
      <c r="AH79" s="43"/>
      <c r="CD79" s="69">
        <v>2051</v>
      </c>
      <c r="CE79" s="54">
        <f t="shared" si="14"/>
        <v>18.13</v>
      </c>
      <c r="CF79" s="54">
        <f t="shared" si="15"/>
        <v>72.740264999999994</v>
      </c>
      <c r="CG79" s="69">
        <f t="shared" si="16"/>
        <v>568.04999999999995</v>
      </c>
      <c r="CH79" s="54">
        <f t="shared" si="17"/>
        <v>17.8155</v>
      </c>
      <c r="CI79" s="54">
        <f t="shared" si="19"/>
        <v>73.068898499999989</v>
      </c>
      <c r="CJ79" s="69">
        <f t="shared" si="18"/>
        <v>531.04999999999995</v>
      </c>
    </row>
    <row r="80" spans="1:88">
      <c r="A80" s="35">
        <v>2052</v>
      </c>
      <c r="B80" s="47">
        <f t="shared" si="28"/>
        <v>1.76</v>
      </c>
      <c r="C80" s="47">
        <f t="shared" si="28"/>
        <v>1.431</v>
      </c>
      <c r="D80" s="47">
        <f t="shared" si="28"/>
        <v>1.76</v>
      </c>
      <c r="E80" s="47">
        <f t="shared" si="28"/>
        <v>1.4299999999999997</v>
      </c>
      <c r="F80" s="47">
        <f t="shared" si="28"/>
        <v>-1.8699999999999999</v>
      </c>
      <c r="G80" s="47">
        <f t="shared" si="28"/>
        <v>-1.4130000000000003</v>
      </c>
      <c r="H80" s="47">
        <f t="shared" si="28"/>
        <v>1.306</v>
      </c>
      <c r="I80" s="47">
        <f t="shared" si="28"/>
        <v>1.0919999999999999</v>
      </c>
      <c r="J80" s="47">
        <f t="shared" si="28"/>
        <v>0</v>
      </c>
      <c r="K80" s="47">
        <f t="shared" si="28"/>
        <v>0</v>
      </c>
      <c r="L80" s="47">
        <f t="shared" si="28"/>
        <v>1.3085447799999992</v>
      </c>
      <c r="M80" s="47">
        <f t="shared" si="28"/>
        <v>1.0957103599999969</v>
      </c>
      <c r="N80" s="47">
        <f t="shared" si="28"/>
        <v>0</v>
      </c>
      <c r="O80" s="47">
        <f t="shared" si="28"/>
        <v>0</v>
      </c>
      <c r="Q80" s="36">
        <v>575.09999999999991</v>
      </c>
      <c r="R80" s="36">
        <v>535.09999999999991</v>
      </c>
      <c r="S80" s="36">
        <f t="shared" si="4"/>
        <v>18.16</v>
      </c>
      <c r="T80" s="36">
        <f t="shared" si="5"/>
        <v>17.831</v>
      </c>
      <c r="U80" s="36">
        <f t="shared" si="6"/>
        <v>1113.2544</v>
      </c>
      <c r="V80" s="36">
        <f t="shared" si="7"/>
        <v>1109.6442</v>
      </c>
      <c r="W80" s="36">
        <f t="shared" si="8"/>
        <v>72.71432999999999</v>
      </c>
      <c r="X80" s="36">
        <f t="shared" si="9"/>
        <v>73.052966999999995</v>
      </c>
      <c r="Y80" s="36">
        <f t="shared" si="10"/>
        <v>20.606000000000002</v>
      </c>
      <c r="Z80" s="36">
        <f t="shared" si="11"/>
        <v>20.391999999999999</v>
      </c>
      <c r="AA80" s="53"/>
      <c r="AB80" s="53"/>
      <c r="AC80" s="36">
        <f t="shared" si="12"/>
        <v>22.808544779999998</v>
      </c>
      <c r="AD80" s="36">
        <f t="shared" si="13"/>
        <v>22.595710359999998</v>
      </c>
      <c r="AE80" s="53"/>
      <c r="AF80" s="53"/>
      <c r="AH80" s="43"/>
      <c r="CD80" s="69">
        <v>2052</v>
      </c>
      <c r="CE80" s="54">
        <f t="shared" si="14"/>
        <v>18.16</v>
      </c>
      <c r="CF80" s="54">
        <f t="shared" si="15"/>
        <v>72.71432999999999</v>
      </c>
      <c r="CG80" s="69">
        <f t="shared" si="16"/>
        <v>575.09999999999991</v>
      </c>
      <c r="CH80" s="54">
        <f t="shared" si="17"/>
        <v>17.831</v>
      </c>
      <c r="CI80" s="54">
        <f t="shared" si="19"/>
        <v>73.052966999999995</v>
      </c>
      <c r="CJ80" s="69">
        <f t="shared" si="18"/>
        <v>535.09999999999991</v>
      </c>
    </row>
    <row r="81" spans="1:100">
      <c r="A81" s="35">
        <v>2053</v>
      </c>
      <c r="B81" s="47">
        <f t="shared" si="28"/>
        <v>1.79</v>
      </c>
      <c r="C81" s="47">
        <f t="shared" si="28"/>
        <v>1.4465000000000001</v>
      </c>
      <c r="D81" s="47">
        <f t="shared" si="28"/>
        <v>1.79</v>
      </c>
      <c r="E81" s="47">
        <f t="shared" si="28"/>
        <v>1.4449999999999996</v>
      </c>
      <c r="F81" s="47">
        <f t="shared" si="28"/>
        <v>-1.9049999999999998</v>
      </c>
      <c r="G81" s="47">
        <f t="shared" si="28"/>
        <v>-1.4345000000000003</v>
      </c>
      <c r="H81" s="47">
        <f t="shared" si="28"/>
        <v>1.3440000000000001</v>
      </c>
      <c r="I81" s="47">
        <f t="shared" si="28"/>
        <v>1.1129999999999998</v>
      </c>
      <c r="J81" s="47">
        <f t="shared" si="28"/>
        <v>0</v>
      </c>
      <c r="K81" s="47">
        <f t="shared" si="28"/>
        <v>0</v>
      </c>
      <c r="L81" s="47">
        <f t="shared" si="28"/>
        <v>1.3464461199999991</v>
      </c>
      <c r="M81" s="47">
        <f t="shared" si="28"/>
        <v>1.1165361399999971</v>
      </c>
      <c r="N81" s="47">
        <f t="shared" si="28"/>
        <v>0</v>
      </c>
      <c r="O81" s="47">
        <f t="shared" si="28"/>
        <v>0</v>
      </c>
      <c r="Q81" s="36">
        <v>582.14999999999986</v>
      </c>
      <c r="R81" s="36">
        <v>539.14999999999986</v>
      </c>
      <c r="S81" s="36">
        <f t="shared" si="4"/>
        <v>18.189999999999998</v>
      </c>
      <c r="T81" s="36">
        <f t="shared" si="5"/>
        <v>17.846499999999999</v>
      </c>
      <c r="U81" s="36">
        <f t="shared" si="6"/>
        <v>1113.5826</v>
      </c>
      <c r="V81" s="36">
        <f t="shared" si="7"/>
        <v>1109.8082999999999</v>
      </c>
      <c r="W81" s="36">
        <f t="shared" si="8"/>
        <v>72.688395</v>
      </c>
      <c r="X81" s="36">
        <f t="shared" si="9"/>
        <v>73.037035499999988</v>
      </c>
      <c r="Y81" s="36">
        <f t="shared" si="10"/>
        <v>20.644000000000002</v>
      </c>
      <c r="Z81" s="36">
        <f t="shared" si="11"/>
        <v>20.413</v>
      </c>
      <c r="AA81" s="53"/>
      <c r="AB81" s="53"/>
      <c r="AC81" s="36">
        <f t="shared" si="12"/>
        <v>22.84644612</v>
      </c>
      <c r="AD81" s="36">
        <f t="shared" si="13"/>
        <v>22.616536139999997</v>
      </c>
      <c r="AE81" s="53"/>
      <c r="AF81" s="53"/>
      <c r="AH81" s="43"/>
      <c r="CD81" s="69">
        <v>2053</v>
      </c>
      <c r="CE81" s="54">
        <f t="shared" si="14"/>
        <v>18.189999999999998</v>
      </c>
      <c r="CF81" s="54">
        <f t="shared" si="15"/>
        <v>72.688395</v>
      </c>
      <c r="CG81" s="69">
        <f t="shared" si="16"/>
        <v>582.14999999999986</v>
      </c>
      <c r="CH81" s="54">
        <f t="shared" si="17"/>
        <v>17.846499999999999</v>
      </c>
      <c r="CI81" s="54">
        <f t="shared" si="19"/>
        <v>73.037035499999988</v>
      </c>
      <c r="CJ81" s="69">
        <f t="shared" si="18"/>
        <v>539.14999999999986</v>
      </c>
    </row>
    <row r="82" spans="1:100">
      <c r="A82" s="35">
        <v>2054</v>
      </c>
      <c r="B82" s="47">
        <f t="shared" si="28"/>
        <v>1.82</v>
      </c>
      <c r="C82" s="47">
        <f t="shared" si="28"/>
        <v>1.4620000000000002</v>
      </c>
      <c r="D82" s="47">
        <f t="shared" si="28"/>
        <v>1.82</v>
      </c>
      <c r="E82" s="47">
        <f t="shared" si="28"/>
        <v>1.4599999999999995</v>
      </c>
      <c r="F82" s="47">
        <f t="shared" si="28"/>
        <v>-1.9399999999999997</v>
      </c>
      <c r="G82" s="47">
        <f t="shared" si="28"/>
        <v>-1.4560000000000004</v>
      </c>
      <c r="H82" s="47">
        <f t="shared" si="28"/>
        <v>1.3820000000000001</v>
      </c>
      <c r="I82" s="47">
        <f t="shared" si="28"/>
        <v>1.1339999999999997</v>
      </c>
      <c r="J82" s="47">
        <f t="shared" si="28"/>
        <v>0</v>
      </c>
      <c r="K82" s="47">
        <f t="shared" si="28"/>
        <v>0</v>
      </c>
      <c r="L82" s="47">
        <f t="shared" si="28"/>
        <v>1.384347459999999</v>
      </c>
      <c r="M82" s="47">
        <f t="shared" si="28"/>
        <v>1.1373619199999974</v>
      </c>
      <c r="N82" s="47">
        <f t="shared" si="28"/>
        <v>0</v>
      </c>
      <c r="O82" s="47">
        <f t="shared" si="28"/>
        <v>0</v>
      </c>
      <c r="Q82" s="36">
        <v>589.19999999999982</v>
      </c>
      <c r="R82" s="36">
        <v>543.19999999999982</v>
      </c>
      <c r="S82" s="36">
        <f t="shared" si="4"/>
        <v>18.22</v>
      </c>
      <c r="T82" s="36">
        <f t="shared" si="5"/>
        <v>17.861999999999998</v>
      </c>
      <c r="U82" s="36">
        <f t="shared" si="6"/>
        <v>1113.9108000000001</v>
      </c>
      <c r="V82" s="36">
        <f t="shared" si="7"/>
        <v>1109.9724000000001</v>
      </c>
      <c r="W82" s="36">
        <f t="shared" si="8"/>
        <v>72.662459999999996</v>
      </c>
      <c r="X82" s="36">
        <f t="shared" si="9"/>
        <v>73.021103999999994</v>
      </c>
      <c r="Y82" s="36">
        <f t="shared" si="10"/>
        <v>20.682000000000002</v>
      </c>
      <c r="Z82" s="36">
        <f t="shared" si="11"/>
        <v>20.434000000000001</v>
      </c>
      <c r="AA82" s="53"/>
      <c r="AB82" s="53"/>
      <c r="AC82" s="36">
        <f t="shared" si="12"/>
        <v>22.884347460000001</v>
      </c>
      <c r="AD82" s="36">
        <f t="shared" si="13"/>
        <v>22.637361919999996</v>
      </c>
      <c r="AE82" s="53"/>
      <c r="AF82" s="53"/>
      <c r="CD82" s="69">
        <v>2054</v>
      </c>
      <c r="CE82" s="54">
        <f t="shared" si="14"/>
        <v>18.22</v>
      </c>
      <c r="CF82" s="54">
        <f t="shared" si="15"/>
        <v>72.662459999999996</v>
      </c>
      <c r="CG82" s="69">
        <f t="shared" si="16"/>
        <v>589.19999999999982</v>
      </c>
      <c r="CH82" s="54">
        <f t="shared" si="17"/>
        <v>17.861999999999998</v>
      </c>
      <c r="CI82" s="54">
        <f t="shared" si="19"/>
        <v>73.021103999999994</v>
      </c>
      <c r="CJ82" s="69">
        <f t="shared" si="18"/>
        <v>543.19999999999982</v>
      </c>
    </row>
    <row r="83" spans="1:100">
      <c r="A83" s="35">
        <v>2055</v>
      </c>
      <c r="B83" s="47">
        <f t="shared" si="28"/>
        <v>1.85</v>
      </c>
      <c r="C83" s="47">
        <f t="shared" si="28"/>
        <v>1.4775000000000003</v>
      </c>
      <c r="D83" s="47">
        <f t="shared" si="28"/>
        <v>1.85</v>
      </c>
      <c r="E83" s="47">
        <f t="shared" si="28"/>
        <v>1.4749999999999994</v>
      </c>
      <c r="F83" s="47">
        <f t="shared" si="28"/>
        <v>-1.9749999999999996</v>
      </c>
      <c r="G83" s="47">
        <f t="shared" si="28"/>
        <v>-1.4775000000000005</v>
      </c>
      <c r="H83" s="47">
        <f t="shared" si="28"/>
        <v>1.4200000000000002</v>
      </c>
      <c r="I83" s="47">
        <f t="shared" si="28"/>
        <v>1.1549999999999996</v>
      </c>
      <c r="J83" s="47">
        <f t="shared" si="28"/>
        <v>0</v>
      </c>
      <c r="K83" s="47">
        <f t="shared" si="28"/>
        <v>0</v>
      </c>
      <c r="L83" s="47">
        <f t="shared" si="28"/>
        <v>1.4222487999999989</v>
      </c>
      <c r="M83" s="47">
        <f t="shared" si="28"/>
        <v>1.1581876999999976</v>
      </c>
      <c r="N83" s="47">
        <f t="shared" si="28"/>
        <v>0</v>
      </c>
      <c r="O83" s="47">
        <f t="shared" si="28"/>
        <v>0</v>
      </c>
      <c r="Q83" s="36">
        <v>596.24999999999977</v>
      </c>
      <c r="R83" s="36">
        <v>547.24999999999977</v>
      </c>
      <c r="S83" s="36">
        <f t="shared" si="4"/>
        <v>18.25</v>
      </c>
      <c r="T83" s="36">
        <f t="shared" si="5"/>
        <v>17.877499999999998</v>
      </c>
      <c r="U83" s="36">
        <f t="shared" si="6"/>
        <v>1114.239</v>
      </c>
      <c r="V83" s="36">
        <f t="shared" si="7"/>
        <v>1110.1365000000001</v>
      </c>
      <c r="W83" s="36">
        <f t="shared" si="8"/>
        <v>72.636524999999992</v>
      </c>
      <c r="X83" s="36">
        <f t="shared" si="9"/>
        <v>73.0051725</v>
      </c>
      <c r="Y83" s="36">
        <f t="shared" si="10"/>
        <v>20.720000000000002</v>
      </c>
      <c r="Z83" s="36">
        <f t="shared" si="11"/>
        <v>20.455000000000002</v>
      </c>
      <c r="AA83" s="53"/>
      <c r="AB83" s="53"/>
      <c r="AC83" s="36">
        <f t="shared" si="12"/>
        <v>22.922248799999998</v>
      </c>
      <c r="AD83" s="36">
        <f t="shared" si="13"/>
        <v>22.658187699999999</v>
      </c>
      <c r="AE83" s="53"/>
      <c r="AF83" s="53"/>
      <c r="CD83" s="69">
        <v>2055</v>
      </c>
      <c r="CE83" s="54">
        <f t="shared" si="14"/>
        <v>18.25</v>
      </c>
      <c r="CF83" s="54">
        <f t="shared" si="15"/>
        <v>72.636524999999992</v>
      </c>
      <c r="CG83" s="69">
        <f t="shared" si="16"/>
        <v>596.24999999999977</v>
      </c>
      <c r="CH83" s="54">
        <f t="shared" si="17"/>
        <v>17.877499999999998</v>
      </c>
      <c r="CI83" s="54">
        <f t="shared" si="19"/>
        <v>73.0051725</v>
      </c>
      <c r="CJ83" s="69">
        <f t="shared" si="18"/>
        <v>547.24999999999977</v>
      </c>
    </row>
    <row r="84" spans="1:100">
      <c r="A84" s="35">
        <v>2056</v>
      </c>
      <c r="B84" s="47">
        <f t="shared" si="28"/>
        <v>1.8800000000000001</v>
      </c>
      <c r="C84" s="47">
        <f t="shared" si="28"/>
        <v>1.4930000000000003</v>
      </c>
      <c r="D84" s="47">
        <f t="shared" si="28"/>
        <v>1.8800000000000001</v>
      </c>
      <c r="E84" s="47">
        <f t="shared" si="28"/>
        <v>1.4899999999999993</v>
      </c>
      <c r="F84" s="47">
        <f t="shared" si="28"/>
        <v>-2.0099999999999998</v>
      </c>
      <c r="G84" s="47">
        <f t="shared" si="28"/>
        <v>-1.4990000000000006</v>
      </c>
      <c r="H84" s="47">
        <f t="shared" si="28"/>
        <v>1.4580000000000002</v>
      </c>
      <c r="I84" s="47">
        <f t="shared" si="28"/>
        <v>1.1759999999999995</v>
      </c>
      <c r="J84" s="47">
        <f t="shared" si="28"/>
        <v>0</v>
      </c>
      <c r="K84" s="47">
        <f t="shared" si="28"/>
        <v>0</v>
      </c>
      <c r="L84" s="47">
        <f t="shared" si="28"/>
        <v>1.4601501399999988</v>
      </c>
      <c r="M84" s="47">
        <f t="shared" si="28"/>
        <v>1.1790134799999978</v>
      </c>
      <c r="N84" s="47">
        <f t="shared" si="28"/>
        <v>0</v>
      </c>
      <c r="O84" s="47">
        <f t="shared" si="28"/>
        <v>0</v>
      </c>
      <c r="Q84" s="36">
        <v>603.29999999999973</v>
      </c>
      <c r="R84" s="36">
        <v>551.29999999999973</v>
      </c>
      <c r="S84" s="36">
        <f t="shared" ref="S84:S98" si="29">S$18+$B84</f>
        <v>18.279999999999998</v>
      </c>
      <c r="T84" s="36">
        <f t="shared" ref="T84:T98" si="30">T$18+$C84</f>
        <v>17.893000000000001</v>
      </c>
      <c r="U84" s="36">
        <f t="shared" ref="U84:U98" si="31">U$18+U$18*$D84/100</f>
        <v>1114.5672</v>
      </c>
      <c r="V84" s="36">
        <f t="shared" ref="V84:V98" si="32">V$18+V$18*E84/100</f>
        <v>1110.3006</v>
      </c>
      <c r="W84" s="36">
        <f t="shared" ref="W84:W98" si="33">W$18+W$18*$F84/100</f>
        <v>72.610589999999988</v>
      </c>
      <c r="X84" s="36">
        <f t="shared" ref="X84:X98" si="34">X$18+X$18*$G84/100</f>
        <v>72.989240999999993</v>
      </c>
      <c r="Y84" s="36">
        <f t="shared" ref="Y84:Y98" si="35">Y$18+$H84</f>
        <v>20.758000000000003</v>
      </c>
      <c r="Z84" s="36">
        <f t="shared" ref="Z84:Z98" si="36">Z$18+$I84</f>
        <v>20.475999999999999</v>
      </c>
      <c r="AA84" s="53"/>
      <c r="AB84" s="53"/>
      <c r="AC84" s="36">
        <f t="shared" ref="AC84:AC98" si="37">AC$18+$L84</f>
        <v>22.96015014</v>
      </c>
      <c r="AD84" s="36">
        <f t="shared" ref="AD84:AD98" si="38">AD$18+$M84</f>
        <v>22.679013479999998</v>
      </c>
      <c r="AE84" s="53"/>
      <c r="AF84" s="53"/>
      <c r="CD84" s="69">
        <v>2056</v>
      </c>
      <c r="CE84" s="54">
        <f t="shared" si="14"/>
        <v>18.279999999999998</v>
      </c>
      <c r="CF84" s="54">
        <f t="shared" si="15"/>
        <v>72.610589999999988</v>
      </c>
      <c r="CG84" s="69">
        <f t="shared" si="16"/>
        <v>603.29999999999973</v>
      </c>
      <c r="CH84" s="54">
        <f t="shared" si="17"/>
        <v>17.893000000000001</v>
      </c>
      <c r="CI84" s="54">
        <f t="shared" si="19"/>
        <v>72.989240999999993</v>
      </c>
      <c r="CJ84" s="69">
        <f t="shared" si="18"/>
        <v>551.29999999999973</v>
      </c>
    </row>
    <row r="85" spans="1:100">
      <c r="A85" s="35">
        <v>2057</v>
      </c>
      <c r="B85" s="47">
        <f t="shared" si="28"/>
        <v>1.9100000000000001</v>
      </c>
      <c r="C85" s="47">
        <f t="shared" si="28"/>
        <v>1.5085000000000004</v>
      </c>
      <c r="D85" s="47">
        <f t="shared" si="28"/>
        <v>1.9100000000000001</v>
      </c>
      <c r="E85" s="47">
        <f t="shared" si="28"/>
        <v>1.5049999999999992</v>
      </c>
      <c r="F85" s="47">
        <f t="shared" si="28"/>
        <v>-2.0449999999999999</v>
      </c>
      <c r="G85" s="47">
        <f t="shared" si="28"/>
        <v>-1.5205000000000006</v>
      </c>
      <c r="H85" s="47">
        <f t="shared" si="28"/>
        <v>1.4960000000000002</v>
      </c>
      <c r="I85" s="47">
        <f t="shared" si="28"/>
        <v>1.1969999999999994</v>
      </c>
      <c r="J85" s="47">
        <f t="shared" si="28"/>
        <v>0</v>
      </c>
      <c r="K85" s="47">
        <f t="shared" si="28"/>
        <v>0</v>
      </c>
      <c r="L85" s="47">
        <f t="shared" si="28"/>
        <v>1.4980514799999987</v>
      </c>
      <c r="M85" s="47">
        <f t="shared" si="28"/>
        <v>1.1998392599999981</v>
      </c>
      <c r="N85" s="47">
        <f t="shared" si="28"/>
        <v>0</v>
      </c>
      <c r="O85" s="47">
        <f t="shared" si="28"/>
        <v>0</v>
      </c>
      <c r="Q85" s="36">
        <v>610.34999999999968</v>
      </c>
      <c r="R85" s="36">
        <v>555.34999999999968</v>
      </c>
      <c r="S85" s="36">
        <f t="shared" si="29"/>
        <v>18.309999999999999</v>
      </c>
      <c r="T85" s="36">
        <f t="shared" si="30"/>
        <v>17.9085</v>
      </c>
      <c r="U85" s="36">
        <f t="shared" si="31"/>
        <v>1114.8954000000001</v>
      </c>
      <c r="V85" s="36">
        <f t="shared" si="32"/>
        <v>1110.4647</v>
      </c>
      <c r="W85" s="36">
        <f t="shared" si="33"/>
        <v>72.584654999999998</v>
      </c>
      <c r="X85" s="36">
        <f t="shared" si="34"/>
        <v>72.973309499999999</v>
      </c>
      <c r="Y85" s="36">
        <f t="shared" si="35"/>
        <v>20.795999999999999</v>
      </c>
      <c r="Z85" s="36">
        <f t="shared" si="36"/>
        <v>20.497</v>
      </c>
      <c r="AA85" s="53"/>
      <c r="AB85" s="53"/>
      <c r="AC85" s="36">
        <f t="shared" si="37"/>
        <v>22.998051479999997</v>
      </c>
      <c r="AD85" s="36">
        <f t="shared" si="38"/>
        <v>22.699839259999997</v>
      </c>
      <c r="AE85" s="53"/>
      <c r="AF85" s="53"/>
      <c r="CD85" s="69">
        <v>2057</v>
      </c>
      <c r="CE85" s="54">
        <f t="shared" si="14"/>
        <v>18.309999999999999</v>
      </c>
      <c r="CF85" s="54">
        <f t="shared" si="15"/>
        <v>72.584654999999998</v>
      </c>
      <c r="CG85" s="69">
        <f t="shared" si="16"/>
        <v>610.34999999999968</v>
      </c>
      <c r="CH85" s="54">
        <f t="shared" si="17"/>
        <v>17.9085</v>
      </c>
      <c r="CI85" s="54">
        <f t="shared" si="19"/>
        <v>72.973309499999999</v>
      </c>
      <c r="CJ85" s="69">
        <f t="shared" si="18"/>
        <v>555.34999999999968</v>
      </c>
    </row>
    <row r="86" spans="1:100">
      <c r="A86" s="35">
        <v>2058</v>
      </c>
      <c r="B86" s="47">
        <f t="shared" si="28"/>
        <v>1.9400000000000002</v>
      </c>
      <c r="C86" s="47">
        <f t="shared" si="28"/>
        <v>1.5240000000000005</v>
      </c>
      <c r="D86" s="47">
        <f t="shared" si="28"/>
        <v>1.9400000000000002</v>
      </c>
      <c r="E86" s="47">
        <f t="shared" si="28"/>
        <v>1.5199999999999991</v>
      </c>
      <c r="F86" s="47">
        <f t="shared" si="28"/>
        <v>-2.08</v>
      </c>
      <c r="G86" s="47">
        <f t="shared" si="28"/>
        <v>-1.5420000000000007</v>
      </c>
      <c r="H86" s="47">
        <f t="shared" si="28"/>
        <v>1.5340000000000003</v>
      </c>
      <c r="I86" s="47">
        <f t="shared" si="28"/>
        <v>1.2179999999999993</v>
      </c>
      <c r="J86" s="47">
        <f t="shared" si="28"/>
        <v>0</v>
      </c>
      <c r="K86" s="47">
        <f t="shared" si="28"/>
        <v>0</v>
      </c>
      <c r="L86" s="47">
        <f t="shared" si="28"/>
        <v>1.5359528199999986</v>
      </c>
      <c r="M86" s="47">
        <f t="shared" si="28"/>
        <v>1.2206650399999983</v>
      </c>
      <c r="N86" s="47">
        <f t="shared" si="28"/>
        <v>0</v>
      </c>
      <c r="O86" s="47">
        <f t="shared" si="28"/>
        <v>0</v>
      </c>
      <c r="Q86" s="36">
        <v>617.39999999999964</v>
      </c>
      <c r="R86" s="36">
        <v>559.39999999999964</v>
      </c>
      <c r="S86" s="36">
        <f t="shared" si="29"/>
        <v>18.34</v>
      </c>
      <c r="T86" s="36">
        <f t="shared" si="30"/>
        <v>17.923999999999999</v>
      </c>
      <c r="U86" s="36">
        <f t="shared" si="31"/>
        <v>1115.2236</v>
      </c>
      <c r="V86" s="36">
        <f t="shared" si="32"/>
        <v>1110.6288</v>
      </c>
      <c r="W86" s="36">
        <f t="shared" si="33"/>
        <v>72.558719999999994</v>
      </c>
      <c r="X86" s="36">
        <f t="shared" si="34"/>
        <v>72.957377999999991</v>
      </c>
      <c r="Y86" s="36">
        <f t="shared" si="35"/>
        <v>20.834</v>
      </c>
      <c r="Z86" s="36">
        <f t="shared" si="36"/>
        <v>20.518000000000001</v>
      </c>
      <c r="AA86" s="53"/>
      <c r="AB86" s="53"/>
      <c r="AC86" s="36">
        <f t="shared" si="37"/>
        <v>23.035952819999999</v>
      </c>
      <c r="AD86" s="36">
        <f t="shared" si="38"/>
        <v>22.72066504</v>
      </c>
      <c r="AE86" s="53"/>
      <c r="AF86" s="53"/>
      <c r="CD86" s="69">
        <v>2058</v>
      </c>
      <c r="CE86" s="54">
        <f t="shared" si="14"/>
        <v>18.34</v>
      </c>
      <c r="CF86" s="54">
        <f t="shared" si="15"/>
        <v>72.558719999999994</v>
      </c>
      <c r="CG86" s="69">
        <f t="shared" si="16"/>
        <v>617.39999999999964</v>
      </c>
      <c r="CH86" s="54">
        <f t="shared" si="17"/>
        <v>17.923999999999999</v>
      </c>
      <c r="CI86" s="54">
        <f t="shared" si="19"/>
        <v>72.957377999999991</v>
      </c>
      <c r="CJ86" s="69">
        <f t="shared" si="18"/>
        <v>559.39999999999964</v>
      </c>
    </row>
    <row r="87" spans="1:100">
      <c r="A87" s="35">
        <v>2059</v>
      </c>
      <c r="B87" s="47">
        <f t="shared" si="28"/>
        <v>1.9700000000000002</v>
      </c>
      <c r="C87" s="47">
        <f t="shared" si="28"/>
        <v>1.5395000000000005</v>
      </c>
      <c r="D87" s="47">
        <f t="shared" si="28"/>
        <v>1.9700000000000002</v>
      </c>
      <c r="E87" s="47">
        <f t="shared" si="28"/>
        <v>1.534999999999999</v>
      </c>
      <c r="F87" s="47">
        <f t="shared" si="28"/>
        <v>-2.1150000000000002</v>
      </c>
      <c r="G87" s="47">
        <f t="shared" si="28"/>
        <v>-1.5635000000000008</v>
      </c>
      <c r="H87" s="47">
        <f t="shared" si="28"/>
        <v>1.5720000000000003</v>
      </c>
      <c r="I87" s="47">
        <f t="shared" si="28"/>
        <v>1.2389999999999992</v>
      </c>
      <c r="J87" s="47">
        <f t="shared" si="28"/>
        <v>0</v>
      </c>
      <c r="K87" s="47">
        <f t="shared" si="28"/>
        <v>0</v>
      </c>
      <c r="L87" s="47">
        <f t="shared" si="28"/>
        <v>1.5738541599999984</v>
      </c>
      <c r="M87" s="47">
        <f t="shared" si="28"/>
        <v>1.2414908199999986</v>
      </c>
      <c r="N87" s="47">
        <f t="shared" si="28"/>
        <v>0</v>
      </c>
      <c r="O87" s="47">
        <f t="shared" si="28"/>
        <v>0</v>
      </c>
      <c r="Q87" s="36">
        <v>624.44999999999959</v>
      </c>
      <c r="R87" s="36">
        <v>563.44999999999959</v>
      </c>
      <c r="S87" s="36">
        <f t="shared" si="29"/>
        <v>18.369999999999997</v>
      </c>
      <c r="T87" s="36">
        <f t="shared" si="30"/>
        <v>17.939499999999999</v>
      </c>
      <c r="U87" s="36">
        <f t="shared" si="31"/>
        <v>1115.5518</v>
      </c>
      <c r="V87" s="36">
        <f t="shared" si="32"/>
        <v>1110.7928999999999</v>
      </c>
      <c r="W87" s="36">
        <f t="shared" si="33"/>
        <v>72.53278499999999</v>
      </c>
      <c r="X87" s="36">
        <f t="shared" si="34"/>
        <v>72.941446499999998</v>
      </c>
      <c r="Y87" s="36">
        <f t="shared" si="35"/>
        <v>20.872</v>
      </c>
      <c r="Z87" s="36">
        <f t="shared" si="36"/>
        <v>20.539000000000001</v>
      </c>
      <c r="AA87" s="53"/>
      <c r="AB87" s="53"/>
      <c r="AC87" s="36">
        <f t="shared" si="37"/>
        <v>23.07385416</v>
      </c>
      <c r="AD87" s="36">
        <f t="shared" si="38"/>
        <v>22.741490819999999</v>
      </c>
      <c r="AE87" s="53"/>
      <c r="AF87" s="53"/>
      <c r="CD87" s="69">
        <v>2059</v>
      </c>
      <c r="CE87" s="54">
        <f t="shared" si="14"/>
        <v>18.369999999999997</v>
      </c>
      <c r="CF87" s="54">
        <f t="shared" si="15"/>
        <v>72.53278499999999</v>
      </c>
      <c r="CG87" s="69">
        <f t="shared" si="16"/>
        <v>624.44999999999959</v>
      </c>
      <c r="CH87" s="54">
        <f t="shared" si="17"/>
        <v>17.939499999999999</v>
      </c>
      <c r="CI87" s="54">
        <f t="shared" si="19"/>
        <v>72.941446499999998</v>
      </c>
      <c r="CJ87" s="69">
        <f t="shared" si="18"/>
        <v>563.44999999999959</v>
      </c>
    </row>
    <row r="88" spans="1:100">
      <c r="A88" s="35">
        <v>2060</v>
      </c>
      <c r="B88" s="47">
        <f t="shared" si="28"/>
        <v>2</v>
      </c>
      <c r="C88" s="47">
        <f t="shared" si="28"/>
        <v>1.5550000000000006</v>
      </c>
      <c r="D88" s="47">
        <f t="shared" si="28"/>
        <v>2</v>
      </c>
      <c r="E88" s="47">
        <f t="shared" si="28"/>
        <v>1.5499999999999989</v>
      </c>
      <c r="F88" s="47">
        <f t="shared" si="28"/>
        <v>-2.1500000000000004</v>
      </c>
      <c r="G88" s="47">
        <f t="shared" si="28"/>
        <v>-1.5850000000000009</v>
      </c>
      <c r="H88" s="47">
        <f t="shared" si="28"/>
        <v>1.6100000000000003</v>
      </c>
      <c r="I88" s="47">
        <f t="shared" si="28"/>
        <v>1.2599999999999991</v>
      </c>
      <c r="J88" s="47">
        <f t="shared" si="28"/>
        <v>0</v>
      </c>
      <c r="K88" s="47">
        <f t="shared" si="28"/>
        <v>0</v>
      </c>
      <c r="L88" s="47">
        <f t="shared" si="28"/>
        <v>1.6117554999999983</v>
      </c>
      <c r="M88" s="47">
        <f t="shared" si="28"/>
        <v>1.2623165999999988</v>
      </c>
      <c r="N88" s="47">
        <f t="shared" si="28"/>
        <v>0</v>
      </c>
      <c r="O88" s="47">
        <f t="shared" si="28"/>
        <v>0</v>
      </c>
      <c r="Q88" s="36">
        <v>631.5</v>
      </c>
      <c r="R88" s="36">
        <v>567.5</v>
      </c>
      <c r="S88" s="36">
        <f t="shared" si="29"/>
        <v>18.399999999999999</v>
      </c>
      <c r="T88" s="36">
        <f t="shared" si="30"/>
        <v>17.954999999999998</v>
      </c>
      <c r="U88" s="36">
        <f t="shared" si="31"/>
        <v>1115.8800000000001</v>
      </c>
      <c r="V88" s="36">
        <f t="shared" si="32"/>
        <v>1110.9569999999999</v>
      </c>
      <c r="W88" s="36">
        <f t="shared" si="33"/>
        <v>72.50685</v>
      </c>
      <c r="X88" s="36">
        <f t="shared" si="34"/>
        <v>72.92551499999999</v>
      </c>
      <c r="Y88" s="36">
        <f t="shared" si="35"/>
        <v>20.91</v>
      </c>
      <c r="Z88" s="36">
        <f t="shared" si="36"/>
        <v>20.56</v>
      </c>
      <c r="AA88" s="53"/>
      <c r="AB88" s="53"/>
      <c r="AC88" s="36">
        <f t="shared" si="37"/>
        <v>23.111755499999997</v>
      </c>
      <c r="AD88" s="36">
        <f t="shared" si="38"/>
        <v>22.762316599999998</v>
      </c>
      <c r="AE88" s="53"/>
      <c r="AF88" s="53"/>
      <c r="CD88" s="69">
        <v>2060</v>
      </c>
      <c r="CE88" s="54">
        <f t="shared" si="14"/>
        <v>18.399999999999999</v>
      </c>
      <c r="CF88" s="54">
        <f t="shared" si="15"/>
        <v>72.50685</v>
      </c>
      <c r="CG88" s="69">
        <f t="shared" si="16"/>
        <v>631.5</v>
      </c>
      <c r="CH88" s="54">
        <f t="shared" si="17"/>
        <v>17.954999999999998</v>
      </c>
      <c r="CI88" s="54">
        <f t="shared" si="19"/>
        <v>72.92551499999999</v>
      </c>
      <c r="CJ88" s="69">
        <f t="shared" si="18"/>
        <v>567.5</v>
      </c>
      <c r="CS88" s="43"/>
      <c r="CT88" s="43"/>
      <c r="CU88" s="43"/>
      <c r="CV88" s="43"/>
    </row>
    <row r="89" spans="1:100">
      <c r="A89" s="35">
        <v>2061</v>
      </c>
      <c r="B89" s="47">
        <f t="shared" si="28"/>
        <v>2.0299999999999998</v>
      </c>
      <c r="C89" s="47">
        <f t="shared" si="28"/>
        <v>1.5705000000000007</v>
      </c>
      <c r="D89" s="47">
        <f t="shared" si="28"/>
        <v>2.0299999999999998</v>
      </c>
      <c r="E89" s="47">
        <f t="shared" si="28"/>
        <v>1.5649999999999988</v>
      </c>
      <c r="F89" s="47">
        <f t="shared" si="28"/>
        <v>-2.1850000000000005</v>
      </c>
      <c r="G89" s="47">
        <f t="shared" si="28"/>
        <v>-1.6065000000000009</v>
      </c>
      <c r="H89" s="47">
        <f t="shared" si="28"/>
        <v>1.6480000000000004</v>
      </c>
      <c r="I89" s="47">
        <f t="shared" si="28"/>
        <v>1.280999999999999</v>
      </c>
      <c r="J89" s="47">
        <f t="shared" si="28"/>
        <v>0</v>
      </c>
      <c r="K89" s="47">
        <f t="shared" si="28"/>
        <v>0</v>
      </c>
      <c r="L89" s="47">
        <f t="shared" si="28"/>
        <v>1.6496568399999982</v>
      </c>
      <c r="M89" s="47">
        <f t="shared" si="28"/>
        <v>1.283142379999999</v>
      </c>
      <c r="N89" s="47">
        <f t="shared" si="28"/>
        <v>0</v>
      </c>
      <c r="O89" s="47">
        <f t="shared" si="28"/>
        <v>0</v>
      </c>
      <c r="Q89" s="36">
        <v>639.25</v>
      </c>
      <c r="R89" s="36">
        <v>571.35</v>
      </c>
      <c r="S89" s="36">
        <f t="shared" si="29"/>
        <v>18.43</v>
      </c>
      <c r="T89" s="36">
        <f t="shared" si="30"/>
        <v>17.970499999999998</v>
      </c>
      <c r="U89" s="36">
        <f t="shared" si="31"/>
        <v>1116.2082</v>
      </c>
      <c r="V89" s="36">
        <f t="shared" si="32"/>
        <v>1111.1211000000001</v>
      </c>
      <c r="W89" s="36">
        <f t="shared" si="33"/>
        <v>72.480914999999996</v>
      </c>
      <c r="X89" s="36">
        <f t="shared" si="34"/>
        <v>72.909583499999997</v>
      </c>
      <c r="Y89" s="36">
        <f t="shared" si="35"/>
        <v>20.948</v>
      </c>
      <c r="Z89" s="36">
        <f t="shared" si="36"/>
        <v>20.581</v>
      </c>
      <c r="AA89" s="53"/>
      <c r="AB89" s="53"/>
      <c r="AC89" s="36">
        <f t="shared" si="37"/>
        <v>23.149656839999999</v>
      </c>
      <c r="AD89" s="36">
        <f t="shared" si="38"/>
        <v>22.783142379999997</v>
      </c>
      <c r="AE89" s="53"/>
      <c r="AF89" s="53"/>
      <c r="CD89" s="69">
        <v>2061</v>
      </c>
      <c r="CE89" s="54">
        <f t="shared" si="14"/>
        <v>18.43</v>
      </c>
      <c r="CF89" s="54">
        <f t="shared" si="15"/>
        <v>72.480914999999996</v>
      </c>
      <c r="CG89" s="69">
        <f t="shared" si="16"/>
        <v>639.25</v>
      </c>
      <c r="CH89" s="54">
        <f t="shared" si="17"/>
        <v>17.970499999999998</v>
      </c>
      <c r="CI89" s="54">
        <f t="shared" si="19"/>
        <v>72.909583499999997</v>
      </c>
      <c r="CJ89" s="69">
        <f t="shared" si="18"/>
        <v>571.35</v>
      </c>
    </row>
    <row r="90" spans="1:100">
      <c r="A90" s="35">
        <v>2062</v>
      </c>
      <c r="B90" s="47">
        <f t="shared" si="28"/>
        <v>2.0599999999999996</v>
      </c>
      <c r="C90" s="47">
        <f t="shared" si="28"/>
        <v>1.5860000000000007</v>
      </c>
      <c r="D90" s="47">
        <f t="shared" si="28"/>
        <v>2.0599999999999996</v>
      </c>
      <c r="E90" s="47">
        <f t="shared" si="28"/>
        <v>1.5799999999999987</v>
      </c>
      <c r="F90" s="47">
        <f t="shared" si="28"/>
        <v>-2.2200000000000006</v>
      </c>
      <c r="G90" s="47">
        <f t="shared" si="28"/>
        <v>-1.628000000000001</v>
      </c>
      <c r="H90" s="47">
        <f t="shared" si="28"/>
        <v>1.6860000000000004</v>
      </c>
      <c r="I90" s="47">
        <f t="shared" si="28"/>
        <v>1.3019999999999989</v>
      </c>
      <c r="J90" s="47">
        <f t="shared" si="28"/>
        <v>0</v>
      </c>
      <c r="K90" s="47">
        <f t="shared" si="28"/>
        <v>0</v>
      </c>
      <c r="L90" s="47">
        <f t="shared" si="28"/>
        <v>1.6875581799999981</v>
      </c>
      <c r="M90" s="47">
        <f t="shared" si="28"/>
        <v>1.3039681599999993</v>
      </c>
      <c r="N90" s="47">
        <f t="shared" si="28"/>
        <v>0</v>
      </c>
      <c r="O90" s="47">
        <f t="shared" si="28"/>
        <v>0</v>
      </c>
      <c r="Q90" s="36">
        <v>647</v>
      </c>
      <c r="R90" s="36">
        <v>575.20000000000005</v>
      </c>
      <c r="S90" s="36">
        <f t="shared" si="29"/>
        <v>18.459999999999997</v>
      </c>
      <c r="T90" s="36">
        <f t="shared" si="30"/>
        <v>17.986000000000001</v>
      </c>
      <c r="U90" s="36">
        <f t="shared" si="31"/>
        <v>1116.5364</v>
      </c>
      <c r="V90" s="36">
        <f t="shared" si="32"/>
        <v>1111.2852</v>
      </c>
      <c r="W90" s="36">
        <f t="shared" si="33"/>
        <v>72.454979999999992</v>
      </c>
      <c r="X90" s="36">
        <f t="shared" si="34"/>
        <v>72.893651999999989</v>
      </c>
      <c r="Y90" s="36">
        <f t="shared" si="35"/>
        <v>20.986000000000001</v>
      </c>
      <c r="Z90" s="36">
        <f t="shared" si="36"/>
        <v>20.602</v>
      </c>
      <c r="AA90" s="53"/>
      <c r="AB90" s="53"/>
      <c r="AC90" s="36">
        <f t="shared" si="37"/>
        <v>23.187558179999996</v>
      </c>
      <c r="AD90" s="36">
        <f t="shared" si="38"/>
        <v>22.80396816</v>
      </c>
      <c r="AE90" s="53"/>
      <c r="AF90" s="53"/>
      <c r="CD90" s="69">
        <v>2062</v>
      </c>
      <c r="CE90" s="54">
        <f t="shared" si="14"/>
        <v>18.459999999999997</v>
      </c>
      <c r="CF90" s="54">
        <f t="shared" si="15"/>
        <v>72.454979999999992</v>
      </c>
      <c r="CG90" s="69">
        <f t="shared" si="16"/>
        <v>647</v>
      </c>
      <c r="CH90" s="54">
        <f t="shared" si="17"/>
        <v>17.986000000000001</v>
      </c>
      <c r="CI90" s="54">
        <f t="shared" si="19"/>
        <v>72.893651999999989</v>
      </c>
      <c r="CJ90" s="69">
        <f t="shared" si="18"/>
        <v>575.20000000000005</v>
      </c>
    </row>
    <row r="91" spans="1:100">
      <c r="A91" s="35">
        <v>2063</v>
      </c>
      <c r="B91" s="47">
        <f t="shared" si="28"/>
        <v>2.0899999999999994</v>
      </c>
      <c r="C91" s="47">
        <f t="shared" si="28"/>
        <v>1.6015000000000008</v>
      </c>
      <c r="D91" s="47">
        <f t="shared" si="28"/>
        <v>2.0899999999999994</v>
      </c>
      <c r="E91" s="47">
        <f t="shared" si="28"/>
        <v>1.5949999999999986</v>
      </c>
      <c r="F91" s="47">
        <f t="shared" si="28"/>
        <v>-2.2550000000000008</v>
      </c>
      <c r="G91" s="47">
        <f t="shared" si="28"/>
        <v>-1.6495000000000011</v>
      </c>
      <c r="H91" s="47">
        <f t="shared" si="28"/>
        <v>1.7240000000000004</v>
      </c>
      <c r="I91" s="47">
        <f t="shared" si="28"/>
        <v>1.3229999999999988</v>
      </c>
      <c r="J91" s="47">
        <f t="shared" si="28"/>
        <v>0</v>
      </c>
      <c r="K91" s="47">
        <f t="shared" si="28"/>
        <v>0</v>
      </c>
      <c r="L91" s="47">
        <f t="shared" si="28"/>
        <v>1.725459519999998</v>
      </c>
      <c r="M91" s="47">
        <f t="shared" si="28"/>
        <v>1.3247939399999995</v>
      </c>
      <c r="N91" s="47">
        <f t="shared" si="28"/>
        <v>0</v>
      </c>
      <c r="O91" s="47">
        <f t="shared" si="28"/>
        <v>0</v>
      </c>
      <c r="Q91" s="36">
        <v>654.75</v>
      </c>
      <c r="R91" s="36">
        <v>579.05000000000007</v>
      </c>
      <c r="S91" s="36">
        <f t="shared" si="29"/>
        <v>18.489999999999998</v>
      </c>
      <c r="T91" s="36">
        <f t="shared" si="30"/>
        <v>18.0015</v>
      </c>
      <c r="U91" s="36">
        <f t="shared" si="31"/>
        <v>1116.8645999999999</v>
      </c>
      <c r="V91" s="36">
        <f t="shared" si="32"/>
        <v>1111.4493</v>
      </c>
      <c r="W91" s="36">
        <f t="shared" si="33"/>
        <v>72.429044999999988</v>
      </c>
      <c r="X91" s="36">
        <f t="shared" si="34"/>
        <v>72.877720499999995</v>
      </c>
      <c r="Y91" s="36">
        <f t="shared" si="35"/>
        <v>21.024000000000001</v>
      </c>
      <c r="Z91" s="36">
        <f t="shared" si="36"/>
        <v>20.623000000000001</v>
      </c>
      <c r="AA91" s="53"/>
      <c r="AB91" s="53"/>
      <c r="AC91" s="36">
        <f t="shared" si="37"/>
        <v>23.225459519999998</v>
      </c>
      <c r="AD91" s="36">
        <f t="shared" si="38"/>
        <v>22.824793939999999</v>
      </c>
      <c r="AE91" s="53"/>
      <c r="AF91" s="53"/>
      <c r="CD91" s="69">
        <v>2063</v>
      </c>
      <c r="CE91" s="54">
        <f t="shared" si="14"/>
        <v>18.489999999999998</v>
      </c>
      <c r="CF91" s="54">
        <f t="shared" si="15"/>
        <v>72.429044999999988</v>
      </c>
      <c r="CG91" s="69">
        <f t="shared" si="16"/>
        <v>654.75</v>
      </c>
      <c r="CH91" s="54">
        <f t="shared" si="17"/>
        <v>18.0015</v>
      </c>
      <c r="CI91" s="54">
        <f t="shared" si="19"/>
        <v>72.877720499999995</v>
      </c>
      <c r="CJ91" s="69">
        <f t="shared" si="18"/>
        <v>579.05000000000007</v>
      </c>
    </row>
    <row r="92" spans="1:100">
      <c r="A92" s="35">
        <v>2064</v>
      </c>
      <c r="B92" s="47">
        <f t="shared" si="28"/>
        <v>2.1199999999999992</v>
      </c>
      <c r="C92" s="47">
        <f t="shared" si="28"/>
        <v>1.6170000000000009</v>
      </c>
      <c r="D92" s="47">
        <f t="shared" si="28"/>
        <v>2.1199999999999992</v>
      </c>
      <c r="E92" s="47">
        <f t="shared" si="28"/>
        <v>1.6099999999999985</v>
      </c>
      <c r="F92" s="47">
        <f t="shared" si="28"/>
        <v>-2.2900000000000009</v>
      </c>
      <c r="G92" s="47">
        <f t="shared" si="28"/>
        <v>-1.6710000000000012</v>
      </c>
      <c r="H92" s="47">
        <f t="shared" si="28"/>
        <v>1.7620000000000005</v>
      </c>
      <c r="I92" s="47">
        <f t="shared" si="28"/>
        <v>1.3439999999999988</v>
      </c>
      <c r="J92" s="47">
        <f t="shared" si="28"/>
        <v>0</v>
      </c>
      <c r="K92" s="47">
        <f t="shared" si="28"/>
        <v>0</v>
      </c>
      <c r="L92" s="47">
        <f t="shared" si="28"/>
        <v>1.7633608599999979</v>
      </c>
      <c r="M92" s="47">
        <f t="shared" si="28"/>
        <v>1.3456197199999997</v>
      </c>
      <c r="N92" s="47">
        <f t="shared" si="28"/>
        <v>0</v>
      </c>
      <c r="O92" s="47">
        <f t="shared" si="28"/>
        <v>0</v>
      </c>
      <c r="Q92" s="36">
        <v>662.5</v>
      </c>
      <c r="R92" s="36">
        <v>582.90000000000009</v>
      </c>
      <c r="S92" s="36">
        <f t="shared" si="29"/>
        <v>18.519999999999996</v>
      </c>
      <c r="T92" s="36">
        <f t="shared" si="30"/>
        <v>18.016999999999999</v>
      </c>
      <c r="U92" s="36">
        <f t="shared" si="31"/>
        <v>1117.1928</v>
      </c>
      <c r="V92" s="36">
        <f t="shared" si="32"/>
        <v>1111.6134</v>
      </c>
      <c r="W92" s="36">
        <f t="shared" si="33"/>
        <v>72.403109999999998</v>
      </c>
      <c r="X92" s="36">
        <f t="shared" si="34"/>
        <v>72.861788999999987</v>
      </c>
      <c r="Y92" s="36">
        <f t="shared" si="35"/>
        <v>21.062000000000001</v>
      </c>
      <c r="Z92" s="36">
        <f t="shared" si="36"/>
        <v>20.643999999999998</v>
      </c>
      <c r="AA92" s="53"/>
      <c r="AB92" s="53"/>
      <c r="AC92" s="36">
        <f t="shared" si="37"/>
        <v>23.263360859999999</v>
      </c>
      <c r="AD92" s="36">
        <f t="shared" si="38"/>
        <v>22.845619719999998</v>
      </c>
      <c r="AE92" s="53"/>
      <c r="AF92" s="53"/>
      <c r="CD92" s="69">
        <v>2064</v>
      </c>
      <c r="CE92" s="54">
        <f t="shared" ref="CE92:CE98" si="39">S92</f>
        <v>18.519999999999996</v>
      </c>
      <c r="CF92" s="54">
        <f t="shared" ref="CF92:CF98" si="40">W92</f>
        <v>72.403109999999998</v>
      </c>
      <c r="CG92" s="69">
        <f t="shared" ref="CG92:CG98" si="41">Q92</f>
        <v>662.5</v>
      </c>
      <c r="CH92" s="54">
        <f t="shared" ref="CH92:CH98" si="42">T92</f>
        <v>18.016999999999999</v>
      </c>
      <c r="CI92" s="54">
        <f t="shared" si="19"/>
        <v>72.861788999999987</v>
      </c>
      <c r="CJ92" s="69">
        <f t="shared" ref="CJ92:CJ98" si="43">R92</f>
        <v>582.90000000000009</v>
      </c>
    </row>
    <row r="93" spans="1:100">
      <c r="A93" s="35">
        <v>2065</v>
      </c>
      <c r="B93" s="47">
        <f t="shared" si="28"/>
        <v>2.149999999999999</v>
      </c>
      <c r="C93" s="47">
        <f t="shared" si="28"/>
        <v>1.632500000000001</v>
      </c>
      <c r="D93" s="47">
        <f t="shared" si="28"/>
        <v>2.149999999999999</v>
      </c>
      <c r="E93" s="47">
        <f t="shared" si="28"/>
        <v>1.6249999999999984</v>
      </c>
      <c r="F93" s="47">
        <f t="shared" si="28"/>
        <v>-2.3250000000000011</v>
      </c>
      <c r="G93" s="47">
        <f t="shared" si="28"/>
        <v>-1.6925000000000012</v>
      </c>
      <c r="H93" s="47">
        <f t="shared" si="28"/>
        <v>1.8000000000000005</v>
      </c>
      <c r="I93" s="47">
        <f t="shared" si="28"/>
        <v>1.3649999999999987</v>
      </c>
      <c r="J93" s="47">
        <f t="shared" si="28"/>
        <v>0</v>
      </c>
      <c r="K93" s="47">
        <f t="shared" si="28"/>
        <v>0</v>
      </c>
      <c r="L93" s="47">
        <f t="shared" si="28"/>
        <v>1.8012621999999978</v>
      </c>
      <c r="M93" s="47">
        <f t="shared" si="28"/>
        <v>1.3664455</v>
      </c>
      <c r="N93" s="47">
        <f t="shared" si="28"/>
        <v>0</v>
      </c>
      <c r="O93" s="47">
        <f t="shared" si="28"/>
        <v>0</v>
      </c>
      <c r="Q93" s="36">
        <v>670.25</v>
      </c>
      <c r="R93" s="36">
        <v>586.75000000000011</v>
      </c>
      <c r="S93" s="36">
        <f t="shared" si="29"/>
        <v>18.549999999999997</v>
      </c>
      <c r="T93" s="36">
        <f t="shared" si="30"/>
        <v>18.032499999999999</v>
      </c>
      <c r="U93" s="36">
        <f t="shared" si="31"/>
        <v>1117.521</v>
      </c>
      <c r="V93" s="36">
        <f t="shared" si="32"/>
        <v>1111.7774999999999</v>
      </c>
      <c r="W93" s="36">
        <f t="shared" si="33"/>
        <v>72.377174999999994</v>
      </c>
      <c r="X93" s="36">
        <f t="shared" si="34"/>
        <v>72.845857499999994</v>
      </c>
      <c r="Y93" s="36">
        <f t="shared" si="35"/>
        <v>21.1</v>
      </c>
      <c r="Z93" s="36">
        <f t="shared" si="36"/>
        <v>20.664999999999999</v>
      </c>
      <c r="AA93" s="53"/>
      <c r="AB93" s="53"/>
      <c r="AC93" s="36">
        <f t="shared" si="37"/>
        <v>23.301262199999996</v>
      </c>
      <c r="AD93" s="36">
        <f t="shared" si="38"/>
        <v>22.866445500000001</v>
      </c>
      <c r="AE93" s="53"/>
      <c r="AF93" s="53"/>
      <c r="CD93" s="69">
        <v>2065</v>
      </c>
      <c r="CE93" s="54">
        <f t="shared" si="39"/>
        <v>18.549999999999997</v>
      </c>
      <c r="CF93" s="54">
        <f t="shared" si="40"/>
        <v>72.377174999999994</v>
      </c>
      <c r="CG93" s="69">
        <f t="shared" si="41"/>
        <v>670.25</v>
      </c>
      <c r="CH93" s="54">
        <f t="shared" si="42"/>
        <v>18.032499999999999</v>
      </c>
      <c r="CI93" s="54">
        <f t="shared" ref="CI93:CI98" si="44">X93</f>
        <v>72.845857499999994</v>
      </c>
      <c r="CJ93" s="69">
        <f t="shared" si="43"/>
        <v>586.75000000000011</v>
      </c>
    </row>
    <row r="94" spans="1:100">
      <c r="A94" s="35">
        <v>2066</v>
      </c>
      <c r="B94" s="47">
        <f t="shared" si="28"/>
        <v>2.1799999999999988</v>
      </c>
      <c r="C94" s="47">
        <f t="shared" si="28"/>
        <v>1.648000000000001</v>
      </c>
      <c r="D94" s="47">
        <f t="shared" si="28"/>
        <v>2.1799999999999988</v>
      </c>
      <c r="E94" s="47">
        <f t="shared" si="28"/>
        <v>1.6399999999999983</v>
      </c>
      <c r="F94" s="47">
        <f t="shared" si="28"/>
        <v>-2.3600000000000012</v>
      </c>
      <c r="G94" s="47">
        <f t="shared" si="28"/>
        <v>-1.7140000000000013</v>
      </c>
      <c r="H94" s="47">
        <f t="shared" si="28"/>
        <v>1.8380000000000005</v>
      </c>
      <c r="I94" s="47">
        <f t="shared" si="28"/>
        <v>1.3859999999999986</v>
      </c>
      <c r="J94" s="47">
        <f t="shared" si="28"/>
        <v>0</v>
      </c>
      <c r="K94" s="47">
        <f t="shared" si="28"/>
        <v>0</v>
      </c>
      <c r="L94" s="47">
        <f t="shared" si="28"/>
        <v>1.8391635399999977</v>
      </c>
      <c r="M94" s="47">
        <f t="shared" si="28"/>
        <v>1.3872712800000002</v>
      </c>
      <c r="N94" s="47">
        <f t="shared" si="28"/>
        <v>0</v>
      </c>
      <c r="O94" s="47">
        <f t="shared" si="28"/>
        <v>0</v>
      </c>
      <c r="Q94" s="36">
        <v>678</v>
      </c>
      <c r="R94" s="36">
        <v>590.60000000000014</v>
      </c>
      <c r="S94" s="36">
        <f t="shared" si="29"/>
        <v>18.579999999999998</v>
      </c>
      <c r="T94" s="36">
        <f t="shared" si="30"/>
        <v>18.047999999999998</v>
      </c>
      <c r="U94" s="36">
        <f t="shared" si="31"/>
        <v>1117.8491999999999</v>
      </c>
      <c r="V94" s="36">
        <f t="shared" si="32"/>
        <v>1111.9415999999999</v>
      </c>
      <c r="W94" s="36">
        <f t="shared" si="33"/>
        <v>72.35123999999999</v>
      </c>
      <c r="X94" s="36">
        <f t="shared" si="34"/>
        <v>72.829926</v>
      </c>
      <c r="Y94" s="36">
        <f t="shared" si="35"/>
        <v>21.138000000000002</v>
      </c>
      <c r="Z94" s="36">
        <f t="shared" si="36"/>
        <v>20.686</v>
      </c>
      <c r="AA94" s="53"/>
      <c r="AB94" s="53"/>
      <c r="AC94" s="36">
        <f t="shared" si="37"/>
        <v>23.339163539999998</v>
      </c>
      <c r="AD94" s="36">
        <f t="shared" si="38"/>
        <v>22.88727128</v>
      </c>
      <c r="AE94" s="53"/>
      <c r="AF94" s="53"/>
      <c r="CD94" s="69">
        <v>2066</v>
      </c>
      <c r="CE94" s="54">
        <f t="shared" si="39"/>
        <v>18.579999999999998</v>
      </c>
      <c r="CF94" s="54">
        <f t="shared" si="40"/>
        <v>72.35123999999999</v>
      </c>
      <c r="CG94" s="69">
        <f t="shared" si="41"/>
        <v>678</v>
      </c>
      <c r="CH94" s="54">
        <f t="shared" si="42"/>
        <v>18.047999999999998</v>
      </c>
      <c r="CI94" s="54">
        <f t="shared" si="44"/>
        <v>72.829926</v>
      </c>
      <c r="CJ94" s="69">
        <f t="shared" si="43"/>
        <v>590.60000000000014</v>
      </c>
    </row>
    <row r="95" spans="1:100">
      <c r="A95" s="35">
        <v>2067</v>
      </c>
      <c r="B95" s="47">
        <f t="shared" ref="B95:O97" si="45">(B$9-B$8)/COUNT($A$78:$A$97)+B94</f>
        <v>2.2099999999999986</v>
      </c>
      <c r="C95" s="47">
        <f t="shared" si="45"/>
        <v>1.6635000000000011</v>
      </c>
      <c r="D95" s="47">
        <f t="shared" si="45"/>
        <v>2.2099999999999986</v>
      </c>
      <c r="E95" s="47">
        <f t="shared" si="45"/>
        <v>1.6549999999999983</v>
      </c>
      <c r="F95" s="47">
        <f t="shared" si="45"/>
        <v>-2.3950000000000014</v>
      </c>
      <c r="G95" s="47">
        <f t="shared" si="45"/>
        <v>-1.7355000000000014</v>
      </c>
      <c r="H95" s="47">
        <f t="shared" si="45"/>
        <v>1.8760000000000006</v>
      </c>
      <c r="I95" s="47">
        <f t="shared" si="45"/>
        <v>1.4069999999999985</v>
      </c>
      <c r="J95" s="47">
        <f t="shared" si="45"/>
        <v>0</v>
      </c>
      <c r="K95" s="47">
        <f t="shared" si="45"/>
        <v>0</v>
      </c>
      <c r="L95" s="47">
        <f t="shared" si="45"/>
        <v>1.8770648799999976</v>
      </c>
      <c r="M95" s="47">
        <f t="shared" si="45"/>
        <v>1.4080970600000005</v>
      </c>
      <c r="N95" s="47">
        <f t="shared" si="45"/>
        <v>0</v>
      </c>
      <c r="O95" s="47">
        <f t="shared" si="45"/>
        <v>0</v>
      </c>
      <c r="Q95" s="36">
        <v>685.75</v>
      </c>
      <c r="R95" s="36">
        <v>594.45000000000016</v>
      </c>
      <c r="S95" s="36">
        <f t="shared" si="29"/>
        <v>18.609999999999996</v>
      </c>
      <c r="T95" s="36">
        <f t="shared" si="30"/>
        <v>18.063500000000001</v>
      </c>
      <c r="U95" s="36">
        <f t="shared" si="31"/>
        <v>1118.1774</v>
      </c>
      <c r="V95" s="36">
        <f t="shared" si="32"/>
        <v>1112.1057000000001</v>
      </c>
      <c r="W95" s="36">
        <f t="shared" si="33"/>
        <v>72.325305</v>
      </c>
      <c r="X95" s="36">
        <f t="shared" si="34"/>
        <v>72.813994499999993</v>
      </c>
      <c r="Y95" s="36">
        <f t="shared" si="35"/>
        <v>21.176000000000002</v>
      </c>
      <c r="Z95" s="36">
        <f t="shared" si="36"/>
        <v>20.707000000000001</v>
      </c>
      <c r="AA95" s="53"/>
      <c r="AB95" s="53"/>
      <c r="AC95" s="36">
        <f t="shared" si="37"/>
        <v>23.377064879999999</v>
      </c>
      <c r="AD95" s="36">
        <f t="shared" si="38"/>
        <v>22.908097059999999</v>
      </c>
      <c r="AE95" s="53"/>
      <c r="AF95" s="53"/>
      <c r="CD95" s="69">
        <v>2067</v>
      </c>
      <c r="CE95" s="54">
        <f t="shared" si="39"/>
        <v>18.609999999999996</v>
      </c>
      <c r="CF95" s="54">
        <f t="shared" si="40"/>
        <v>72.325305</v>
      </c>
      <c r="CG95" s="69">
        <f t="shared" si="41"/>
        <v>685.75</v>
      </c>
      <c r="CH95" s="54">
        <f t="shared" si="42"/>
        <v>18.063500000000001</v>
      </c>
      <c r="CI95" s="54">
        <f t="shared" si="44"/>
        <v>72.813994499999993</v>
      </c>
      <c r="CJ95" s="69">
        <f t="shared" si="43"/>
        <v>594.45000000000016</v>
      </c>
    </row>
    <row r="96" spans="1:100">
      <c r="A96" s="35">
        <v>2068</v>
      </c>
      <c r="B96" s="47">
        <f t="shared" si="45"/>
        <v>2.2399999999999984</v>
      </c>
      <c r="C96" s="47">
        <f t="shared" si="45"/>
        <v>1.6790000000000012</v>
      </c>
      <c r="D96" s="47">
        <f t="shared" si="45"/>
        <v>2.2399999999999984</v>
      </c>
      <c r="E96" s="47">
        <f t="shared" si="45"/>
        <v>1.6699999999999982</v>
      </c>
      <c r="F96" s="47">
        <f t="shared" si="45"/>
        <v>-2.4300000000000015</v>
      </c>
      <c r="G96" s="47">
        <f t="shared" si="45"/>
        <v>-1.7570000000000014</v>
      </c>
      <c r="H96" s="47">
        <f t="shared" si="45"/>
        <v>1.9140000000000006</v>
      </c>
      <c r="I96" s="47">
        <f t="shared" si="45"/>
        <v>1.4279999999999984</v>
      </c>
      <c r="J96" s="47">
        <f t="shared" si="45"/>
        <v>0</v>
      </c>
      <c r="K96" s="47">
        <f t="shared" si="45"/>
        <v>0</v>
      </c>
      <c r="L96" s="47">
        <f t="shared" si="45"/>
        <v>1.9149662199999975</v>
      </c>
      <c r="M96" s="47">
        <f t="shared" si="45"/>
        <v>1.4289228400000007</v>
      </c>
      <c r="N96" s="47">
        <f t="shared" si="45"/>
        <v>0</v>
      </c>
      <c r="O96" s="47">
        <f t="shared" si="45"/>
        <v>0</v>
      </c>
      <c r="Q96" s="36">
        <v>693.5</v>
      </c>
      <c r="R96" s="36">
        <v>598.30000000000018</v>
      </c>
      <c r="S96" s="36">
        <f t="shared" si="29"/>
        <v>18.639999999999997</v>
      </c>
      <c r="T96" s="36">
        <f t="shared" si="30"/>
        <v>18.079000000000001</v>
      </c>
      <c r="U96" s="36">
        <f t="shared" si="31"/>
        <v>1118.5056</v>
      </c>
      <c r="V96" s="36">
        <f t="shared" si="32"/>
        <v>1112.2698</v>
      </c>
      <c r="W96" s="36">
        <f t="shared" si="33"/>
        <v>72.299369999999996</v>
      </c>
      <c r="X96" s="36">
        <f t="shared" si="34"/>
        <v>72.798062999999999</v>
      </c>
      <c r="Y96" s="36">
        <f t="shared" si="35"/>
        <v>21.214000000000002</v>
      </c>
      <c r="Z96" s="36">
        <f t="shared" si="36"/>
        <v>20.727999999999998</v>
      </c>
      <c r="AA96" s="53"/>
      <c r="AB96" s="53"/>
      <c r="AC96" s="36">
        <f t="shared" si="37"/>
        <v>23.414966219999997</v>
      </c>
      <c r="AD96" s="36">
        <f t="shared" si="38"/>
        <v>22.928922840000002</v>
      </c>
      <c r="AE96" s="53"/>
      <c r="AF96" s="53"/>
      <c r="CD96" s="69">
        <v>2068</v>
      </c>
      <c r="CE96" s="54">
        <f t="shared" si="39"/>
        <v>18.639999999999997</v>
      </c>
      <c r="CF96" s="54">
        <f t="shared" si="40"/>
        <v>72.299369999999996</v>
      </c>
      <c r="CG96" s="69">
        <f t="shared" si="41"/>
        <v>693.5</v>
      </c>
      <c r="CH96" s="54">
        <f t="shared" si="42"/>
        <v>18.079000000000001</v>
      </c>
      <c r="CI96" s="54">
        <f t="shared" si="44"/>
        <v>72.798062999999999</v>
      </c>
      <c r="CJ96" s="69">
        <f t="shared" si="43"/>
        <v>598.30000000000018</v>
      </c>
    </row>
    <row r="97" spans="1:100">
      <c r="A97" s="35">
        <v>2069</v>
      </c>
      <c r="B97" s="47">
        <f t="shared" si="45"/>
        <v>2.2699999999999982</v>
      </c>
      <c r="C97" s="47">
        <f t="shared" si="45"/>
        <v>1.6945000000000012</v>
      </c>
      <c r="D97" s="47">
        <f t="shared" si="45"/>
        <v>2.2699999999999982</v>
      </c>
      <c r="E97" s="47">
        <f t="shared" si="45"/>
        <v>1.6849999999999981</v>
      </c>
      <c r="F97" s="47">
        <f t="shared" si="45"/>
        <v>-2.4650000000000016</v>
      </c>
      <c r="G97" s="47">
        <f t="shared" si="45"/>
        <v>-1.7785000000000015</v>
      </c>
      <c r="H97" s="47">
        <f t="shared" si="45"/>
        <v>1.9520000000000006</v>
      </c>
      <c r="I97" s="47">
        <f t="shared" si="45"/>
        <v>1.4489999999999983</v>
      </c>
      <c r="J97" s="47">
        <f t="shared" si="45"/>
        <v>0</v>
      </c>
      <c r="K97" s="47">
        <f t="shared" si="45"/>
        <v>0</v>
      </c>
      <c r="L97" s="47">
        <f t="shared" si="45"/>
        <v>1.9528675599999974</v>
      </c>
      <c r="M97" s="47">
        <f t="shared" si="45"/>
        <v>1.4497486200000009</v>
      </c>
      <c r="N97" s="47">
        <f t="shared" si="45"/>
        <v>0</v>
      </c>
      <c r="O97" s="47">
        <f t="shared" si="45"/>
        <v>0</v>
      </c>
      <c r="Q97" s="36">
        <v>701.25</v>
      </c>
      <c r="R97" s="36">
        <v>602.1500000000002</v>
      </c>
      <c r="S97" s="36">
        <f t="shared" si="29"/>
        <v>18.669999999999998</v>
      </c>
      <c r="T97" s="36">
        <f t="shared" si="30"/>
        <v>18.0945</v>
      </c>
      <c r="U97" s="36">
        <f t="shared" si="31"/>
        <v>1118.8337999999999</v>
      </c>
      <c r="V97" s="36">
        <f t="shared" si="32"/>
        <v>1112.4339</v>
      </c>
      <c r="W97" s="36">
        <f t="shared" si="33"/>
        <v>72.273434999999992</v>
      </c>
      <c r="X97" s="36">
        <f t="shared" si="34"/>
        <v>72.782131499999991</v>
      </c>
      <c r="Y97" s="36">
        <f t="shared" si="35"/>
        <v>21.252000000000002</v>
      </c>
      <c r="Z97" s="36">
        <f t="shared" si="36"/>
        <v>20.748999999999999</v>
      </c>
      <c r="AA97" s="53"/>
      <c r="AB97" s="53"/>
      <c r="AC97" s="36">
        <f t="shared" si="37"/>
        <v>23.452867559999998</v>
      </c>
      <c r="AD97" s="36">
        <f t="shared" si="38"/>
        <v>22.949748620000001</v>
      </c>
      <c r="AE97" s="53"/>
      <c r="AF97" s="53"/>
      <c r="CD97" s="69">
        <v>2069</v>
      </c>
      <c r="CE97" s="54">
        <f t="shared" si="39"/>
        <v>18.669999999999998</v>
      </c>
      <c r="CF97" s="54">
        <f t="shared" si="40"/>
        <v>72.273434999999992</v>
      </c>
      <c r="CG97" s="69">
        <f t="shared" si="41"/>
        <v>701.25</v>
      </c>
      <c r="CH97" s="54">
        <f t="shared" si="42"/>
        <v>18.0945</v>
      </c>
      <c r="CI97" s="54">
        <f t="shared" si="44"/>
        <v>72.782131499999991</v>
      </c>
      <c r="CJ97" s="69">
        <f t="shared" si="43"/>
        <v>602.1500000000002</v>
      </c>
    </row>
    <row r="98" spans="1:100">
      <c r="A98" s="35">
        <v>2070</v>
      </c>
      <c r="B98" s="47">
        <f t="shared" ref="B98:O98" si="46">B$9</f>
        <v>2.2999999999999998</v>
      </c>
      <c r="C98" s="47">
        <f t="shared" si="46"/>
        <v>1.71</v>
      </c>
      <c r="D98" s="47">
        <f t="shared" si="46"/>
        <v>2.2999999999999998</v>
      </c>
      <c r="E98" s="47">
        <f t="shared" si="46"/>
        <v>1.7</v>
      </c>
      <c r="F98" s="47">
        <f t="shared" si="46"/>
        <v>-2.5</v>
      </c>
      <c r="G98" s="47">
        <f t="shared" si="46"/>
        <v>-1.8</v>
      </c>
      <c r="H98" s="47">
        <f t="shared" si="46"/>
        <v>1.99</v>
      </c>
      <c r="I98" s="47">
        <f t="shared" si="46"/>
        <v>1.47</v>
      </c>
      <c r="J98" s="47">
        <f t="shared" si="46"/>
        <v>0</v>
      </c>
      <c r="K98" s="47">
        <f t="shared" si="46"/>
        <v>0</v>
      </c>
      <c r="L98" s="47">
        <f t="shared" si="46"/>
        <v>1.9907688999999991</v>
      </c>
      <c r="M98" s="47">
        <f t="shared" si="46"/>
        <v>1.4705744000000003</v>
      </c>
      <c r="N98" s="47">
        <f t="shared" si="46"/>
        <v>0</v>
      </c>
      <c r="O98" s="47">
        <f t="shared" si="46"/>
        <v>0</v>
      </c>
      <c r="Q98" s="36">
        <v>709</v>
      </c>
      <c r="R98" s="36">
        <v>606</v>
      </c>
      <c r="S98" s="36">
        <f t="shared" si="29"/>
        <v>18.7</v>
      </c>
      <c r="T98" s="36">
        <f t="shared" si="30"/>
        <v>18.11</v>
      </c>
      <c r="U98" s="36">
        <f t="shared" si="31"/>
        <v>1119.162</v>
      </c>
      <c r="V98" s="36">
        <f t="shared" si="32"/>
        <v>1112.598</v>
      </c>
      <c r="W98" s="36">
        <f t="shared" si="33"/>
        <v>72.247499999999988</v>
      </c>
      <c r="X98" s="36">
        <f t="shared" si="34"/>
        <v>72.766199999999998</v>
      </c>
      <c r="Y98" s="36">
        <f t="shared" si="35"/>
        <v>21.29</v>
      </c>
      <c r="Z98" s="36">
        <f t="shared" si="36"/>
        <v>20.77</v>
      </c>
      <c r="AA98" s="53"/>
      <c r="AB98" s="53"/>
      <c r="AC98" s="36">
        <f t="shared" si="37"/>
        <v>23.490768899999999</v>
      </c>
      <c r="AD98" s="36">
        <f t="shared" si="38"/>
        <v>22.9705744</v>
      </c>
      <c r="AE98" s="53"/>
      <c r="AF98" s="53"/>
      <c r="CD98" s="69">
        <v>2070</v>
      </c>
      <c r="CE98" s="54">
        <f t="shared" si="39"/>
        <v>18.7</v>
      </c>
      <c r="CF98" s="54">
        <f t="shared" si="40"/>
        <v>72.247499999999988</v>
      </c>
      <c r="CG98" s="69">
        <f t="shared" si="41"/>
        <v>709</v>
      </c>
      <c r="CH98" s="54">
        <f t="shared" si="42"/>
        <v>18.11</v>
      </c>
      <c r="CI98" s="54">
        <f t="shared" si="44"/>
        <v>72.766199999999998</v>
      </c>
      <c r="CJ98" s="69">
        <f t="shared" si="43"/>
        <v>606</v>
      </c>
    </row>
    <row r="99" spans="1:100" s="43" customFormat="1">
      <c r="A99" s="56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69"/>
      <c r="O99" s="69"/>
      <c r="P99" s="69"/>
      <c r="Q99" s="35"/>
      <c r="R99" s="35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</row>
    <row r="100" spans="1:100" s="43" customFormat="1">
      <c r="A100" s="56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69"/>
      <c r="O100" s="69"/>
      <c r="P100" s="69"/>
      <c r="Q100" s="35"/>
      <c r="R100" s="35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  <c r="CT100" s="69"/>
      <c r="CU100" s="69"/>
      <c r="CV100" s="69"/>
    </row>
    <row r="101" spans="1:100" s="43" customFormat="1">
      <c r="A101" s="56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69"/>
      <c r="O101" s="69"/>
      <c r="P101" s="69"/>
      <c r="Q101" s="35"/>
      <c r="R101" s="35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  <c r="CT101" s="69"/>
      <c r="CU101" s="69"/>
      <c r="CV101" s="69"/>
    </row>
    <row r="102" spans="1:100" s="43" customFormat="1">
      <c r="A102" s="56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69"/>
      <c r="O102" s="69"/>
      <c r="P102" s="69"/>
      <c r="Q102" s="35"/>
      <c r="R102" s="35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</row>
    <row r="103" spans="1:100" s="43" customFormat="1">
      <c r="A103" s="56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69"/>
      <c r="O103" s="69"/>
      <c r="P103" s="69"/>
      <c r="Q103" s="35"/>
      <c r="R103" s="35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</row>
    <row r="104" spans="1:100" s="43" customFormat="1">
      <c r="A104" s="56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69"/>
      <c r="O104" s="69"/>
      <c r="P104" s="69"/>
      <c r="Q104" s="35"/>
      <c r="R104" s="35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  <c r="CT104" s="69"/>
      <c r="CU104" s="69"/>
      <c r="CV104" s="69"/>
    </row>
    <row r="105" spans="1:100" s="43" customFormat="1">
      <c r="A105" s="56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69"/>
      <c r="O105" s="69"/>
      <c r="P105" s="69"/>
      <c r="Q105" s="35"/>
      <c r="R105" s="35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  <c r="BY105" s="69"/>
      <c r="BZ105" s="69"/>
      <c r="CA105" s="69"/>
      <c r="CB105" s="69"/>
      <c r="CC105" s="69"/>
      <c r="CD105" s="69"/>
      <c r="CE105" s="69"/>
      <c r="CF105" s="69"/>
      <c r="CG105" s="69"/>
      <c r="CH105" s="69"/>
      <c r="CI105" s="69"/>
      <c r="CJ105" s="69"/>
      <c r="CK105" s="69"/>
      <c r="CL105" s="69"/>
      <c r="CM105" s="69"/>
      <c r="CN105" s="69"/>
      <c r="CO105" s="69"/>
      <c r="CP105" s="69"/>
      <c r="CQ105" s="69"/>
      <c r="CR105" s="69"/>
      <c r="CS105" s="69"/>
      <c r="CT105" s="69"/>
      <c r="CU105" s="69"/>
      <c r="CV105" s="69"/>
    </row>
    <row r="106" spans="1:100" s="43" customFormat="1">
      <c r="A106" s="56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69"/>
      <c r="O106" s="69"/>
      <c r="P106" s="69"/>
      <c r="Q106" s="35"/>
      <c r="R106" s="35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BN106" s="69"/>
      <c r="BO106" s="69"/>
      <c r="BP106" s="69"/>
      <c r="BQ106" s="69"/>
      <c r="BR106" s="69"/>
      <c r="BS106" s="69"/>
      <c r="BT106" s="69"/>
      <c r="BU106" s="69"/>
      <c r="BV106" s="69"/>
      <c r="BW106" s="69"/>
      <c r="BX106" s="69"/>
      <c r="BY106" s="69"/>
      <c r="BZ106" s="69"/>
      <c r="CA106" s="69"/>
      <c r="CB106" s="69"/>
      <c r="CC106" s="69"/>
      <c r="CD106" s="69"/>
      <c r="CE106" s="69"/>
      <c r="CF106" s="69"/>
      <c r="CG106" s="69"/>
      <c r="CH106" s="69"/>
      <c r="CI106" s="69"/>
      <c r="CJ106" s="69"/>
      <c r="CK106" s="69"/>
      <c r="CL106" s="69"/>
      <c r="CM106" s="69"/>
      <c r="CN106" s="69"/>
      <c r="CO106" s="69"/>
      <c r="CP106" s="69"/>
      <c r="CQ106" s="69"/>
      <c r="CR106" s="69"/>
      <c r="CS106" s="69"/>
      <c r="CT106" s="69"/>
      <c r="CU106" s="69"/>
      <c r="CV106" s="69"/>
    </row>
    <row r="107" spans="1:100" s="43" customFormat="1">
      <c r="A107" s="56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69"/>
      <c r="O107" s="69"/>
      <c r="P107" s="69"/>
      <c r="Q107" s="35"/>
      <c r="R107" s="35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BN107" s="69"/>
      <c r="BO107" s="69"/>
      <c r="BP107" s="69"/>
      <c r="BQ107" s="69"/>
      <c r="BR107" s="69"/>
      <c r="BS107" s="69"/>
      <c r="BT107" s="69"/>
      <c r="BU107" s="69"/>
      <c r="BV107" s="69"/>
      <c r="BW107" s="69"/>
      <c r="BX107" s="69"/>
      <c r="BY107" s="69"/>
      <c r="BZ107" s="69"/>
      <c r="CA107" s="69"/>
      <c r="CB107" s="69"/>
      <c r="CC107" s="69"/>
      <c r="CD107" s="69"/>
      <c r="CE107" s="69"/>
      <c r="CF107" s="69"/>
      <c r="CG107" s="69"/>
      <c r="CH107" s="69"/>
      <c r="CI107" s="69"/>
      <c r="CJ107" s="69"/>
      <c r="CK107" s="69"/>
      <c r="CL107" s="69"/>
      <c r="CM107" s="69"/>
      <c r="CN107" s="69"/>
      <c r="CO107" s="69"/>
      <c r="CP107" s="69"/>
      <c r="CQ107" s="69"/>
      <c r="CR107" s="69"/>
      <c r="CS107" s="69"/>
      <c r="CT107" s="69"/>
      <c r="CU107" s="69"/>
      <c r="CV107" s="69"/>
    </row>
    <row r="108" spans="1:100" s="43" customFormat="1">
      <c r="A108" s="56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69"/>
      <c r="O108" s="69"/>
      <c r="P108" s="69"/>
      <c r="Q108" s="35"/>
      <c r="R108" s="35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BN108" s="69"/>
      <c r="BO108" s="69"/>
      <c r="BP108" s="69"/>
      <c r="BQ108" s="69"/>
      <c r="BR108" s="69"/>
      <c r="BS108" s="69"/>
      <c r="BT108" s="69"/>
      <c r="BU108" s="69"/>
      <c r="BV108" s="69"/>
      <c r="BW108" s="69"/>
      <c r="BX108" s="69"/>
      <c r="BY108" s="69"/>
      <c r="BZ108" s="69"/>
      <c r="CA108" s="69"/>
      <c r="CB108" s="69"/>
      <c r="CC108" s="69"/>
      <c r="CD108" s="69"/>
      <c r="CE108" s="69"/>
      <c r="CF108" s="69"/>
      <c r="CG108" s="69"/>
      <c r="CH108" s="69"/>
      <c r="CI108" s="69"/>
      <c r="CJ108" s="69"/>
      <c r="CK108" s="69"/>
      <c r="CL108" s="69"/>
      <c r="CM108" s="69"/>
      <c r="CN108" s="69"/>
      <c r="CO108" s="69"/>
      <c r="CP108" s="69"/>
      <c r="CQ108" s="69"/>
      <c r="CR108" s="69"/>
      <c r="CS108" s="69"/>
      <c r="CT108" s="69"/>
      <c r="CU108" s="69"/>
      <c r="CV108" s="69"/>
    </row>
    <row r="109" spans="1:100" s="43" customFormat="1">
      <c r="A109" s="56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69"/>
      <c r="O109" s="69"/>
      <c r="P109" s="69"/>
      <c r="Q109" s="35"/>
      <c r="R109" s="35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CS109" s="69"/>
      <c r="CT109" s="69"/>
      <c r="CU109" s="69"/>
      <c r="CV109" s="69"/>
    </row>
    <row r="110" spans="1:100" s="43" customFormat="1">
      <c r="A110" s="56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69"/>
      <c r="O110" s="69"/>
      <c r="P110" s="69"/>
      <c r="Q110" s="35"/>
      <c r="R110" s="35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CS110" s="69"/>
      <c r="CT110" s="69"/>
      <c r="CU110" s="69"/>
      <c r="CV110" s="69"/>
    </row>
    <row r="111" spans="1:100" s="43" customFormat="1">
      <c r="A111" s="56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69"/>
      <c r="O111" s="69"/>
      <c r="P111" s="69"/>
      <c r="Q111" s="35"/>
      <c r="R111" s="35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CS111" s="69"/>
      <c r="CT111" s="69"/>
      <c r="CU111" s="69"/>
      <c r="CV111" s="69"/>
    </row>
    <row r="112" spans="1:100" s="43" customFormat="1">
      <c r="A112" s="56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69"/>
      <c r="O112" s="69"/>
      <c r="P112" s="69"/>
      <c r="Q112" s="35"/>
      <c r="R112" s="35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CS112" s="69"/>
      <c r="CT112" s="69"/>
      <c r="CU112" s="69"/>
      <c r="CV112" s="69"/>
    </row>
    <row r="113" spans="1:100" s="43" customFormat="1">
      <c r="A113" s="56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69"/>
      <c r="O113" s="69"/>
      <c r="P113" s="69"/>
      <c r="Q113" s="35"/>
      <c r="R113" s="35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CS113" s="69"/>
      <c r="CT113" s="69"/>
      <c r="CU113" s="69"/>
      <c r="CV113" s="69"/>
    </row>
    <row r="114" spans="1:100" s="43" customFormat="1">
      <c r="A114" s="56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69"/>
      <c r="O114" s="69"/>
      <c r="P114" s="69"/>
      <c r="Q114" s="35"/>
      <c r="R114" s="35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CS114" s="69"/>
      <c r="CT114" s="69"/>
      <c r="CU114" s="69"/>
      <c r="CV114" s="69"/>
    </row>
    <row r="115" spans="1:100" s="43" customFormat="1">
      <c r="A115" s="56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69"/>
      <c r="O115" s="69"/>
      <c r="P115" s="69"/>
      <c r="Q115" s="35"/>
      <c r="R115" s="35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CS115" s="69"/>
      <c r="CT115" s="69"/>
      <c r="CU115" s="69"/>
      <c r="CV115" s="69"/>
    </row>
    <row r="116" spans="1:100" s="43" customFormat="1">
      <c r="A116" s="56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69"/>
      <c r="O116" s="69"/>
      <c r="P116" s="69"/>
      <c r="Q116" s="35"/>
      <c r="R116" s="35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CS116" s="69"/>
      <c r="CT116" s="69"/>
      <c r="CU116" s="69"/>
      <c r="CV116" s="69"/>
    </row>
    <row r="117" spans="1:100" s="43" customFormat="1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69"/>
      <c r="O117" s="69"/>
      <c r="P117" s="69"/>
      <c r="Q117" s="35"/>
      <c r="R117" s="35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CS117" s="69"/>
      <c r="CT117" s="69"/>
      <c r="CU117" s="69"/>
      <c r="CV117" s="69"/>
    </row>
    <row r="118" spans="1:100" s="43" customFormat="1">
      <c r="A118" s="56"/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69"/>
      <c r="O118" s="69"/>
      <c r="P118" s="69"/>
      <c r="Q118" s="35"/>
      <c r="R118" s="35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CS118" s="69"/>
      <c r="CT118" s="69"/>
      <c r="CU118" s="69"/>
      <c r="CV118" s="69"/>
    </row>
    <row r="119" spans="1:100" s="43" customFormat="1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69"/>
      <c r="O119" s="69"/>
      <c r="P119" s="69"/>
      <c r="Q119" s="35"/>
      <c r="R119" s="35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CS119" s="69"/>
      <c r="CT119" s="69"/>
      <c r="CU119" s="69"/>
      <c r="CV119" s="69"/>
    </row>
    <row r="120" spans="1:100" s="43" customFormat="1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69"/>
      <c r="O120" s="69"/>
      <c r="P120" s="69"/>
      <c r="Q120" s="35"/>
      <c r="R120" s="35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CS120" s="69"/>
      <c r="CT120" s="69"/>
      <c r="CU120" s="69"/>
      <c r="CV120" s="69"/>
    </row>
    <row r="121" spans="1:100" s="43" customFormat="1">
      <c r="A121" s="56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69"/>
      <c r="O121" s="69"/>
      <c r="P121" s="69"/>
      <c r="Q121" s="35"/>
      <c r="R121" s="35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CS121" s="69"/>
      <c r="CT121" s="69"/>
      <c r="CU121" s="69"/>
      <c r="CV121" s="69"/>
    </row>
    <row r="122" spans="1:100" s="43" customFormat="1">
      <c r="A122" s="56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69"/>
      <c r="O122" s="69"/>
      <c r="P122" s="69"/>
      <c r="Q122" s="35"/>
      <c r="R122" s="35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CS122" s="69"/>
      <c r="CT122" s="69"/>
      <c r="CU122" s="69"/>
      <c r="CV122" s="69"/>
    </row>
    <row r="123" spans="1:100" s="43" customFormat="1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69"/>
      <c r="O123" s="69"/>
      <c r="P123" s="69"/>
      <c r="Q123" s="35"/>
      <c r="R123" s="35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CS123" s="69"/>
      <c r="CT123" s="69"/>
      <c r="CU123" s="69"/>
      <c r="CV123" s="69"/>
    </row>
    <row r="124" spans="1:100" s="43" customFormat="1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69"/>
      <c r="O124" s="69"/>
      <c r="P124" s="69"/>
      <c r="Q124" s="35"/>
      <c r="R124" s="35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CS124" s="69"/>
      <c r="CT124" s="69"/>
      <c r="CU124" s="69"/>
      <c r="CV124" s="69"/>
    </row>
    <row r="125" spans="1:100" s="43" customFormat="1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69"/>
      <c r="O125" s="69"/>
      <c r="P125" s="69"/>
      <c r="Q125" s="35"/>
      <c r="R125" s="35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CS125" s="69"/>
      <c r="CT125" s="69"/>
      <c r="CU125" s="69"/>
      <c r="CV125" s="69"/>
    </row>
    <row r="126" spans="1:100" s="43" customFormat="1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69"/>
      <c r="O126" s="69"/>
      <c r="P126" s="69"/>
      <c r="Q126" s="35"/>
      <c r="R126" s="35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CS126" s="69"/>
      <c r="CT126" s="69"/>
      <c r="CU126" s="69"/>
      <c r="CV126" s="69"/>
    </row>
    <row r="127" spans="1:100" s="43" customFormat="1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69"/>
      <c r="O127" s="69"/>
      <c r="P127" s="69"/>
      <c r="Q127" s="35"/>
      <c r="R127" s="35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CS127" s="69"/>
      <c r="CT127" s="69"/>
      <c r="CU127" s="69"/>
      <c r="CV127" s="69"/>
    </row>
    <row r="128" spans="1:100" s="43" customFormat="1">
      <c r="A128" s="56"/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69"/>
      <c r="O128" s="69"/>
      <c r="P128" s="69"/>
      <c r="Q128" s="35"/>
      <c r="R128" s="35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CS128" s="69"/>
      <c r="CT128" s="69"/>
      <c r="CU128" s="69"/>
      <c r="CV128" s="69"/>
    </row>
  </sheetData>
  <mergeCells count="39"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</mergeCells>
  <pageMargins left="0.7" right="0.7" top="0.75" bottom="0.75" header="0.3" footer="0.3"/>
  <pageSetup paperSize="8" scale="3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0">
    <pageSetUpPr fitToPage="1"/>
  </sheetPr>
  <dimension ref="A1:CV128"/>
  <sheetViews>
    <sheetView workbookViewId="0">
      <selection activeCell="F24" sqref="F24"/>
    </sheetView>
  </sheetViews>
  <sheetFormatPr defaultRowHeight="15" outlineLevelCol="1"/>
  <cols>
    <col min="1" max="1" width="9.140625" style="69"/>
    <col min="2" max="15" width="14.28515625" style="69" customWidth="1"/>
    <col min="16" max="16" width="10.7109375" style="69" customWidth="1"/>
    <col min="17" max="18" width="9.140625" style="69" customWidth="1"/>
    <col min="19" max="73" width="9.140625" style="69"/>
    <col min="74" max="74" width="9.140625" style="69" collapsed="1"/>
    <col min="75" max="81" width="9.140625" style="69"/>
    <col min="82" max="88" width="9.140625" style="69" hidden="1" customWidth="1" outlineLevel="1"/>
    <col min="89" max="89" width="9.140625" style="69" collapsed="1"/>
    <col min="90" max="16384" width="9.140625" style="69"/>
  </cols>
  <sheetData>
    <row r="1" spans="1:34">
      <c r="A1" s="69" t="s">
        <v>179</v>
      </c>
      <c r="B1" s="69" t="s">
        <v>132</v>
      </c>
    </row>
    <row r="2" spans="1:34">
      <c r="AH2" s="69" t="str">
        <f>Baseline!B1</f>
        <v>Port Kembla</v>
      </c>
    </row>
    <row r="3" spans="1:34" ht="18">
      <c r="B3" s="106" t="s">
        <v>180</v>
      </c>
      <c r="C3" s="106"/>
      <c r="D3" s="106" t="s">
        <v>181</v>
      </c>
      <c r="E3" s="106"/>
      <c r="F3" s="106" t="s">
        <v>182</v>
      </c>
      <c r="G3" s="106"/>
      <c r="H3" s="106" t="s">
        <v>183</v>
      </c>
      <c r="I3" s="106"/>
      <c r="J3" s="106" t="s">
        <v>184</v>
      </c>
      <c r="K3" s="106"/>
      <c r="L3" s="106" t="s">
        <v>185</v>
      </c>
      <c r="M3" s="106"/>
      <c r="N3" s="106" t="s">
        <v>186</v>
      </c>
      <c r="O3" s="106"/>
      <c r="Q3" s="41" t="s">
        <v>138</v>
      </c>
      <c r="R3" s="41"/>
      <c r="AH3" s="69" t="str">
        <f>"Hotter &amp; Drier "&amp;(B1)</f>
        <v>Hotter &amp; Drier CSIRO Mk3.5</v>
      </c>
    </row>
    <row r="4" spans="1:34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>
      <c r="A5" s="69">
        <v>1990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/>
      <c r="K5" s="54"/>
      <c r="L5" s="54">
        <v>0</v>
      </c>
      <c r="M5" s="54">
        <v>0</v>
      </c>
      <c r="N5" s="54"/>
      <c r="O5" s="54"/>
      <c r="Q5" s="27">
        <v>352.5</v>
      </c>
      <c r="R5" s="27">
        <v>352.5</v>
      </c>
    </row>
    <row r="6" spans="1:34" s="43" customFormat="1">
      <c r="A6" s="70">
        <v>2010</v>
      </c>
      <c r="B6" s="71">
        <v>0.39999999999999997</v>
      </c>
      <c r="C6" s="71">
        <v>0.39999999999999997</v>
      </c>
      <c r="D6" s="71">
        <v>-1.4000000000000001</v>
      </c>
      <c r="E6" s="71">
        <v>-1.4666666666666668</v>
      </c>
      <c r="F6" s="71">
        <v>-0.8666666666666667</v>
      </c>
      <c r="G6" s="71">
        <v>-0.9</v>
      </c>
      <c r="H6" s="71">
        <v>0.3</v>
      </c>
      <c r="I6" s="71">
        <v>0.3</v>
      </c>
      <c r="J6" s="71"/>
      <c r="K6" s="71"/>
      <c r="L6" s="71">
        <v>0.28999999999999998</v>
      </c>
      <c r="M6" s="71">
        <v>0.3</v>
      </c>
      <c r="N6" s="71"/>
      <c r="O6" s="71"/>
      <c r="P6" s="69"/>
      <c r="Q6" s="44">
        <v>387.5</v>
      </c>
      <c r="R6" s="44">
        <v>389.5</v>
      </c>
    </row>
    <row r="7" spans="1:34">
      <c r="A7" s="69">
        <v>2030</v>
      </c>
      <c r="B7" s="45">
        <v>1.2</v>
      </c>
      <c r="C7" s="45">
        <v>1.2</v>
      </c>
      <c r="D7" s="33">
        <v>-4.2</v>
      </c>
      <c r="E7" s="33">
        <v>-4.4000000000000004</v>
      </c>
      <c r="F7" s="45">
        <v>-2.6</v>
      </c>
      <c r="G7" s="45">
        <v>-2.7</v>
      </c>
      <c r="H7" s="45">
        <v>0.9</v>
      </c>
      <c r="I7" s="45">
        <v>0.9</v>
      </c>
      <c r="J7" s="45"/>
      <c r="K7" s="45"/>
      <c r="L7" s="72">
        <v>0.87</v>
      </c>
      <c r="M7" s="72">
        <v>0.9</v>
      </c>
      <c r="N7" s="72"/>
      <c r="O7" s="72"/>
      <c r="Q7" s="27">
        <v>452</v>
      </c>
      <c r="R7" s="27">
        <v>450.5</v>
      </c>
    </row>
    <row r="8" spans="1:34">
      <c r="A8" s="69">
        <v>2050</v>
      </c>
      <c r="B8" s="45">
        <v>2.9</v>
      </c>
      <c r="C8" s="45">
        <v>2.2999999999999998</v>
      </c>
      <c r="D8" s="33">
        <v>-10.199999999999999</v>
      </c>
      <c r="E8" s="33">
        <v>-8.1999999999999993</v>
      </c>
      <c r="F8" s="45">
        <v>-6.3</v>
      </c>
      <c r="G8" s="45">
        <v>-5</v>
      </c>
      <c r="H8" s="45">
        <v>1.9</v>
      </c>
      <c r="I8" s="45">
        <v>1.6</v>
      </c>
      <c r="J8" s="33"/>
      <c r="K8" s="33"/>
      <c r="L8" s="72">
        <v>1.82</v>
      </c>
      <c r="M8" s="72">
        <v>1.53</v>
      </c>
      <c r="N8" s="72"/>
      <c r="O8" s="72"/>
      <c r="Q8" s="27">
        <v>561</v>
      </c>
      <c r="R8" s="27">
        <v>527</v>
      </c>
    </row>
    <row r="9" spans="1:34">
      <c r="A9" s="69">
        <v>2070</v>
      </c>
      <c r="B9" s="45">
        <v>4</v>
      </c>
      <c r="C9" s="45">
        <v>2.9</v>
      </c>
      <c r="D9" s="33">
        <v>-14.1</v>
      </c>
      <c r="E9" s="33">
        <v>-10.4</v>
      </c>
      <c r="F9" s="45">
        <v>-8.6999999999999993</v>
      </c>
      <c r="G9" s="45">
        <v>-6.4</v>
      </c>
      <c r="H9" s="45">
        <v>3</v>
      </c>
      <c r="I9" s="45">
        <v>2.2000000000000002</v>
      </c>
      <c r="J9" s="45"/>
      <c r="K9" s="45"/>
      <c r="L9" s="72">
        <v>2.93</v>
      </c>
      <c r="M9" s="72">
        <v>2.15</v>
      </c>
      <c r="N9" s="72"/>
      <c r="O9" s="72"/>
      <c r="Q9" s="27">
        <v>709</v>
      </c>
      <c r="R9" s="27">
        <v>606</v>
      </c>
    </row>
    <row r="10" spans="1:34"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Q10" s="27">
        <v>878.5</v>
      </c>
      <c r="R10" s="27">
        <v>679.5</v>
      </c>
    </row>
    <row r="11" spans="1:34"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Q11" s="27">
        <v>964</v>
      </c>
      <c r="R11" s="27">
        <v>710</v>
      </c>
    </row>
    <row r="12" spans="1:34">
      <c r="B12" s="34"/>
      <c r="Q12" s="69" t="s">
        <v>139</v>
      </c>
    </row>
    <row r="13" spans="1:34">
      <c r="AE13" s="73"/>
      <c r="AF13" s="73"/>
    </row>
    <row r="14" spans="1:34">
      <c r="A14" s="102" t="s">
        <v>90</v>
      </c>
      <c r="B14" s="102" t="s">
        <v>136</v>
      </c>
      <c r="C14" s="102"/>
      <c r="D14" s="103" t="s">
        <v>187</v>
      </c>
      <c r="E14" s="104"/>
      <c r="F14" s="102" t="s">
        <v>137</v>
      </c>
      <c r="G14" s="102"/>
      <c r="H14" s="103" t="s">
        <v>188</v>
      </c>
      <c r="I14" s="104"/>
      <c r="J14" s="103" t="s">
        <v>189</v>
      </c>
      <c r="K14" s="104"/>
      <c r="L14" s="102" t="s">
        <v>190</v>
      </c>
      <c r="M14" s="102"/>
      <c r="N14" s="102" t="s">
        <v>191</v>
      </c>
      <c r="O14" s="102"/>
      <c r="Q14" s="105" t="s">
        <v>140</v>
      </c>
      <c r="R14" s="105"/>
      <c r="S14" s="105"/>
      <c r="T14" s="105"/>
      <c r="U14" s="105"/>
      <c r="V14" s="105"/>
      <c r="W14" s="105"/>
      <c r="X14" s="105"/>
      <c r="Y14" s="68"/>
      <c r="Z14" s="68"/>
      <c r="AA14" s="68"/>
      <c r="AB14" s="68"/>
      <c r="AC14" s="68"/>
      <c r="AD14" s="68"/>
      <c r="AE14" s="68"/>
      <c r="AF14" s="68"/>
    </row>
    <row r="15" spans="1:34" ht="18">
      <c r="A15" s="102"/>
      <c r="B15" s="102" t="s">
        <v>145</v>
      </c>
      <c r="C15" s="102"/>
      <c r="D15" s="102" t="s">
        <v>146</v>
      </c>
      <c r="E15" s="102"/>
      <c r="F15" s="102" t="s">
        <v>146</v>
      </c>
      <c r="G15" s="102"/>
      <c r="H15" s="102" t="s">
        <v>145</v>
      </c>
      <c r="I15" s="102"/>
      <c r="J15" s="102" t="s">
        <v>151</v>
      </c>
      <c r="K15" s="102"/>
      <c r="L15" s="102" t="s">
        <v>145</v>
      </c>
      <c r="M15" s="102"/>
      <c r="N15" s="102" t="s">
        <v>151</v>
      </c>
      <c r="O15" s="102"/>
      <c r="Q15" s="102" t="s">
        <v>141</v>
      </c>
      <c r="R15" s="102"/>
      <c r="S15" s="102" t="s">
        <v>142</v>
      </c>
      <c r="T15" s="102"/>
      <c r="U15" s="103" t="s">
        <v>192</v>
      </c>
      <c r="V15" s="104"/>
      <c r="W15" s="102" t="s">
        <v>143</v>
      </c>
      <c r="X15" s="102"/>
      <c r="Y15" s="102" t="s">
        <v>193</v>
      </c>
      <c r="Z15" s="102"/>
      <c r="AA15" s="102" t="s">
        <v>194</v>
      </c>
      <c r="AB15" s="102"/>
      <c r="AC15" s="102" t="s">
        <v>144</v>
      </c>
      <c r="AD15" s="102"/>
      <c r="AE15" s="102" t="s">
        <v>195</v>
      </c>
      <c r="AF15" s="102"/>
    </row>
    <row r="16" spans="1:34">
      <c r="A16" s="102"/>
      <c r="B16" s="74" t="s">
        <v>91</v>
      </c>
      <c r="C16" s="74" t="s">
        <v>133</v>
      </c>
      <c r="D16" s="74" t="s">
        <v>91</v>
      </c>
      <c r="E16" s="74" t="s">
        <v>133</v>
      </c>
      <c r="F16" s="74" t="s">
        <v>91</v>
      </c>
      <c r="G16" s="74" t="s">
        <v>133</v>
      </c>
      <c r="H16" s="74" t="s">
        <v>91</v>
      </c>
      <c r="I16" s="74" t="s">
        <v>133</v>
      </c>
      <c r="J16" s="74" t="s">
        <v>91</v>
      </c>
      <c r="K16" s="74" t="s">
        <v>133</v>
      </c>
      <c r="L16" s="74" t="s">
        <v>91</v>
      </c>
      <c r="M16" s="74" t="s">
        <v>133</v>
      </c>
      <c r="N16" s="74" t="s">
        <v>91</v>
      </c>
      <c r="O16" s="74" t="s">
        <v>133</v>
      </c>
      <c r="Q16" s="102" t="s">
        <v>147</v>
      </c>
      <c r="R16" s="102"/>
      <c r="S16" s="102" t="s">
        <v>145</v>
      </c>
      <c r="T16" s="102"/>
      <c r="U16" s="103" t="s">
        <v>196</v>
      </c>
      <c r="V16" s="104"/>
      <c r="W16" s="102" t="s">
        <v>146</v>
      </c>
      <c r="X16" s="102"/>
      <c r="Y16" s="102" t="s">
        <v>145</v>
      </c>
      <c r="Z16" s="102"/>
      <c r="AA16" s="102" t="s">
        <v>151</v>
      </c>
      <c r="AB16" s="102"/>
      <c r="AC16" s="102" t="s">
        <v>145</v>
      </c>
      <c r="AD16" s="102"/>
      <c r="AE16" s="102" t="s">
        <v>151</v>
      </c>
      <c r="AF16" s="102"/>
    </row>
    <row r="17" spans="1:88" ht="27" customHeight="1">
      <c r="A17" s="102"/>
      <c r="B17" s="67" t="str">
        <f>$B$1</f>
        <v>CSIRO Mk3.5</v>
      </c>
      <c r="C17" s="67" t="str">
        <f>$B$1</f>
        <v>CSIRO Mk3.5</v>
      </c>
      <c r="D17" s="67" t="str">
        <f t="shared" ref="D17:I17" si="0">$B$1</f>
        <v>CSIRO Mk3.5</v>
      </c>
      <c r="E17" s="67" t="str">
        <f t="shared" si="0"/>
        <v>CSIRO Mk3.5</v>
      </c>
      <c r="F17" s="67" t="str">
        <f t="shared" si="0"/>
        <v>CSIRO Mk3.5</v>
      </c>
      <c r="G17" s="67" t="str">
        <f t="shared" si="0"/>
        <v>CSIRO Mk3.5</v>
      </c>
      <c r="H17" s="67" t="str">
        <f t="shared" si="0"/>
        <v>CSIRO Mk3.5</v>
      </c>
      <c r="I17" s="67" t="str">
        <f t="shared" si="0"/>
        <v>CSIRO Mk3.5</v>
      </c>
      <c r="J17" s="67"/>
      <c r="K17" s="67"/>
      <c r="L17" s="67" t="str">
        <f t="shared" ref="L17:M17" si="1">$B$1</f>
        <v>CSIRO Mk3.5</v>
      </c>
      <c r="M17" s="67" t="str">
        <f t="shared" si="1"/>
        <v>CSIRO Mk3.5</v>
      </c>
      <c r="N17" s="67"/>
      <c r="O17" s="67"/>
      <c r="Q17" s="67" t="s">
        <v>91</v>
      </c>
      <c r="R17" s="67" t="s">
        <v>133</v>
      </c>
      <c r="S17" s="67" t="s">
        <v>91</v>
      </c>
      <c r="T17" s="67" t="s">
        <v>133</v>
      </c>
      <c r="U17" s="67" t="s">
        <v>91</v>
      </c>
      <c r="V17" s="67" t="s">
        <v>133</v>
      </c>
      <c r="W17" s="67" t="s">
        <v>91</v>
      </c>
      <c r="X17" s="67" t="s">
        <v>133</v>
      </c>
      <c r="Y17" s="67" t="s">
        <v>91</v>
      </c>
      <c r="Z17" s="67" t="s">
        <v>133</v>
      </c>
      <c r="AA17" s="67" t="s">
        <v>91</v>
      </c>
      <c r="AB17" s="67" t="s">
        <v>133</v>
      </c>
      <c r="AC17" s="67" t="s">
        <v>91</v>
      </c>
      <c r="AD17" s="67" t="s">
        <v>133</v>
      </c>
      <c r="AE17" s="67" t="s">
        <v>91</v>
      </c>
      <c r="AF17" s="67" t="s">
        <v>133</v>
      </c>
    </row>
    <row r="18" spans="1:88">
      <c r="A18" s="51">
        <v>1990</v>
      </c>
      <c r="B18" s="52">
        <f>B5</f>
        <v>0</v>
      </c>
      <c r="C18" s="52">
        <f>C5</f>
        <v>0</v>
      </c>
      <c r="D18" s="52">
        <f>D5</f>
        <v>0</v>
      </c>
      <c r="E18" s="52">
        <f>E5</f>
        <v>0</v>
      </c>
      <c r="F18" s="52">
        <f t="shared" ref="F18:O18" si="2">F5</f>
        <v>0</v>
      </c>
      <c r="G18" s="52">
        <f t="shared" si="2"/>
        <v>0</v>
      </c>
      <c r="H18" s="52">
        <f t="shared" si="2"/>
        <v>0</v>
      </c>
      <c r="I18" s="52">
        <f t="shared" si="2"/>
        <v>0</v>
      </c>
      <c r="J18" s="52">
        <f t="shared" si="2"/>
        <v>0</v>
      </c>
      <c r="K18" s="52">
        <f t="shared" si="2"/>
        <v>0</v>
      </c>
      <c r="L18" s="52">
        <f t="shared" si="2"/>
        <v>0</v>
      </c>
      <c r="M18" s="52">
        <f t="shared" si="2"/>
        <v>0</v>
      </c>
      <c r="N18" s="52">
        <f t="shared" si="2"/>
        <v>0</v>
      </c>
      <c r="O18" s="52">
        <f t="shared" si="2"/>
        <v>0</v>
      </c>
      <c r="P18" s="75"/>
      <c r="Q18" s="79">
        <v>352.5</v>
      </c>
      <c r="R18" s="79">
        <v>352.5</v>
      </c>
      <c r="S18" s="79">
        <f>Baseline!$B$5</f>
        <v>16.399999999999999</v>
      </c>
      <c r="T18" s="79">
        <f>Baseline!$B$5</f>
        <v>16.399999999999999</v>
      </c>
      <c r="U18" s="80">
        <f>Baseline!$B$6</f>
        <v>1094</v>
      </c>
      <c r="V18" s="80">
        <f>Baseline!$B$6</f>
        <v>1094</v>
      </c>
      <c r="W18" s="79">
        <f>Baseline!$B$7</f>
        <v>74.099999999999994</v>
      </c>
      <c r="X18" s="79">
        <f>Baseline!$B$7</f>
        <v>74.099999999999994</v>
      </c>
      <c r="Y18" s="79">
        <f>Baseline!$B$9</f>
        <v>19.3</v>
      </c>
      <c r="Z18" s="79">
        <f>Baseline!$B$9</f>
        <v>19.3</v>
      </c>
      <c r="AA18" s="78"/>
      <c r="AB18" s="78"/>
      <c r="AC18" s="79">
        <f>Baseline!$C$9</f>
        <v>21.5</v>
      </c>
      <c r="AD18" s="79">
        <f>Baseline!$C$9</f>
        <v>21.5</v>
      </c>
      <c r="AE18" s="79"/>
      <c r="AF18" s="79"/>
    </row>
    <row r="19" spans="1:88">
      <c r="A19" s="51">
        <v>1991</v>
      </c>
      <c r="B19" s="52">
        <f t="shared" ref="B19:O34" si="3">(B$6-B$5)/COUNT($A$18:$A$37)+B18</f>
        <v>1.9999999999999997E-2</v>
      </c>
      <c r="C19" s="52">
        <f t="shared" si="3"/>
        <v>1.9999999999999997E-2</v>
      </c>
      <c r="D19" s="52">
        <f t="shared" si="3"/>
        <v>-7.0000000000000007E-2</v>
      </c>
      <c r="E19" s="52">
        <f t="shared" si="3"/>
        <v>-7.3333333333333334E-2</v>
      </c>
      <c r="F19" s="52">
        <f t="shared" si="3"/>
        <v>-4.3333333333333335E-2</v>
      </c>
      <c r="G19" s="52">
        <f t="shared" si="3"/>
        <v>-4.4999999999999998E-2</v>
      </c>
      <c r="H19" s="52">
        <f t="shared" si="3"/>
        <v>1.4999999999999999E-2</v>
      </c>
      <c r="I19" s="52">
        <f t="shared" si="3"/>
        <v>1.4999999999999999E-2</v>
      </c>
      <c r="J19" s="52">
        <f t="shared" si="3"/>
        <v>0</v>
      </c>
      <c r="K19" s="52">
        <f t="shared" si="3"/>
        <v>0</v>
      </c>
      <c r="L19" s="52">
        <f t="shared" si="3"/>
        <v>1.4499999999999999E-2</v>
      </c>
      <c r="M19" s="52">
        <f t="shared" si="3"/>
        <v>1.4999999999999999E-2</v>
      </c>
      <c r="N19" s="52">
        <f t="shared" si="3"/>
        <v>0</v>
      </c>
      <c r="O19" s="52">
        <f t="shared" si="3"/>
        <v>0</v>
      </c>
      <c r="P19" s="75"/>
      <c r="Q19" s="53">
        <v>354.05</v>
      </c>
      <c r="R19" s="53">
        <v>354.05</v>
      </c>
      <c r="S19" s="53">
        <f>S$18+$B19</f>
        <v>16.419999999999998</v>
      </c>
      <c r="T19" s="53">
        <f>T$18+$C19</f>
        <v>16.419999999999998</v>
      </c>
      <c r="U19" s="53">
        <f>U$18+U$18*$D19/100</f>
        <v>1093.2342000000001</v>
      </c>
      <c r="V19" s="53">
        <f>V$18+V$18*E19/100</f>
        <v>1093.1977333333334</v>
      </c>
      <c r="W19" s="53">
        <f>W$18+W$18*$F19/100</f>
        <v>74.067889999999991</v>
      </c>
      <c r="X19" s="53">
        <f>X$18+X$18*$G19/100</f>
        <v>74.066654999999997</v>
      </c>
      <c r="Y19" s="53">
        <f>Y$18+$H19</f>
        <v>19.315000000000001</v>
      </c>
      <c r="Z19" s="53">
        <f>Z$18+$I19</f>
        <v>19.315000000000001</v>
      </c>
      <c r="AA19" s="53"/>
      <c r="AB19" s="53"/>
      <c r="AC19" s="53">
        <f>AC$18+$L19</f>
        <v>21.514500000000002</v>
      </c>
      <c r="AD19" s="53">
        <f>AD$18+$M19</f>
        <v>21.515000000000001</v>
      </c>
      <c r="AE19" s="53"/>
      <c r="AF19" s="53"/>
    </row>
    <row r="20" spans="1:88">
      <c r="A20" s="51">
        <v>1992</v>
      </c>
      <c r="B20" s="52">
        <f t="shared" si="3"/>
        <v>3.9999999999999994E-2</v>
      </c>
      <c r="C20" s="52">
        <f t="shared" si="3"/>
        <v>3.9999999999999994E-2</v>
      </c>
      <c r="D20" s="52">
        <f t="shared" si="3"/>
        <v>-0.14000000000000001</v>
      </c>
      <c r="E20" s="52">
        <f t="shared" si="3"/>
        <v>-0.14666666666666667</v>
      </c>
      <c r="F20" s="52">
        <f t="shared" si="3"/>
        <v>-8.666666666666667E-2</v>
      </c>
      <c r="G20" s="52">
        <f t="shared" si="3"/>
        <v>-0.09</v>
      </c>
      <c r="H20" s="52">
        <f t="shared" si="3"/>
        <v>0.03</v>
      </c>
      <c r="I20" s="52">
        <f t="shared" si="3"/>
        <v>0.03</v>
      </c>
      <c r="J20" s="52">
        <f t="shared" si="3"/>
        <v>0</v>
      </c>
      <c r="K20" s="52">
        <f t="shared" si="3"/>
        <v>0</v>
      </c>
      <c r="L20" s="52">
        <f t="shared" si="3"/>
        <v>2.8999999999999998E-2</v>
      </c>
      <c r="M20" s="52">
        <f t="shared" si="3"/>
        <v>0.03</v>
      </c>
      <c r="N20" s="52">
        <f t="shared" si="3"/>
        <v>0</v>
      </c>
      <c r="O20" s="52">
        <f t="shared" si="3"/>
        <v>0</v>
      </c>
      <c r="P20" s="75"/>
      <c r="Q20" s="53">
        <v>355.6</v>
      </c>
      <c r="R20" s="53">
        <v>355.6</v>
      </c>
      <c r="S20" s="53">
        <f t="shared" ref="S20:S83" si="4">S$18+$B20</f>
        <v>16.439999999999998</v>
      </c>
      <c r="T20" s="53">
        <f t="shared" ref="T20:T83" si="5">T$18+$C20</f>
        <v>16.439999999999998</v>
      </c>
      <c r="U20" s="53">
        <f t="shared" ref="U20:U83" si="6">U$18+U$18*$D20/100</f>
        <v>1092.4684</v>
      </c>
      <c r="V20" s="53">
        <f t="shared" ref="V20:V83" si="7">V$18+V$18*E20/100</f>
        <v>1092.3954666666666</v>
      </c>
      <c r="W20" s="53">
        <f t="shared" ref="W20:W83" si="8">W$18+W$18*$F20/100</f>
        <v>74.035779999999988</v>
      </c>
      <c r="X20" s="53">
        <f t="shared" ref="X20:X83" si="9">X$18+X$18*$G20/100</f>
        <v>74.03331</v>
      </c>
      <c r="Y20" s="53">
        <f t="shared" ref="Y20:Y83" si="10">Y$18+$H20</f>
        <v>19.330000000000002</v>
      </c>
      <c r="Z20" s="53">
        <f t="shared" ref="Z20:Z83" si="11">Z$18+$I20</f>
        <v>19.330000000000002</v>
      </c>
      <c r="AA20" s="53"/>
      <c r="AB20" s="53"/>
      <c r="AC20" s="53">
        <f t="shared" ref="AC20:AC83" si="12">AC$18+$L20</f>
        <v>21.529</v>
      </c>
      <c r="AD20" s="53">
        <f t="shared" ref="AD20:AD83" si="13">AD$18+$M20</f>
        <v>21.53</v>
      </c>
      <c r="AE20" s="53"/>
      <c r="AF20" s="53"/>
    </row>
    <row r="21" spans="1:88">
      <c r="A21" s="51">
        <v>1993</v>
      </c>
      <c r="B21" s="52">
        <f t="shared" si="3"/>
        <v>5.9999999999999991E-2</v>
      </c>
      <c r="C21" s="52">
        <f t="shared" si="3"/>
        <v>5.9999999999999991E-2</v>
      </c>
      <c r="D21" s="52">
        <f t="shared" si="3"/>
        <v>-0.21000000000000002</v>
      </c>
      <c r="E21" s="52">
        <f t="shared" si="3"/>
        <v>-0.22</v>
      </c>
      <c r="F21" s="52">
        <f t="shared" si="3"/>
        <v>-0.13</v>
      </c>
      <c r="G21" s="52">
        <f t="shared" si="3"/>
        <v>-0.13500000000000001</v>
      </c>
      <c r="H21" s="52">
        <f t="shared" si="3"/>
        <v>4.4999999999999998E-2</v>
      </c>
      <c r="I21" s="52">
        <f t="shared" si="3"/>
        <v>4.4999999999999998E-2</v>
      </c>
      <c r="J21" s="52">
        <f t="shared" si="3"/>
        <v>0</v>
      </c>
      <c r="K21" s="52">
        <f t="shared" si="3"/>
        <v>0</v>
      </c>
      <c r="L21" s="52">
        <f t="shared" si="3"/>
        <v>4.3499999999999997E-2</v>
      </c>
      <c r="M21" s="52">
        <f t="shared" si="3"/>
        <v>4.4999999999999998E-2</v>
      </c>
      <c r="N21" s="52">
        <f t="shared" si="3"/>
        <v>0</v>
      </c>
      <c r="O21" s="52">
        <f t="shared" si="3"/>
        <v>0</v>
      </c>
      <c r="P21" s="75"/>
      <c r="Q21" s="53">
        <v>357.15000000000003</v>
      </c>
      <c r="R21" s="53">
        <v>357.15000000000003</v>
      </c>
      <c r="S21" s="53">
        <f t="shared" si="4"/>
        <v>16.459999999999997</v>
      </c>
      <c r="T21" s="53">
        <f t="shared" si="5"/>
        <v>16.459999999999997</v>
      </c>
      <c r="U21" s="53">
        <f t="shared" si="6"/>
        <v>1091.7026000000001</v>
      </c>
      <c r="V21" s="53">
        <f t="shared" si="7"/>
        <v>1091.5932</v>
      </c>
      <c r="W21" s="53">
        <f t="shared" si="8"/>
        <v>74.00367</v>
      </c>
      <c r="X21" s="53">
        <f t="shared" si="9"/>
        <v>73.999964999999989</v>
      </c>
      <c r="Y21" s="53">
        <f t="shared" si="10"/>
        <v>19.345000000000002</v>
      </c>
      <c r="Z21" s="53">
        <f t="shared" si="11"/>
        <v>19.345000000000002</v>
      </c>
      <c r="AA21" s="53"/>
      <c r="AB21" s="53"/>
      <c r="AC21" s="53">
        <f t="shared" si="12"/>
        <v>21.543500000000002</v>
      </c>
      <c r="AD21" s="53">
        <f t="shared" si="13"/>
        <v>21.545000000000002</v>
      </c>
      <c r="AE21" s="53"/>
      <c r="AF21" s="53"/>
    </row>
    <row r="22" spans="1:88">
      <c r="A22" s="51">
        <v>1994</v>
      </c>
      <c r="B22" s="52">
        <f t="shared" si="3"/>
        <v>7.9999999999999988E-2</v>
      </c>
      <c r="C22" s="52">
        <f t="shared" si="3"/>
        <v>7.9999999999999988E-2</v>
      </c>
      <c r="D22" s="52">
        <f t="shared" si="3"/>
        <v>-0.28000000000000003</v>
      </c>
      <c r="E22" s="52">
        <f t="shared" si="3"/>
        <v>-0.29333333333333333</v>
      </c>
      <c r="F22" s="52">
        <f t="shared" si="3"/>
        <v>-0.17333333333333334</v>
      </c>
      <c r="G22" s="52">
        <f t="shared" si="3"/>
        <v>-0.18</v>
      </c>
      <c r="H22" s="52">
        <f t="shared" si="3"/>
        <v>0.06</v>
      </c>
      <c r="I22" s="52">
        <f t="shared" si="3"/>
        <v>0.06</v>
      </c>
      <c r="J22" s="52">
        <f t="shared" si="3"/>
        <v>0</v>
      </c>
      <c r="K22" s="52">
        <f t="shared" si="3"/>
        <v>0</v>
      </c>
      <c r="L22" s="52">
        <f t="shared" si="3"/>
        <v>5.7999999999999996E-2</v>
      </c>
      <c r="M22" s="52">
        <f t="shared" si="3"/>
        <v>0.06</v>
      </c>
      <c r="N22" s="52">
        <f t="shared" si="3"/>
        <v>0</v>
      </c>
      <c r="O22" s="52">
        <f t="shared" si="3"/>
        <v>0</v>
      </c>
      <c r="P22" s="75"/>
      <c r="Q22" s="53">
        <v>358.70000000000005</v>
      </c>
      <c r="R22" s="53">
        <v>358.70000000000005</v>
      </c>
      <c r="S22" s="53">
        <f t="shared" si="4"/>
        <v>16.479999999999997</v>
      </c>
      <c r="T22" s="53">
        <f t="shared" si="5"/>
        <v>16.479999999999997</v>
      </c>
      <c r="U22" s="53">
        <f t="shared" si="6"/>
        <v>1090.9367999999999</v>
      </c>
      <c r="V22" s="53">
        <f t="shared" si="7"/>
        <v>1090.7909333333334</v>
      </c>
      <c r="W22" s="53">
        <f t="shared" si="8"/>
        <v>73.971559999999997</v>
      </c>
      <c r="X22" s="53">
        <f t="shared" si="9"/>
        <v>73.966619999999992</v>
      </c>
      <c r="Y22" s="53">
        <f t="shared" si="10"/>
        <v>19.36</v>
      </c>
      <c r="Z22" s="53">
        <f t="shared" si="11"/>
        <v>19.36</v>
      </c>
      <c r="AA22" s="53"/>
      <c r="AB22" s="53"/>
      <c r="AC22" s="53">
        <f t="shared" si="12"/>
        <v>21.558</v>
      </c>
      <c r="AD22" s="53">
        <f t="shared" si="13"/>
        <v>21.56</v>
      </c>
      <c r="AE22" s="53"/>
      <c r="AF22" s="53"/>
    </row>
    <row r="23" spans="1:88">
      <c r="A23" s="51">
        <v>1995</v>
      </c>
      <c r="B23" s="52">
        <f t="shared" si="3"/>
        <v>9.9999999999999978E-2</v>
      </c>
      <c r="C23" s="52">
        <f t="shared" si="3"/>
        <v>9.9999999999999978E-2</v>
      </c>
      <c r="D23" s="52">
        <f t="shared" si="3"/>
        <v>-0.35000000000000003</v>
      </c>
      <c r="E23" s="52">
        <f t="shared" si="3"/>
        <v>-0.3666666666666667</v>
      </c>
      <c r="F23" s="52">
        <f t="shared" si="3"/>
        <v>-0.21666666666666667</v>
      </c>
      <c r="G23" s="52">
        <f t="shared" si="3"/>
        <v>-0.22499999999999998</v>
      </c>
      <c r="H23" s="52">
        <f t="shared" si="3"/>
        <v>7.4999999999999997E-2</v>
      </c>
      <c r="I23" s="52">
        <f t="shared" si="3"/>
        <v>7.4999999999999997E-2</v>
      </c>
      <c r="J23" s="52">
        <f t="shared" si="3"/>
        <v>0</v>
      </c>
      <c r="K23" s="52">
        <f t="shared" si="3"/>
        <v>0</v>
      </c>
      <c r="L23" s="52">
        <f t="shared" si="3"/>
        <v>7.2499999999999995E-2</v>
      </c>
      <c r="M23" s="52">
        <f t="shared" si="3"/>
        <v>7.4999999999999997E-2</v>
      </c>
      <c r="N23" s="52">
        <f t="shared" si="3"/>
        <v>0</v>
      </c>
      <c r="O23" s="52">
        <f t="shared" si="3"/>
        <v>0</v>
      </c>
      <c r="P23" s="75"/>
      <c r="Q23" s="53">
        <v>360.25000000000006</v>
      </c>
      <c r="R23" s="53">
        <v>360.25000000000006</v>
      </c>
      <c r="S23" s="53">
        <f t="shared" si="4"/>
        <v>16.5</v>
      </c>
      <c r="T23" s="53">
        <f t="shared" si="5"/>
        <v>16.5</v>
      </c>
      <c r="U23" s="53">
        <f t="shared" si="6"/>
        <v>1090.171</v>
      </c>
      <c r="V23" s="53">
        <f t="shared" si="7"/>
        <v>1089.9886666666666</v>
      </c>
      <c r="W23" s="53">
        <f t="shared" si="8"/>
        <v>73.939449999999994</v>
      </c>
      <c r="X23" s="53">
        <f t="shared" si="9"/>
        <v>73.933274999999995</v>
      </c>
      <c r="Y23" s="53">
        <f t="shared" si="10"/>
        <v>19.375</v>
      </c>
      <c r="Z23" s="53">
        <f t="shared" si="11"/>
        <v>19.375</v>
      </c>
      <c r="AA23" s="53"/>
      <c r="AB23" s="53"/>
      <c r="AC23" s="53">
        <f t="shared" si="12"/>
        <v>21.572500000000002</v>
      </c>
      <c r="AD23" s="53">
        <f t="shared" si="13"/>
        <v>21.574999999999999</v>
      </c>
      <c r="AE23" s="53"/>
      <c r="AF23" s="53"/>
    </row>
    <row r="24" spans="1:88">
      <c r="A24" s="51">
        <v>1996</v>
      </c>
      <c r="B24" s="52">
        <f t="shared" si="3"/>
        <v>0.11999999999999997</v>
      </c>
      <c r="C24" s="52">
        <f t="shared" si="3"/>
        <v>0.11999999999999997</v>
      </c>
      <c r="D24" s="52">
        <f t="shared" si="3"/>
        <v>-0.42000000000000004</v>
      </c>
      <c r="E24" s="52">
        <f t="shared" si="3"/>
        <v>-0.44000000000000006</v>
      </c>
      <c r="F24" s="52">
        <f t="shared" si="3"/>
        <v>-0.26</v>
      </c>
      <c r="G24" s="52">
        <f t="shared" si="3"/>
        <v>-0.26999999999999996</v>
      </c>
      <c r="H24" s="52">
        <f t="shared" si="3"/>
        <v>0.09</v>
      </c>
      <c r="I24" s="52">
        <f t="shared" si="3"/>
        <v>0.09</v>
      </c>
      <c r="J24" s="52">
        <f t="shared" si="3"/>
        <v>0</v>
      </c>
      <c r="K24" s="52">
        <f t="shared" si="3"/>
        <v>0</v>
      </c>
      <c r="L24" s="52">
        <f t="shared" si="3"/>
        <v>8.6999999999999994E-2</v>
      </c>
      <c r="M24" s="52">
        <f t="shared" si="3"/>
        <v>0.09</v>
      </c>
      <c r="N24" s="52">
        <f t="shared" si="3"/>
        <v>0</v>
      </c>
      <c r="O24" s="52">
        <f t="shared" si="3"/>
        <v>0</v>
      </c>
      <c r="P24" s="75"/>
      <c r="Q24" s="53">
        <v>361.80000000000007</v>
      </c>
      <c r="R24" s="53">
        <v>361.80000000000007</v>
      </c>
      <c r="S24" s="53">
        <f t="shared" si="4"/>
        <v>16.52</v>
      </c>
      <c r="T24" s="53">
        <f t="shared" si="5"/>
        <v>16.52</v>
      </c>
      <c r="U24" s="53">
        <f t="shared" si="6"/>
        <v>1089.4051999999999</v>
      </c>
      <c r="V24" s="53">
        <f t="shared" si="7"/>
        <v>1089.1864</v>
      </c>
      <c r="W24" s="53">
        <f t="shared" si="8"/>
        <v>73.907339999999991</v>
      </c>
      <c r="X24" s="53">
        <f t="shared" si="9"/>
        <v>73.899929999999998</v>
      </c>
      <c r="Y24" s="53">
        <f t="shared" si="10"/>
        <v>19.39</v>
      </c>
      <c r="Z24" s="53">
        <f t="shared" si="11"/>
        <v>19.39</v>
      </c>
      <c r="AA24" s="53"/>
      <c r="AB24" s="53"/>
      <c r="AC24" s="53">
        <f t="shared" si="12"/>
        <v>21.587</v>
      </c>
      <c r="AD24" s="53">
        <f t="shared" si="13"/>
        <v>21.59</v>
      </c>
      <c r="AE24" s="53"/>
      <c r="AF24" s="53"/>
    </row>
    <row r="25" spans="1:88">
      <c r="A25" s="51">
        <v>1997</v>
      </c>
      <c r="B25" s="52">
        <f t="shared" si="3"/>
        <v>0.13999999999999996</v>
      </c>
      <c r="C25" s="52">
        <f t="shared" si="3"/>
        <v>0.13999999999999996</v>
      </c>
      <c r="D25" s="52">
        <f t="shared" si="3"/>
        <v>-0.49000000000000005</v>
      </c>
      <c r="E25" s="52">
        <f t="shared" si="3"/>
        <v>-0.51333333333333342</v>
      </c>
      <c r="F25" s="52">
        <f t="shared" si="3"/>
        <v>-0.30333333333333334</v>
      </c>
      <c r="G25" s="52">
        <f t="shared" si="3"/>
        <v>-0.31499999999999995</v>
      </c>
      <c r="H25" s="52">
        <f t="shared" si="3"/>
        <v>0.105</v>
      </c>
      <c r="I25" s="52">
        <f t="shared" si="3"/>
        <v>0.105</v>
      </c>
      <c r="J25" s="52">
        <f t="shared" si="3"/>
        <v>0</v>
      </c>
      <c r="K25" s="52">
        <f t="shared" si="3"/>
        <v>0</v>
      </c>
      <c r="L25" s="52">
        <f t="shared" si="3"/>
        <v>0.10149999999999999</v>
      </c>
      <c r="M25" s="52">
        <f t="shared" si="3"/>
        <v>0.105</v>
      </c>
      <c r="N25" s="52">
        <f t="shared" si="3"/>
        <v>0</v>
      </c>
      <c r="O25" s="52">
        <f t="shared" si="3"/>
        <v>0</v>
      </c>
      <c r="P25" s="75"/>
      <c r="Q25" s="53">
        <v>363.35000000000008</v>
      </c>
      <c r="R25" s="53">
        <v>363.35000000000008</v>
      </c>
      <c r="S25" s="53">
        <f t="shared" si="4"/>
        <v>16.54</v>
      </c>
      <c r="T25" s="53">
        <f t="shared" si="5"/>
        <v>16.54</v>
      </c>
      <c r="U25" s="53">
        <f t="shared" si="6"/>
        <v>1088.6394</v>
      </c>
      <c r="V25" s="53">
        <f t="shared" si="7"/>
        <v>1088.3841333333332</v>
      </c>
      <c r="W25" s="53">
        <f t="shared" si="8"/>
        <v>73.875229999999988</v>
      </c>
      <c r="X25" s="53">
        <f t="shared" si="9"/>
        <v>73.866585000000001</v>
      </c>
      <c r="Y25" s="53">
        <f t="shared" si="10"/>
        <v>19.405000000000001</v>
      </c>
      <c r="Z25" s="53">
        <f t="shared" si="11"/>
        <v>19.405000000000001</v>
      </c>
      <c r="AA25" s="53"/>
      <c r="AB25" s="53"/>
      <c r="AC25" s="53">
        <f t="shared" si="12"/>
        <v>21.601500000000001</v>
      </c>
      <c r="AD25" s="53">
        <f t="shared" si="13"/>
        <v>21.605</v>
      </c>
      <c r="AE25" s="53"/>
      <c r="AF25" s="53"/>
    </row>
    <row r="26" spans="1:88">
      <c r="A26" s="51">
        <v>1998</v>
      </c>
      <c r="B26" s="52">
        <f t="shared" si="3"/>
        <v>0.15999999999999995</v>
      </c>
      <c r="C26" s="52">
        <f t="shared" si="3"/>
        <v>0.15999999999999995</v>
      </c>
      <c r="D26" s="52">
        <f t="shared" si="3"/>
        <v>-0.56000000000000005</v>
      </c>
      <c r="E26" s="52">
        <f t="shared" si="3"/>
        <v>-0.58666666666666678</v>
      </c>
      <c r="F26" s="52">
        <f t="shared" si="3"/>
        <v>-0.34666666666666668</v>
      </c>
      <c r="G26" s="52">
        <f t="shared" si="3"/>
        <v>-0.35999999999999993</v>
      </c>
      <c r="H26" s="52">
        <f t="shared" si="3"/>
        <v>0.12</v>
      </c>
      <c r="I26" s="52">
        <f t="shared" si="3"/>
        <v>0.12</v>
      </c>
      <c r="J26" s="52">
        <f t="shared" si="3"/>
        <v>0</v>
      </c>
      <c r="K26" s="52">
        <f t="shared" si="3"/>
        <v>0</v>
      </c>
      <c r="L26" s="52">
        <f t="shared" si="3"/>
        <v>0.11599999999999999</v>
      </c>
      <c r="M26" s="52">
        <f t="shared" si="3"/>
        <v>0.12</v>
      </c>
      <c r="N26" s="52">
        <f t="shared" si="3"/>
        <v>0</v>
      </c>
      <c r="O26" s="52">
        <f t="shared" si="3"/>
        <v>0</v>
      </c>
      <c r="P26" s="75"/>
      <c r="Q26" s="53">
        <v>364.90000000000009</v>
      </c>
      <c r="R26" s="53">
        <v>364.90000000000009</v>
      </c>
      <c r="S26" s="53">
        <f t="shared" si="4"/>
        <v>16.559999999999999</v>
      </c>
      <c r="T26" s="53">
        <f t="shared" si="5"/>
        <v>16.559999999999999</v>
      </c>
      <c r="U26" s="53">
        <f t="shared" si="6"/>
        <v>1087.8735999999999</v>
      </c>
      <c r="V26" s="53">
        <f t="shared" si="7"/>
        <v>1087.5818666666667</v>
      </c>
      <c r="W26" s="53">
        <f t="shared" si="8"/>
        <v>73.843119999999999</v>
      </c>
      <c r="X26" s="53">
        <f t="shared" si="9"/>
        <v>73.833239999999989</v>
      </c>
      <c r="Y26" s="53">
        <f t="shared" si="10"/>
        <v>19.420000000000002</v>
      </c>
      <c r="Z26" s="53">
        <f t="shared" si="11"/>
        <v>19.420000000000002</v>
      </c>
      <c r="AA26" s="53"/>
      <c r="AB26" s="53"/>
      <c r="AC26" s="53">
        <f t="shared" si="12"/>
        <v>21.616</v>
      </c>
      <c r="AD26" s="53">
        <f t="shared" si="13"/>
        <v>21.62</v>
      </c>
      <c r="AE26" s="53"/>
      <c r="AF26" s="53"/>
      <c r="CE26" s="69" t="s">
        <v>91</v>
      </c>
      <c r="CH26" s="69" t="s">
        <v>133</v>
      </c>
    </row>
    <row r="27" spans="1:88">
      <c r="A27" s="48">
        <v>1999</v>
      </c>
      <c r="B27" s="49">
        <f t="shared" si="3"/>
        <v>0.17999999999999994</v>
      </c>
      <c r="C27" s="49">
        <f t="shared" si="3"/>
        <v>0.17999999999999994</v>
      </c>
      <c r="D27" s="49">
        <f t="shared" si="3"/>
        <v>-0.63000000000000012</v>
      </c>
      <c r="E27" s="49">
        <f t="shared" si="3"/>
        <v>-0.66000000000000014</v>
      </c>
      <c r="F27" s="49">
        <f t="shared" si="3"/>
        <v>-0.39</v>
      </c>
      <c r="G27" s="49">
        <f t="shared" si="3"/>
        <v>-0.40499999999999992</v>
      </c>
      <c r="H27" s="49">
        <f t="shared" si="3"/>
        <v>0.13500000000000001</v>
      </c>
      <c r="I27" s="49">
        <f t="shared" si="3"/>
        <v>0.13500000000000001</v>
      </c>
      <c r="J27" s="49">
        <f t="shared" si="3"/>
        <v>0</v>
      </c>
      <c r="K27" s="49">
        <f t="shared" si="3"/>
        <v>0</v>
      </c>
      <c r="L27" s="49">
        <f t="shared" si="3"/>
        <v>0.1305</v>
      </c>
      <c r="M27" s="49">
        <f t="shared" si="3"/>
        <v>0.13500000000000001</v>
      </c>
      <c r="N27" s="49">
        <f t="shared" si="3"/>
        <v>0</v>
      </c>
      <c r="O27" s="49">
        <f t="shared" si="3"/>
        <v>0</v>
      </c>
      <c r="P27" s="76"/>
      <c r="Q27" s="50">
        <v>366.4500000000001</v>
      </c>
      <c r="R27" s="50">
        <v>366.4500000000001</v>
      </c>
      <c r="S27" s="50">
        <f t="shared" si="4"/>
        <v>16.579999999999998</v>
      </c>
      <c r="T27" s="50">
        <f t="shared" si="5"/>
        <v>16.579999999999998</v>
      </c>
      <c r="U27" s="50">
        <f t="shared" si="6"/>
        <v>1087.1078</v>
      </c>
      <c r="V27" s="50">
        <f t="shared" si="7"/>
        <v>1086.7796000000001</v>
      </c>
      <c r="W27" s="50">
        <f t="shared" si="8"/>
        <v>73.811009999999996</v>
      </c>
      <c r="X27" s="50">
        <f t="shared" si="9"/>
        <v>73.799894999999992</v>
      </c>
      <c r="Y27" s="50">
        <f t="shared" si="10"/>
        <v>19.435000000000002</v>
      </c>
      <c r="Z27" s="50">
        <f t="shared" si="11"/>
        <v>19.435000000000002</v>
      </c>
      <c r="AA27" s="50"/>
      <c r="AB27" s="50"/>
      <c r="AC27" s="50">
        <f t="shared" si="12"/>
        <v>21.630500000000001</v>
      </c>
      <c r="AD27" s="50">
        <f t="shared" si="13"/>
        <v>21.635000000000002</v>
      </c>
      <c r="AE27" s="50"/>
      <c r="AF27" s="50"/>
      <c r="CE27" s="69" t="s">
        <v>148</v>
      </c>
      <c r="CF27" s="69" t="s">
        <v>149</v>
      </c>
      <c r="CG27" s="69" t="s">
        <v>150</v>
      </c>
      <c r="CH27" s="69" t="s">
        <v>148</v>
      </c>
      <c r="CI27" s="69" t="s">
        <v>149</v>
      </c>
      <c r="CJ27" s="69" t="s">
        <v>150</v>
      </c>
    </row>
    <row r="28" spans="1:88">
      <c r="A28" s="51">
        <v>2000</v>
      </c>
      <c r="B28" s="52">
        <f t="shared" si="3"/>
        <v>0.19999999999999993</v>
      </c>
      <c r="C28" s="52">
        <f t="shared" si="3"/>
        <v>0.19999999999999993</v>
      </c>
      <c r="D28" s="52">
        <f t="shared" si="3"/>
        <v>-0.70000000000000018</v>
      </c>
      <c r="E28" s="52">
        <f t="shared" si="3"/>
        <v>-0.7333333333333335</v>
      </c>
      <c r="F28" s="52">
        <f t="shared" si="3"/>
        <v>-0.43333333333333335</v>
      </c>
      <c r="G28" s="52">
        <f t="shared" si="3"/>
        <v>-0.4499999999999999</v>
      </c>
      <c r="H28" s="52">
        <f t="shared" si="3"/>
        <v>0.15000000000000002</v>
      </c>
      <c r="I28" s="52">
        <f t="shared" si="3"/>
        <v>0.15000000000000002</v>
      </c>
      <c r="J28" s="52">
        <f t="shared" si="3"/>
        <v>0</v>
      </c>
      <c r="K28" s="52">
        <f t="shared" si="3"/>
        <v>0</v>
      </c>
      <c r="L28" s="52">
        <f t="shared" si="3"/>
        <v>0.14500000000000002</v>
      </c>
      <c r="M28" s="52">
        <f t="shared" si="3"/>
        <v>0.15000000000000002</v>
      </c>
      <c r="N28" s="52">
        <f t="shared" si="3"/>
        <v>0</v>
      </c>
      <c r="O28" s="52">
        <f t="shared" si="3"/>
        <v>0</v>
      </c>
      <c r="Q28" s="53">
        <v>368</v>
      </c>
      <c r="R28" s="53">
        <v>368</v>
      </c>
      <c r="S28" s="53">
        <f t="shared" si="4"/>
        <v>16.599999999999998</v>
      </c>
      <c r="T28" s="53">
        <f t="shared" si="5"/>
        <v>16.599999999999998</v>
      </c>
      <c r="U28" s="36">
        <f t="shared" si="6"/>
        <v>1086.3420000000001</v>
      </c>
      <c r="V28" s="36">
        <f t="shared" si="7"/>
        <v>1085.9773333333333</v>
      </c>
      <c r="W28" s="53">
        <f t="shared" si="8"/>
        <v>73.778899999999993</v>
      </c>
      <c r="X28" s="53">
        <f t="shared" si="9"/>
        <v>73.766549999999995</v>
      </c>
      <c r="Y28" s="36">
        <f t="shared" si="10"/>
        <v>19.45</v>
      </c>
      <c r="Z28" s="36">
        <f t="shared" si="11"/>
        <v>19.45</v>
      </c>
      <c r="AA28" s="53"/>
      <c r="AB28" s="53"/>
      <c r="AC28" s="36">
        <f t="shared" si="12"/>
        <v>21.645</v>
      </c>
      <c r="AD28" s="36">
        <f t="shared" si="13"/>
        <v>21.65</v>
      </c>
      <c r="AE28" s="53"/>
      <c r="AF28" s="53"/>
      <c r="CD28" s="69">
        <v>2000</v>
      </c>
      <c r="CE28" s="54">
        <f t="shared" ref="CE28:CE91" si="14">S28</f>
        <v>16.599999999999998</v>
      </c>
      <c r="CF28" s="54">
        <f t="shared" ref="CF28:CF91" si="15">W28</f>
        <v>73.778899999999993</v>
      </c>
      <c r="CG28" s="69">
        <f t="shared" ref="CG28:CG91" si="16">Q28</f>
        <v>368</v>
      </c>
      <c r="CH28" s="54">
        <f t="shared" ref="CH28:CH91" si="17">T28</f>
        <v>16.599999999999998</v>
      </c>
      <c r="CI28" s="54">
        <f>X28</f>
        <v>73.766549999999995</v>
      </c>
      <c r="CJ28" s="69">
        <f t="shared" ref="CJ28:CJ91" si="18">R28</f>
        <v>368</v>
      </c>
    </row>
    <row r="29" spans="1:88">
      <c r="A29" s="35">
        <v>2001</v>
      </c>
      <c r="B29" s="47">
        <f t="shared" si="3"/>
        <v>0.21999999999999992</v>
      </c>
      <c r="C29" s="47">
        <f t="shared" si="3"/>
        <v>0.21999999999999992</v>
      </c>
      <c r="D29" s="47">
        <f t="shared" si="3"/>
        <v>-0.77000000000000024</v>
      </c>
      <c r="E29" s="47">
        <f t="shared" si="3"/>
        <v>-0.80666666666666687</v>
      </c>
      <c r="F29" s="47">
        <f t="shared" si="3"/>
        <v>-0.47666666666666668</v>
      </c>
      <c r="G29" s="47">
        <f t="shared" si="3"/>
        <v>-0.49499999999999988</v>
      </c>
      <c r="H29" s="47">
        <f t="shared" si="3"/>
        <v>0.16500000000000004</v>
      </c>
      <c r="I29" s="47">
        <f t="shared" si="3"/>
        <v>0.16500000000000004</v>
      </c>
      <c r="J29" s="47">
        <f t="shared" si="3"/>
        <v>0</v>
      </c>
      <c r="K29" s="47">
        <f t="shared" si="3"/>
        <v>0</v>
      </c>
      <c r="L29" s="47">
        <f t="shared" si="3"/>
        <v>0.15950000000000003</v>
      </c>
      <c r="M29" s="47">
        <f t="shared" si="3"/>
        <v>0.16500000000000004</v>
      </c>
      <c r="N29" s="47">
        <f t="shared" si="3"/>
        <v>0</v>
      </c>
      <c r="O29" s="47">
        <f t="shared" si="3"/>
        <v>0</v>
      </c>
      <c r="Q29" s="36">
        <v>369.95</v>
      </c>
      <c r="R29" s="36">
        <v>370.15</v>
      </c>
      <c r="S29" s="36">
        <f t="shared" si="4"/>
        <v>16.619999999999997</v>
      </c>
      <c r="T29" s="36">
        <f t="shared" si="5"/>
        <v>16.619999999999997</v>
      </c>
      <c r="U29" s="36">
        <f t="shared" si="6"/>
        <v>1085.5762</v>
      </c>
      <c r="V29" s="36">
        <f t="shared" si="7"/>
        <v>1085.1750666666667</v>
      </c>
      <c r="W29" s="36">
        <f t="shared" si="8"/>
        <v>73.74678999999999</v>
      </c>
      <c r="X29" s="36">
        <f t="shared" si="9"/>
        <v>73.733204999999998</v>
      </c>
      <c r="Y29" s="36">
        <f t="shared" si="10"/>
        <v>19.465</v>
      </c>
      <c r="Z29" s="36">
        <f t="shared" si="11"/>
        <v>19.465</v>
      </c>
      <c r="AA29" s="53"/>
      <c r="AB29" s="53"/>
      <c r="AC29" s="36">
        <f t="shared" si="12"/>
        <v>21.659500000000001</v>
      </c>
      <c r="AD29" s="36">
        <f t="shared" si="13"/>
        <v>21.664999999999999</v>
      </c>
      <c r="AE29" s="53"/>
      <c r="AF29" s="53"/>
      <c r="CD29" s="69">
        <v>2001</v>
      </c>
      <c r="CE29" s="54">
        <f t="shared" si="14"/>
        <v>16.619999999999997</v>
      </c>
      <c r="CF29" s="54">
        <f t="shared" si="15"/>
        <v>73.74678999999999</v>
      </c>
      <c r="CG29" s="69">
        <f t="shared" si="16"/>
        <v>369.95</v>
      </c>
      <c r="CH29" s="54">
        <f t="shared" si="17"/>
        <v>16.619999999999997</v>
      </c>
      <c r="CI29" s="54">
        <f t="shared" ref="CI29:CI92" si="19">X29</f>
        <v>73.733204999999998</v>
      </c>
      <c r="CJ29" s="69">
        <f t="shared" si="18"/>
        <v>370.15</v>
      </c>
    </row>
    <row r="30" spans="1:88">
      <c r="A30" s="35">
        <v>2002</v>
      </c>
      <c r="B30" s="47">
        <f t="shared" si="3"/>
        <v>0.23999999999999991</v>
      </c>
      <c r="C30" s="47">
        <f t="shared" si="3"/>
        <v>0.23999999999999991</v>
      </c>
      <c r="D30" s="47">
        <f t="shared" si="3"/>
        <v>-0.8400000000000003</v>
      </c>
      <c r="E30" s="47">
        <f t="shared" si="3"/>
        <v>-0.88000000000000023</v>
      </c>
      <c r="F30" s="47">
        <f t="shared" si="3"/>
        <v>-0.52</v>
      </c>
      <c r="G30" s="47">
        <f t="shared" si="3"/>
        <v>-0.53999999999999992</v>
      </c>
      <c r="H30" s="47">
        <f t="shared" si="3"/>
        <v>0.18000000000000005</v>
      </c>
      <c r="I30" s="47">
        <f t="shared" si="3"/>
        <v>0.18000000000000005</v>
      </c>
      <c r="J30" s="47">
        <f t="shared" si="3"/>
        <v>0</v>
      </c>
      <c r="K30" s="47">
        <f t="shared" si="3"/>
        <v>0</v>
      </c>
      <c r="L30" s="47">
        <f t="shared" si="3"/>
        <v>0.17400000000000004</v>
      </c>
      <c r="M30" s="47">
        <f t="shared" si="3"/>
        <v>0.18000000000000005</v>
      </c>
      <c r="N30" s="47">
        <f t="shared" si="3"/>
        <v>0</v>
      </c>
      <c r="O30" s="47">
        <f t="shared" si="3"/>
        <v>0</v>
      </c>
      <c r="Q30" s="36">
        <v>371.9</v>
      </c>
      <c r="R30" s="36">
        <v>372.29999999999995</v>
      </c>
      <c r="S30" s="36">
        <f t="shared" si="4"/>
        <v>16.639999999999997</v>
      </c>
      <c r="T30" s="36">
        <f t="shared" si="5"/>
        <v>16.639999999999997</v>
      </c>
      <c r="U30" s="36">
        <f t="shared" si="6"/>
        <v>1084.8104000000001</v>
      </c>
      <c r="V30" s="36">
        <f t="shared" si="7"/>
        <v>1084.3728000000001</v>
      </c>
      <c r="W30" s="36">
        <f t="shared" si="8"/>
        <v>73.714680000000001</v>
      </c>
      <c r="X30" s="36">
        <f t="shared" si="9"/>
        <v>73.699860000000001</v>
      </c>
      <c r="Y30" s="36">
        <f t="shared" si="10"/>
        <v>19.48</v>
      </c>
      <c r="Z30" s="36">
        <f t="shared" si="11"/>
        <v>19.48</v>
      </c>
      <c r="AA30" s="53"/>
      <c r="AB30" s="53"/>
      <c r="AC30" s="36">
        <f t="shared" si="12"/>
        <v>21.673999999999999</v>
      </c>
      <c r="AD30" s="36">
        <f t="shared" si="13"/>
        <v>21.68</v>
      </c>
      <c r="AE30" s="53"/>
      <c r="AF30" s="53"/>
      <c r="CD30" s="69">
        <v>2002</v>
      </c>
      <c r="CE30" s="54">
        <f t="shared" si="14"/>
        <v>16.639999999999997</v>
      </c>
      <c r="CF30" s="54">
        <f t="shared" si="15"/>
        <v>73.714680000000001</v>
      </c>
      <c r="CG30" s="69">
        <f t="shared" si="16"/>
        <v>371.9</v>
      </c>
      <c r="CH30" s="54">
        <f t="shared" si="17"/>
        <v>16.639999999999997</v>
      </c>
      <c r="CI30" s="54">
        <f t="shared" si="19"/>
        <v>73.699860000000001</v>
      </c>
      <c r="CJ30" s="69">
        <f t="shared" si="18"/>
        <v>372.29999999999995</v>
      </c>
    </row>
    <row r="31" spans="1:88">
      <c r="A31" s="35">
        <v>2003</v>
      </c>
      <c r="B31" s="47">
        <f t="shared" si="3"/>
        <v>0.2599999999999999</v>
      </c>
      <c r="C31" s="47">
        <f t="shared" si="3"/>
        <v>0.2599999999999999</v>
      </c>
      <c r="D31" s="47">
        <f t="shared" si="3"/>
        <v>-0.91000000000000036</v>
      </c>
      <c r="E31" s="47">
        <f t="shared" si="3"/>
        <v>-0.95333333333333359</v>
      </c>
      <c r="F31" s="47">
        <f t="shared" si="3"/>
        <v>-0.56333333333333335</v>
      </c>
      <c r="G31" s="47">
        <f t="shared" si="3"/>
        <v>-0.58499999999999996</v>
      </c>
      <c r="H31" s="47">
        <f t="shared" si="3"/>
        <v>0.19500000000000006</v>
      </c>
      <c r="I31" s="47">
        <f t="shared" si="3"/>
        <v>0.19500000000000006</v>
      </c>
      <c r="J31" s="47">
        <f t="shared" si="3"/>
        <v>0</v>
      </c>
      <c r="K31" s="47">
        <f t="shared" si="3"/>
        <v>0</v>
      </c>
      <c r="L31" s="47">
        <f t="shared" si="3"/>
        <v>0.18850000000000006</v>
      </c>
      <c r="M31" s="47">
        <f t="shared" si="3"/>
        <v>0.19500000000000006</v>
      </c>
      <c r="N31" s="47">
        <f t="shared" si="3"/>
        <v>0</v>
      </c>
      <c r="O31" s="47">
        <f t="shared" si="3"/>
        <v>0</v>
      </c>
      <c r="Q31" s="36">
        <v>373.84999999999997</v>
      </c>
      <c r="R31" s="36">
        <v>374.44999999999993</v>
      </c>
      <c r="S31" s="36">
        <f t="shared" si="4"/>
        <v>16.66</v>
      </c>
      <c r="T31" s="36">
        <f t="shared" si="5"/>
        <v>16.66</v>
      </c>
      <c r="U31" s="36">
        <f t="shared" si="6"/>
        <v>1084.0445999999999</v>
      </c>
      <c r="V31" s="36">
        <f t="shared" si="7"/>
        <v>1083.5705333333333</v>
      </c>
      <c r="W31" s="36">
        <f t="shared" si="8"/>
        <v>73.682569999999998</v>
      </c>
      <c r="X31" s="36">
        <f t="shared" si="9"/>
        <v>73.66651499999999</v>
      </c>
      <c r="Y31" s="36">
        <f t="shared" si="10"/>
        <v>19.495000000000001</v>
      </c>
      <c r="Z31" s="36">
        <f t="shared" si="11"/>
        <v>19.495000000000001</v>
      </c>
      <c r="AA31" s="53"/>
      <c r="AB31" s="53"/>
      <c r="AC31" s="36">
        <f t="shared" si="12"/>
        <v>21.688500000000001</v>
      </c>
      <c r="AD31" s="36">
        <f t="shared" si="13"/>
        <v>21.695</v>
      </c>
      <c r="AE31" s="53"/>
      <c r="AF31" s="53"/>
      <c r="CD31" s="69">
        <v>2003</v>
      </c>
      <c r="CE31" s="54">
        <f t="shared" si="14"/>
        <v>16.66</v>
      </c>
      <c r="CF31" s="54">
        <f t="shared" si="15"/>
        <v>73.682569999999998</v>
      </c>
      <c r="CG31" s="69">
        <f t="shared" si="16"/>
        <v>373.84999999999997</v>
      </c>
      <c r="CH31" s="54">
        <f t="shared" si="17"/>
        <v>16.66</v>
      </c>
      <c r="CI31" s="54">
        <f t="shared" si="19"/>
        <v>73.66651499999999</v>
      </c>
      <c r="CJ31" s="69">
        <f t="shared" si="18"/>
        <v>374.44999999999993</v>
      </c>
    </row>
    <row r="32" spans="1:88">
      <c r="A32" s="35">
        <v>2004</v>
      </c>
      <c r="B32" s="47">
        <f t="shared" si="3"/>
        <v>0.27999999999999992</v>
      </c>
      <c r="C32" s="47">
        <f t="shared" si="3"/>
        <v>0.27999999999999992</v>
      </c>
      <c r="D32" s="47">
        <f t="shared" si="3"/>
        <v>-0.98000000000000043</v>
      </c>
      <c r="E32" s="47">
        <f t="shared" si="3"/>
        <v>-1.0266666666666668</v>
      </c>
      <c r="F32" s="47">
        <f t="shared" si="3"/>
        <v>-0.60666666666666669</v>
      </c>
      <c r="G32" s="47">
        <f t="shared" si="3"/>
        <v>-0.63</v>
      </c>
      <c r="H32" s="47">
        <f t="shared" si="3"/>
        <v>0.21000000000000008</v>
      </c>
      <c r="I32" s="47">
        <f t="shared" si="3"/>
        <v>0.21000000000000008</v>
      </c>
      <c r="J32" s="47">
        <f t="shared" si="3"/>
        <v>0</v>
      </c>
      <c r="K32" s="47">
        <f t="shared" si="3"/>
        <v>0</v>
      </c>
      <c r="L32" s="47">
        <f t="shared" si="3"/>
        <v>0.20300000000000007</v>
      </c>
      <c r="M32" s="47">
        <f t="shared" si="3"/>
        <v>0.21000000000000008</v>
      </c>
      <c r="N32" s="47">
        <f t="shared" si="3"/>
        <v>0</v>
      </c>
      <c r="O32" s="47">
        <f t="shared" si="3"/>
        <v>0</v>
      </c>
      <c r="Q32" s="36">
        <v>375.79999999999995</v>
      </c>
      <c r="R32" s="36">
        <v>376.59999999999991</v>
      </c>
      <c r="S32" s="36">
        <f t="shared" si="4"/>
        <v>16.68</v>
      </c>
      <c r="T32" s="36">
        <f t="shared" si="5"/>
        <v>16.68</v>
      </c>
      <c r="U32" s="36">
        <f t="shared" si="6"/>
        <v>1083.2788</v>
      </c>
      <c r="V32" s="36">
        <f t="shared" si="7"/>
        <v>1082.7682666666667</v>
      </c>
      <c r="W32" s="36">
        <f t="shared" si="8"/>
        <v>73.650459999999995</v>
      </c>
      <c r="X32" s="36">
        <f t="shared" si="9"/>
        <v>73.633169999999993</v>
      </c>
      <c r="Y32" s="36">
        <f t="shared" si="10"/>
        <v>19.510000000000002</v>
      </c>
      <c r="Z32" s="36">
        <f t="shared" si="11"/>
        <v>19.510000000000002</v>
      </c>
      <c r="AA32" s="53"/>
      <c r="AB32" s="53"/>
      <c r="AC32" s="36">
        <f t="shared" si="12"/>
        <v>21.702999999999999</v>
      </c>
      <c r="AD32" s="36">
        <f t="shared" si="13"/>
        <v>21.71</v>
      </c>
      <c r="AE32" s="53"/>
      <c r="AF32" s="53"/>
      <c r="CD32" s="69">
        <v>2004</v>
      </c>
      <c r="CE32" s="54">
        <f t="shared" si="14"/>
        <v>16.68</v>
      </c>
      <c r="CF32" s="54">
        <f t="shared" si="15"/>
        <v>73.650459999999995</v>
      </c>
      <c r="CG32" s="69">
        <f t="shared" si="16"/>
        <v>375.79999999999995</v>
      </c>
      <c r="CH32" s="54">
        <f t="shared" si="17"/>
        <v>16.68</v>
      </c>
      <c r="CI32" s="54">
        <f t="shared" si="19"/>
        <v>73.633169999999993</v>
      </c>
      <c r="CJ32" s="69">
        <f t="shared" si="18"/>
        <v>376.59999999999991</v>
      </c>
    </row>
    <row r="33" spans="1:95">
      <c r="A33" s="35">
        <v>2005</v>
      </c>
      <c r="B33" s="47">
        <f t="shared" si="3"/>
        <v>0.29999999999999993</v>
      </c>
      <c r="C33" s="47">
        <f t="shared" si="3"/>
        <v>0.29999999999999993</v>
      </c>
      <c r="D33" s="47">
        <f t="shared" si="3"/>
        <v>-1.0500000000000005</v>
      </c>
      <c r="E33" s="47">
        <f t="shared" si="3"/>
        <v>-1.1000000000000001</v>
      </c>
      <c r="F33" s="47">
        <f t="shared" si="3"/>
        <v>-0.65</v>
      </c>
      <c r="G33" s="47">
        <f t="shared" si="3"/>
        <v>-0.67500000000000004</v>
      </c>
      <c r="H33" s="47">
        <f t="shared" si="3"/>
        <v>0.22500000000000009</v>
      </c>
      <c r="I33" s="47">
        <f t="shared" si="3"/>
        <v>0.22500000000000009</v>
      </c>
      <c r="J33" s="47">
        <f t="shared" si="3"/>
        <v>0</v>
      </c>
      <c r="K33" s="47">
        <f t="shared" si="3"/>
        <v>0</v>
      </c>
      <c r="L33" s="47">
        <f t="shared" si="3"/>
        <v>0.21750000000000008</v>
      </c>
      <c r="M33" s="47">
        <f t="shared" si="3"/>
        <v>0.22500000000000009</v>
      </c>
      <c r="N33" s="47">
        <f t="shared" si="3"/>
        <v>0</v>
      </c>
      <c r="O33" s="47">
        <f t="shared" si="3"/>
        <v>0</v>
      </c>
      <c r="Q33" s="36">
        <v>377.74999999999994</v>
      </c>
      <c r="R33" s="36">
        <v>378.74999999999989</v>
      </c>
      <c r="S33" s="36">
        <f t="shared" si="4"/>
        <v>16.7</v>
      </c>
      <c r="T33" s="36">
        <f t="shared" si="5"/>
        <v>16.7</v>
      </c>
      <c r="U33" s="36">
        <f t="shared" si="6"/>
        <v>1082.5129999999999</v>
      </c>
      <c r="V33" s="36">
        <f t="shared" si="7"/>
        <v>1081.9659999999999</v>
      </c>
      <c r="W33" s="36">
        <f t="shared" si="8"/>
        <v>73.618349999999992</v>
      </c>
      <c r="X33" s="36">
        <f t="shared" si="9"/>
        <v>73.599824999999996</v>
      </c>
      <c r="Y33" s="36">
        <f t="shared" si="10"/>
        <v>19.525000000000002</v>
      </c>
      <c r="Z33" s="36">
        <f t="shared" si="11"/>
        <v>19.525000000000002</v>
      </c>
      <c r="AA33" s="53"/>
      <c r="AB33" s="53"/>
      <c r="AC33" s="36">
        <f t="shared" si="12"/>
        <v>21.717500000000001</v>
      </c>
      <c r="AD33" s="36">
        <f t="shared" si="13"/>
        <v>21.725000000000001</v>
      </c>
      <c r="AE33" s="53"/>
      <c r="AF33" s="53"/>
      <c r="CD33" s="69">
        <v>2005</v>
      </c>
      <c r="CE33" s="54">
        <f t="shared" si="14"/>
        <v>16.7</v>
      </c>
      <c r="CF33" s="54">
        <f t="shared" si="15"/>
        <v>73.618349999999992</v>
      </c>
      <c r="CG33" s="69">
        <f t="shared" si="16"/>
        <v>377.74999999999994</v>
      </c>
      <c r="CH33" s="54">
        <f t="shared" si="17"/>
        <v>16.7</v>
      </c>
      <c r="CI33" s="54">
        <f t="shared" si="19"/>
        <v>73.599824999999996</v>
      </c>
      <c r="CJ33" s="69">
        <f t="shared" si="18"/>
        <v>378.74999999999989</v>
      </c>
    </row>
    <row r="34" spans="1:95">
      <c r="A34" s="35">
        <v>2006</v>
      </c>
      <c r="B34" s="47">
        <f t="shared" si="3"/>
        <v>0.31999999999999995</v>
      </c>
      <c r="C34" s="47">
        <f t="shared" si="3"/>
        <v>0.31999999999999995</v>
      </c>
      <c r="D34" s="47">
        <f t="shared" si="3"/>
        <v>-1.1200000000000006</v>
      </c>
      <c r="E34" s="47">
        <f t="shared" si="3"/>
        <v>-1.1733333333333333</v>
      </c>
      <c r="F34" s="47">
        <f t="shared" si="3"/>
        <v>-0.69333333333333336</v>
      </c>
      <c r="G34" s="47">
        <f t="shared" si="3"/>
        <v>-0.72000000000000008</v>
      </c>
      <c r="H34" s="47">
        <f t="shared" si="3"/>
        <v>0.2400000000000001</v>
      </c>
      <c r="I34" s="47">
        <f t="shared" si="3"/>
        <v>0.2400000000000001</v>
      </c>
      <c r="J34" s="47">
        <f t="shared" si="3"/>
        <v>0</v>
      </c>
      <c r="K34" s="47">
        <f t="shared" si="3"/>
        <v>0</v>
      </c>
      <c r="L34" s="47">
        <f t="shared" si="3"/>
        <v>0.2320000000000001</v>
      </c>
      <c r="M34" s="47">
        <f t="shared" si="3"/>
        <v>0.2400000000000001</v>
      </c>
      <c r="N34" s="47">
        <f t="shared" si="3"/>
        <v>0</v>
      </c>
      <c r="O34" s="47">
        <f t="shared" si="3"/>
        <v>0</v>
      </c>
      <c r="Q34" s="36">
        <v>379.69999999999993</v>
      </c>
      <c r="R34" s="36">
        <v>380.89999999999986</v>
      </c>
      <c r="S34" s="36">
        <f t="shared" si="4"/>
        <v>16.72</v>
      </c>
      <c r="T34" s="36">
        <f t="shared" si="5"/>
        <v>16.72</v>
      </c>
      <c r="U34" s="36">
        <f t="shared" si="6"/>
        <v>1081.7472</v>
      </c>
      <c r="V34" s="36">
        <f t="shared" si="7"/>
        <v>1081.1637333333333</v>
      </c>
      <c r="W34" s="36">
        <f t="shared" si="8"/>
        <v>73.586239999999989</v>
      </c>
      <c r="X34" s="36">
        <f t="shared" si="9"/>
        <v>73.566479999999999</v>
      </c>
      <c r="Y34" s="36">
        <f t="shared" si="10"/>
        <v>19.54</v>
      </c>
      <c r="Z34" s="36">
        <f t="shared" si="11"/>
        <v>19.54</v>
      </c>
      <c r="AA34" s="53"/>
      <c r="AB34" s="53"/>
      <c r="AC34" s="36">
        <f t="shared" si="12"/>
        <v>21.731999999999999</v>
      </c>
      <c r="AD34" s="36">
        <f t="shared" si="13"/>
        <v>21.74</v>
      </c>
      <c r="AE34" s="53"/>
      <c r="AF34" s="53"/>
      <c r="CD34" s="69">
        <v>2006</v>
      </c>
      <c r="CE34" s="54">
        <f t="shared" si="14"/>
        <v>16.72</v>
      </c>
      <c r="CF34" s="54">
        <f t="shared" si="15"/>
        <v>73.586239999999989</v>
      </c>
      <c r="CG34" s="69">
        <f t="shared" si="16"/>
        <v>379.69999999999993</v>
      </c>
      <c r="CH34" s="54">
        <f t="shared" si="17"/>
        <v>16.72</v>
      </c>
      <c r="CI34" s="54">
        <f t="shared" si="19"/>
        <v>73.566479999999999</v>
      </c>
      <c r="CJ34" s="69">
        <f t="shared" si="18"/>
        <v>380.89999999999986</v>
      </c>
    </row>
    <row r="35" spans="1:95">
      <c r="A35" s="35">
        <v>2007</v>
      </c>
      <c r="B35" s="47">
        <f t="shared" ref="B35:O37" si="20">(B$6-B$5)/COUNT($A$18:$A$37)+B34</f>
        <v>0.33999999999999997</v>
      </c>
      <c r="C35" s="47">
        <f t="shared" si="20"/>
        <v>0.33999999999999997</v>
      </c>
      <c r="D35" s="47">
        <f t="shared" si="20"/>
        <v>-1.1900000000000006</v>
      </c>
      <c r="E35" s="47">
        <f t="shared" si="20"/>
        <v>-1.2466666666666666</v>
      </c>
      <c r="F35" s="47">
        <f t="shared" si="20"/>
        <v>-0.73666666666666669</v>
      </c>
      <c r="G35" s="47">
        <f t="shared" si="20"/>
        <v>-0.76500000000000012</v>
      </c>
      <c r="H35" s="47">
        <f t="shared" si="20"/>
        <v>0.25500000000000012</v>
      </c>
      <c r="I35" s="47">
        <f t="shared" si="20"/>
        <v>0.25500000000000012</v>
      </c>
      <c r="J35" s="47">
        <f t="shared" si="20"/>
        <v>0</v>
      </c>
      <c r="K35" s="47">
        <f t="shared" si="20"/>
        <v>0</v>
      </c>
      <c r="L35" s="47">
        <f t="shared" si="20"/>
        <v>0.24650000000000011</v>
      </c>
      <c r="M35" s="47">
        <f t="shared" si="20"/>
        <v>0.25500000000000012</v>
      </c>
      <c r="N35" s="47">
        <f t="shared" si="20"/>
        <v>0</v>
      </c>
      <c r="O35" s="47">
        <f t="shared" si="20"/>
        <v>0</v>
      </c>
      <c r="Q35" s="36">
        <v>381.64999999999992</v>
      </c>
      <c r="R35" s="36">
        <v>383.04999999999984</v>
      </c>
      <c r="S35" s="36">
        <f t="shared" si="4"/>
        <v>16.739999999999998</v>
      </c>
      <c r="T35" s="36">
        <f t="shared" si="5"/>
        <v>16.739999999999998</v>
      </c>
      <c r="U35" s="36">
        <f t="shared" si="6"/>
        <v>1080.9813999999999</v>
      </c>
      <c r="V35" s="36">
        <f t="shared" si="7"/>
        <v>1080.3614666666667</v>
      </c>
      <c r="W35" s="36">
        <f t="shared" si="8"/>
        <v>73.554130000000001</v>
      </c>
      <c r="X35" s="36">
        <f t="shared" si="9"/>
        <v>73.533134999999987</v>
      </c>
      <c r="Y35" s="36">
        <f t="shared" si="10"/>
        <v>19.555</v>
      </c>
      <c r="Z35" s="36">
        <f t="shared" si="11"/>
        <v>19.555</v>
      </c>
      <c r="AA35" s="53"/>
      <c r="AB35" s="53"/>
      <c r="AC35" s="36">
        <f t="shared" si="12"/>
        <v>21.746500000000001</v>
      </c>
      <c r="AD35" s="36">
        <f t="shared" si="13"/>
        <v>21.754999999999999</v>
      </c>
      <c r="AE35" s="53"/>
      <c r="AF35" s="53"/>
      <c r="CD35" s="69">
        <v>2007</v>
      </c>
      <c r="CE35" s="54">
        <f t="shared" si="14"/>
        <v>16.739999999999998</v>
      </c>
      <c r="CF35" s="54">
        <f t="shared" si="15"/>
        <v>73.554130000000001</v>
      </c>
      <c r="CG35" s="69">
        <f t="shared" si="16"/>
        <v>381.64999999999992</v>
      </c>
      <c r="CH35" s="54">
        <f t="shared" si="17"/>
        <v>16.739999999999998</v>
      </c>
      <c r="CI35" s="54">
        <f t="shared" si="19"/>
        <v>73.533134999999987</v>
      </c>
      <c r="CJ35" s="69">
        <f t="shared" si="18"/>
        <v>383.04999999999984</v>
      </c>
    </row>
    <row r="36" spans="1:95">
      <c r="A36" s="35">
        <v>2008</v>
      </c>
      <c r="B36" s="47">
        <f t="shared" si="20"/>
        <v>0.36</v>
      </c>
      <c r="C36" s="47">
        <f t="shared" si="20"/>
        <v>0.36</v>
      </c>
      <c r="D36" s="47">
        <f t="shared" si="20"/>
        <v>-1.2600000000000007</v>
      </c>
      <c r="E36" s="47">
        <f t="shared" si="20"/>
        <v>-1.3199999999999998</v>
      </c>
      <c r="F36" s="47">
        <f t="shared" si="20"/>
        <v>-0.78</v>
      </c>
      <c r="G36" s="47">
        <f t="shared" si="20"/>
        <v>-0.81000000000000016</v>
      </c>
      <c r="H36" s="47">
        <f t="shared" si="20"/>
        <v>0.27000000000000013</v>
      </c>
      <c r="I36" s="47">
        <f t="shared" si="20"/>
        <v>0.27000000000000013</v>
      </c>
      <c r="J36" s="47">
        <f t="shared" si="20"/>
        <v>0</v>
      </c>
      <c r="K36" s="47">
        <f t="shared" si="20"/>
        <v>0</v>
      </c>
      <c r="L36" s="47">
        <f t="shared" si="20"/>
        <v>0.26100000000000012</v>
      </c>
      <c r="M36" s="47">
        <f t="shared" si="20"/>
        <v>0.27000000000000013</v>
      </c>
      <c r="N36" s="47">
        <f t="shared" si="20"/>
        <v>0</v>
      </c>
      <c r="O36" s="47">
        <f t="shared" si="20"/>
        <v>0</v>
      </c>
      <c r="Q36" s="36">
        <v>383.59999999999991</v>
      </c>
      <c r="R36" s="36">
        <v>385.19999999999982</v>
      </c>
      <c r="S36" s="36">
        <f t="shared" si="4"/>
        <v>16.759999999999998</v>
      </c>
      <c r="T36" s="36">
        <f t="shared" si="5"/>
        <v>16.759999999999998</v>
      </c>
      <c r="U36" s="36">
        <f t="shared" si="6"/>
        <v>1080.2156</v>
      </c>
      <c r="V36" s="36">
        <f t="shared" si="7"/>
        <v>1079.5591999999999</v>
      </c>
      <c r="W36" s="36">
        <f t="shared" si="8"/>
        <v>73.522019999999998</v>
      </c>
      <c r="X36" s="36">
        <f t="shared" si="9"/>
        <v>73.49978999999999</v>
      </c>
      <c r="Y36" s="36">
        <f t="shared" si="10"/>
        <v>19.57</v>
      </c>
      <c r="Z36" s="36">
        <f t="shared" si="11"/>
        <v>19.57</v>
      </c>
      <c r="AA36" s="53"/>
      <c r="AB36" s="53"/>
      <c r="AC36" s="36">
        <f t="shared" si="12"/>
        <v>21.760999999999999</v>
      </c>
      <c r="AD36" s="36">
        <f t="shared" si="13"/>
        <v>21.77</v>
      </c>
      <c r="AE36" s="53"/>
      <c r="AF36" s="53"/>
      <c r="CD36" s="69">
        <v>2008</v>
      </c>
      <c r="CE36" s="54">
        <f t="shared" si="14"/>
        <v>16.759999999999998</v>
      </c>
      <c r="CF36" s="54">
        <f t="shared" si="15"/>
        <v>73.522019999999998</v>
      </c>
      <c r="CG36" s="69">
        <f t="shared" si="16"/>
        <v>383.59999999999991</v>
      </c>
      <c r="CH36" s="54">
        <f t="shared" si="17"/>
        <v>16.759999999999998</v>
      </c>
      <c r="CI36" s="54">
        <f t="shared" si="19"/>
        <v>73.49978999999999</v>
      </c>
      <c r="CJ36" s="69">
        <f t="shared" si="18"/>
        <v>385.19999999999982</v>
      </c>
    </row>
    <row r="37" spans="1:95">
      <c r="A37" s="35">
        <v>2009</v>
      </c>
      <c r="B37" s="47">
        <f t="shared" si="20"/>
        <v>0.38</v>
      </c>
      <c r="C37" s="47">
        <f t="shared" si="20"/>
        <v>0.38</v>
      </c>
      <c r="D37" s="47">
        <f t="shared" si="20"/>
        <v>-1.3300000000000007</v>
      </c>
      <c r="E37" s="47">
        <f t="shared" si="20"/>
        <v>-1.3933333333333331</v>
      </c>
      <c r="F37" s="47">
        <f t="shared" si="20"/>
        <v>-0.82333333333333336</v>
      </c>
      <c r="G37" s="47">
        <f t="shared" si="20"/>
        <v>-0.8550000000000002</v>
      </c>
      <c r="H37" s="47">
        <f t="shared" si="20"/>
        <v>0.28500000000000014</v>
      </c>
      <c r="I37" s="47">
        <f t="shared" si="20"/>
        <v>0.28500000000000014</v>
      </c>
      <c r="J37" s="47">
        <f t="shared" si="20"/>
        <v>0</v>
      </c>
      <c r="K37" s="47">
        <f t="shared" si="20"/>
        <v>0</v>
      </c>
      <c r="L37" s="47">
        <f t="shared" si="20"/>
        <v>0.27550000000000013</v>
      </c>
      <c r="M37" s="47">
        <f t="shared" si="20"/>
        <v>0.28500000000000014</v>
      </c>
      <c r="N37" s="47">
        <f t="shared" si="20"/>
        <v>0</v>
      </c>
      <c r="O37" s="47">
        <f t="shared" si="20"/>
        <v>0</v>
      </c>
      <c r="Q37" s="36">
        <v>385.5499999999999</v>
      </c>
      <c r="R37" s="36">
        <v>387.3499999999998</v>
      </c>
      <c r="S37" s="36">
        <f t="shared" si="4"/>
        <v>16.779999999999998</v>
      </c>
      <c r="T37" s="36">
        <f t="shared" si="5"/>
        <v>16.779999999999998</v>
      </c>
      <c r="U37" s="36">
        <f t="shared" si="6"/>
        <v>1079.4498000000001</v>
      </c>
      <c r="V37" s="36">
        <f t="shared" si="7"/>
        <v>1078.7569333333333</v>
      </c>
      <c r="W37" s="36">
        <f t="shared" si="8"/>
        <v>73.489909999999995</v>
      </c>
      <c r="X37" s="36">
        <f t="shared" si="9"/>
        <v>73.466444999999993</v>
      </c>
      <c r="Y37" s="36">
        <f t="shared" si="10"/>
        <v>19.585000000000001</v>
      </c>
      <c r="Z37" s="36">
        <f t="shared" si="11"/>
        <v>19.585000000000001</v>
      </c>
      <c r="AA37" s="53"/>
      <c r="AB37" s="53"/>
      <c r="AC37" s="36">
        <f t="shared" si="12"/>
        <v>21.775500000000001</v>
      </c>
      <c r="AD37" s="36">
        <f t="shared" si="13"/>
        <v>21.785</v>
      </c>
      <c r="AE37" s="53"/>
      <c r="AF37" s="53"/>
      <c r="CD37" s="69">
        <v>2009</v>
      </c>
      <c r="CE37" s="54">
        <f t="shared" si="14"/>
        <v>16.779999999999998</v>
      </c>
      <c r="CF37" s="54">
        <f t="shared" si="15"/>
        <v>73.489909999999995</v>
      </c>
      <c r="CG37" s="69">
        <f t="shared" si="16"/>
        <v>385.5499999999999</v>
      </c>
      <c r="CH37" s="54">
        <f t="shared" si="17"/>
        <v>16.779999999999998</v>
      </c>
      <c r="CI37" s="54">
        <f t="shared" si="19"/>
        <v>73.466444999999993</v>
      </c>
      <c r="CJ37" s="69">
        <f t="shared" si="18"/>
        <v>387.3499999999998</v>
      </c>
    </row>
    <row r="38" spans="1:95">
      <c r="A38" s="35">
        <v>2010</v>
      </c>
      <c r="B38" s="47">
        <f>B6</f>
        <v>0.39999999999999997</v>
      </c>
      <c r="C38" s="47">
        <f>C6</f>
        <v>0.39999999999999997</v>
      </c>
      <c r="D38" s="47">
        <f>D6</f>
        <v>-1.4000000000000001</v>
      </c>
      <c r="E38" s="47">
        <f>E6</f>
        <v>-1.4666666666666668</v>
      </c>
      <c r="F38" s="47">
        <f t="shared" ref="F38:N38" si="21">F6</f>
        <v>-0.8666666666666667</v>
      </c>
      <c r="G38" s="47">
        <f t="shared" si="21"/>
        <v>-0.9</v>
      </c>
      <c r="H38" s="47">
        <f t="shared" si="21"/>
        <v>0.3</v>
      </c>
      <c r="I38" s="47">
        <f t="shared" si="21"/>
        <v>0.3</v>
      </c>
      <c r="J38" s="47">
        <f t="shared" si="21"/>
        <v>0</v>
      </c>
      <c r="K38" s="47">
        <f t="shared" si="21"/>
        <v>0</v>
      </c>
      <c r="L38" s="47">
        <f t="shared" si="21"/>
        <v>0.28999999999999998</v>
      </c>
      <c r="M38" s="47">
        <f t="shared" si="21"/>
        <v>0.3</v>
      </c>
      <c r="N38" s="47">
        <f t="shared" si="21"/>
        <v>0</v>
      </c>
      <c r="O38" s="47">
        <f>O6</f>
        <v>0</v>
      </c>
      <c r="Q38" s="36">
        <v>387.5</v>
      </c>
      <c r="R38" s="36">
        <v>389.5</v>
      </c>
      <c r="S38" s="36">
        <f t="shared" si="4"/>
        <v>16.799999999999997</v>
      </c>
      <c r="T38" s="36">
        <f t="shared" si="5"/>
        <v>16.799999999999997</v>
      </c>
      <c r="U38" s="36">
        <f t="shared" si="6"/>
        <v>1078.684</v>
      </c>
      <c r="V38" s="36">
        <f t="shared" si="7"/>
        <v>1077.9546666666668</v>
      </c>
      <c r="W38" s="36">
        <f t="shared" si="8"/>
        <v>73.457799999999992</v>
      </c>
      <c r="X38" s="36">
        <f t="shared" si="9"/>
        <v>73.433099999999996</v>
      </c>
      <c r="Y38" s="36">
        <f t="shared" si="10"/>
        <v>19.600000000000001</v>
      </c>
      <c r="Z38" s="36">
        <f t="shared" si="11"/>
        <v>19.600000000000001</v>
      </c>
      <c r="AA38" s="53"/>
      <c r="AB38" s="53"/>
      <c r="AC38" s="36">
        <f t="shared" si="12"/>
        <v>21.79</v>
      </c>
      <c r="AD38" s="36">
        <f t="shared" si="13"/>
        <v>21.8</v>
      </c>
      <c r="AE38" s="53"/>
      <c r="AF38" s="53"/>
      <c r="CD38" s="69">
        <v>2010</v>
      </c>
      <c r="CE38" s="54">
        <f t="shared" si="14"/>
        <v>16.799999999999997</v>
      </c>
      <c r="CF38" s="54">
        <f t="shared" si="15"/>
        <v>73.457799999999992</v>
      </c>
      <c r="CG38" s="69">
        <f t="shared" si="16"/>
        <v>387.5</v>
      </c>
      <c r="CH38" s="54">
        <f t="shared" si="17"/>
        <v>16.799999999999997</v>
      </c>
      <c r="CI38" s="54">
        <f t="shared" si="19"/>
        <v>73.433099999999996</v>
      </c>
      <c r="CJ38" s="69">
        <f t="shared" si="18"/>
        <v>389.5</v>
      </c>
    </row>
    <row r="39" spans="1:95">
      <c r="A39" s="35">
        <v>2011</v>
      </c>
      <c r="B39" s="47">
        <f t="shared" ref="B39:O54" si="22">(B$7-B$6)/COUNT($A$38:$A$57)+B38</f>
        <v>0.43999999999999995</v>
      </c>
      <c r="C39" s="47">
        <f t="shared" si="22"/>
        <v>0.43999999999999995</v>
      </c>
      <c r="D39" s="47">
        <f t="shared" si="22"/>
        <v>-1.54</v>
      </c>
      <c r="E39" s="47">
        <f t="shared" si="22"/>
        <v>-1.6133333333333335</v>
      </c>
      <c r="F39" s="47">
        <f t="shared" si="22"/>
        <v>-0.95333333333333337</v>
      </c>
      <c r="G39" s="47">
        <f t="shared" si="22"/>
        <v>-0.99</v>
      </c>
      <c r="H39" s="47">
        <f t="shared" si="22"/>
        <v>0.33</v>
      </c>
      <c r="I39" s="47">
        <f t="shared" si="22"/>
        <v>0.33</v>
      </c>
      <c r="J39" s="47">
        <f t="shared" si="22"/>
        <v>0</v>
      </c>
      <c r="K39" s="47">
        <f t="shared" si="22"/>
        <v>0</v>
      </c>
      <c r="L39" s="47">
        <f t="shared" si="22"/>
        <v>0.31900000000000001</v>
      </c>
      <c r="M39" s="47">
        <f t="shared" si="22"/>
        <v>0.33</v>
      </c>
      <c r="N39" s="47">
        <f t="shared" si="22"/>
        <v>0</v>
      </c>
      <c r="O39" s="47">
        <f t="shared" si="22"/>
        <v>0</v>
      </c>
      <c r="Q39" s="36">
        <v>390.35</v>
      </c>
      <c r="R39" s="36">
        <v>392.45</v>
      </c>
      <c r="S39" s="36">
        <f t="shared" si="4"/>
        <v>16.84</v>
      </c>
      <c r="T39" s="36">
        <f t="shared" si="5"/>
        <v>16.84</v>
      </c>
      <c r="U39" s="36">
        <f t="shared" si="6"/>
        <v>1077.1523999999999</v>
      </c>
      <c r="V39" s="36">
        <f t="shared" si="7"/>
        <v>1076.3501333333334</v>
      </c>
      <c r="W39" s="36">
        <f t="shared" si="8"/>
        <v>73.39358</v>
      </c>
      <c r="X39" s="36">
        <f t="shared" si="9"/>
        <v>73.366409999999988</v>
      </c>
      <c r="Y39" s="36">
        <f t="shared" si="10"/>
        <v>19.63</v>
      </c>
      <c r="Z39" s="36">
        <f t="shared" si="11"/>
        <v>19.63</v>
      </c>
      <c r="AA39" s="53"/>
      <c r="AB39" s="53"/>
      <c r="AC39" s="36">
        <f t="shared" si="12"/>
        <v>21.818999999999999</v>
      </c>
      <c r="AD39" s="36">
        <f t="shared" si="13"/>
        <v>21.83</v>
      </c>
      <c r="AE39" s="53"/>
      <c r="AF39" s="53"/>
      <c r="CD39" s="69">
        <v>2011</v>
      </c>
      <c r="CE39" s="54">
        <f t="shared" si="14"/>
        <v>16.84</v>
      </c>
      <c r="CF39" s="54">
        <f t="shared" si="15"/>
        <v>73.39358</v>
      </c>
      <c r="CG39" s="69">
        <f t="shared" si="16"/>
        <v>390.35</v>
      </c>
      <c r="CH39" s="54">
        <f t="shared" si="17"/>
        <v>16.84</v>
      </c>
      <c r="CI39" s="54">
        <f t="shared" si="19"/>
        <v>73.366409999999988</v>
      </c>
      <c r="CJ39" s="69">
        <f t="shared" si="18"/>
        <v>392.45</v>
      </c>
    </row>
    <row r="40" spans="1:95">
      <c r="A40" s="35">
        <v>2012</v>
      </c>
      <c r="B40" s="47">
        <f t="shared" si="22"/>
        <v>0.47999999999999993</v>
      </c>
      <c r="C40" s="47">
        <f t="shared" si="22"/>
        <v>0.47999999999999993</v>
      </c>
      <c r="D40" s="47">
        <f t="shared" si="22"/>
        <v>-1.68</v>
      </c>
      <c r="E40" s="47">
        <f t="shared" si="22"/>
        <v>-1.7600000000000002</v>
      </c>
      <c r="F40" s="47">
        <f t="shared" si="22"/>
        <v>-1.04</v>
      </c>
      <c r="G40" s="47">
        <f t="shared" si="22"/>
        <v>-1.08</v>
      </c>
      <c r="H40" s="47">
        <f t="shared" si="22"/>
        <v>0.36000000000000004</v>
      </c>
      <c r="I40" s="47">
        <f t="shared" si="22"/>
        <v>0.36000000000000004</v>
      </c>
      <c r="J40" s="47">
        <f t="shared" si="22"/>
        <v>0</v>
      </c>
      <c r="K40" s="47">
        <f t="shared" si="22"/>
        <v>0</v>
      </c>
      <c r="L40" s="47">
        <f t="shared" si="22"/>
        <v>0.34800000000000003</v>
      </c>
      <c r="M40" s="47">
        <f t="shared" si="22"/>
        <v>0.36000000000000004</v>
      </c>
      <c r="N40" s="47">
        <f t="shared" si="22"/>
        <v>0</v>
      </c>
      <c r="O40" s="47">
        <f t="shared" si="22"/>
        <v>0</v>
      </c>
      <c r="Q40" s="36">
        <v>393.20000000000005</v>
      </c>
      <c r="R40" s="36">
        <v>395.4</v>
      </c>
      <c r="S40" s="36">
        <f t="shared" si="4"/>
        <v>16.88</v>
      </c>
      <c r="T40" s="36">
        <f t="shared" si="5"/>
        <v>16.88</v>
      </c>
      <c r="U40" s="36">
        <f t="shared" si="6"/>
        <v>1075.6207999999999</v>
      </c>
      <c r="V40" s="36">
        <f t="shared" si="7"/>
        <v>1074.7456</v>
      </c>
      <c r="W40" s="36">
        <f t="shared" si="8"/>
        <v>73.329359999999994</v>
      </c>
      <c r="X40" s="36">
        <f t="shared" si="9"/>
        <v>73.299719999999994</v>
      </c>
      <c r="Y40" s="36">
        <f t="shared" si="10"/>
        <v>19.66</v>
      </c>
      <c r="Z40" s="36">
        <f t="shared" si="11"/>
        <v>19.66</v>
      </c>
      <c r="AA40" s="53"/>
      <c r="AB40" s="53"/>
      <c r="AC40" s="36">
        <f t="shared" si="12"/>
        <v>21.847999999999999</v>
      </c>
      <c r="AD40" s="36">
        <f t="shared" si="13"/>
        <v>21.86</v>
      </c>
      <c r="AE40" s="53"/>
      <c r="AF40" s="53"/>
      <c r="CD40" s="69">
        <v>2012</v>
      </c>
      <c r="CE40" s="54">
        <f t="shared" si="14"/>
        <v>16.88</v>
      </c>
      <c r="CF40" s="54">
        <f t="shared" si="15"/>
        <v>73.329359999999994</v>
      </c>
      <c r="CG40" s="69">
        <f t="shared" si="16"/>
        <v>393.20000000000005</v>
      </c>
      <c r="CH40" s="54">
        <f t="shared" si="17"/>
        <v>16.88</v>
      </c>
      <c r="CI40" s="54">
        <f t="shared" si="19"/>
        <v>73.299719999999994</v>
      </c>
      <c r="CJ40" s="69">
        <f t="shared" si="18"/>
        <v>395.4</v>
      </c>
    </row>
    <row r="41" spans="1:95">
      <c r="A41" s="35">
        <v>2013</v>
      </c>
      <c r="B41" s="47">
        <f t="shared" si="22"/>
        <v>0.51999999999999991</v>
      </c>
      <c r="C41" s="47">
        <f t="shared" si="22"/>
        <v>0.51999999999999991</v>
      </c>
      <c r="D41" s="47">
        <f t="shared" si="22"/>
        <v>-1.8199999999999998</v>
      </c>
      <c r="E41" s="47">
        <f t="shared" si="22"/>
        <v>-1.906666666666667</v>
      </c>
      <c r="F41" s="47">
        <f t="shared" si="22"/>
        <v>-1.1266666666666667</v>
      </c>
      <c r="G41" s="47">
        <f t="shared" si="22"/>
        <v>-1.1700000000000002</v>
      </c>
      <c r="H41" s="47">
        <f t="shared" si="22"/>
        <v>0.39000000000000007</v>
      </c>
      <c r="I41" s="47">
        <f t="shared" si="22"/>
        <v>0.39000000000000007</v>
      </c>
      <c r="J41" s="47">
        <f t="shared" si="22"/>
        <v>0</v>
      </c>
      <c r="K41" s="47">
        <f t="shared" si="22"/>
        <v>0</v>
      </c>
      <c r="L41" s="47">
        <f t="shared" si="22"/>
        <v>0.37700000000000006</v>
      </c>
      <c r="M41" s="47">
        <f t="shared" si="22"/>
        <v>0.39000000000000007</v>
      </c>
      <c r="N41" s="47">
        <f t="shared" si="22"/>
        <v>0</v>
      </c>
      <c r="O41" s="47">
        <f t="shared" si="22"/>
        <v>0</v>
      </c>
      <c r="Q41" s="36">
        <v>396.05000000000007</v>
      </c>
      <c r="R41" s="36">
        <v>398.34999999999997</v>
      </c>
      <c r="S41" s="36">
        <f t="shared" si="4"/>
        <v>16.919999999999998</v>
      </c>
      <c r="T41" s="36">
        <f t="shared" si="5"/>
        <v>16.919999999999998</v>
      </c>
      <c r="U41" s="36">
        <f t="shared" si="6"/>
        <v>1074.0891999999999</v>
      </c>
      <c r="V41" s="36">
        <f t="shared" si="7"/>
        <v>1073.1410666666666</v>
      </c>
      <c r="W41" s="36">
        <f t="shared" si="8"/>
        <v>73.265139999999988</v>
      </c>
      <c r="X41" s="36">
        <f t="shared" si="9"/>
        <v>73.233029999999999</v>
      </c>
      <c r="Y41" s="36">
        <f t="shared" si="10"/>
        <v>19.690000000000001</v>
      </c>
      <c r="Z41" s="36">
        <f t="shared" si="11"/>
        <v>19.690000000000001</v>
      </c>
      <c r="AA41" s="53"/>
      <c r="AB41" s="53"/>
      <c r="AC41" s="36">
        <f t="shared" si="12"/>
        <v>21.876999999999999</v>
      </c>
      <c r="AD41" s="36">
        <f t="shared" si="13"/>
        <v>21.89</v>
      </c>
      <c r="AE41" s="53"/>
      <c r="AF41" s="5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9">
        <v>2013</v>
      </c>
      <c r="CE41" s="54">
        <f t="shared" si="14"/>
        <v>16.919999999999998</v>
      </c>
      <c r="CF41" s="54">
        <f t="shared" si="15"/>
        <v>73.265139999999988</v>
      </c>
      <c r="CG41" s="69">
        <f t="shared" si="16"/>
        <v>396.05000000000007</v>
      </c>
      <c r="CH41" s="54">
        <f t="shared" si="17"/>
        <v>16.919999999999998</v>
      </c>
      <c r="CI41" s="54">
        <f t="shared" si="19"/>
        <v>73.233029999999999</v>
      </c>
      <c r="CJ41" s="69">
        <f t="shared" si="18"/>
        <v>398.34999999999997</v>
      </c>
      <c r="CK41" s="43"/>
      <c r="CL41" s="43"/>
      <c r="CM41" s="43"/>
      <c r="CN41" s="43"/>
      <c r="CO41" s="43"/>
      <c r="CP41" s="43"/>
      <c r="CQ41" s="43"/>
    </row>
    <row r="42" spans="1:95">
      <c r="A42" s="35">
        <v>2014</v>
      </c>
      <c r="B42" s="47">
        <f t="shared" si="22"/>
        <v>0.55999999999999994</v>
      </c>
      <c r="C42" s="47">
        <f t="shared" si="22"/>
        <v>0.55999999999999994</v>
      </c>
      <c r="D42" s="47">
        <f t="shared" si="22"/>
        <v>-1.9599999999999997</v>
      </c>
      <c r="E42" s="47">
        <f t="shared" si="22"/>
        <v>-2.0533333333333337</v>
      </c>
      <c r="F42" s="47">
        <f t="shared" si="22"/>
        <v>-1.2133333333333334</v>
      </c>
      <c r="G42" s="47">
        <f t="shared" si="22"/>
        <v>-1.2600000000000002</v>
      </c>
      <c r="H42" s="47">
        <f t="shared" si="22"/>
        <v>0.4200000000000001</v>
      </c>
      <c r="I42" s="47">
        <f t="shared" si="22"/>
        <v>0.4200000000000001</v>
      </c>
      <c r="J42" s="47">
        <f t="shared" si="22"/>
        <v>0</v>
      </c>
      <c r="K42" s="47">
        <f t="shared" si="22"/>
        <v>0</v>
      </c>
      <c r="L42" s="47">
        <f t="shared" si="22"/>
        <v>0.40600000000000008</v>
      </c>
      <c r="M42" s="47">
        <f t="shared" si="22"/>
        <v>0.4200000000000001</v>
      </c>
      <c r="N42" s="47">
        <f t="shared" si="22"/>
        <v>0</v>
      </c>
      <c r="O42" s="47">
        <f t="shared" si="22"/>
        <v>0</v>
      </c>
      <c r="Q42" s="36">
        <v>398.90000000000009</v>
      </c>
      <c r="R42" s="36">
        <v>401.29999999999995</v>
      </c>
      <c r="S42" s="36">
        <f t="shared" si="4"/>
        <v>16.959999999999997</v>
      </c>
      <c r="T42" s="36">
        <f t="shared" si="5"/>
        <v>16.959999999999997</v>
      </c>
      <c r="U42" s="36">
        <f t="shared" si="6"/>
        <v>1072.5576000000001</v>
      </c>
      <c r="V42" s="36">
        <f t="shared" si="7"/>
        <v>1071.5365333333334</v>
      </c>
      <c r="W42" s="36">
        <f t="shared" si="8"/>
        <v>73.200919999999996</v>
      </c>
      <c r="X42" s="36">
        <f t="shared" si="9"/>
        <v>73.166339999999991</v>
      </c>
      <c r="Y42" s="36">
        <f t="shared" si="10"/>
        <v>19.720000000000002</v>
      </c>
      <c r="Z42" s="36">
        <f t="shared" si="11"/>
        <v>19.720000000000002</v>
      </c>
      <c r="AA42" s="53"/>
      <c r="AB42" s="53"/>
      <c r="AC42" s="36">
        <f t="shared" si="12"/>
        <v>21.905999999999999</v>
      </c>
      <c r="AD42" s="36">
        <f t="shared" si="13"/>
        <v>21.92</v>
      </c>
      <c r="AE42" s="53"/>
      <c r="AF42" s="53"/>
      <c r="CD42" s="69">
        <v>2014</v>
      </c>
      <c r="CE42" s="54">
        <f t="shared" si="14"/>
        <v>16.959999999999997</v>
      </c>
      <c r="CF42" s="54">
        <f t="shared" si="15"/>
        <v>73.200919999999996</v>
      </c>
      <c r="CG42" s="69">
        <f t="shared" si="16"/>
        <v>398.90000000000009</v>
      </c>
      <c r="CH42" s="54">
        <f t="shared" si="17"/>
        <v>16.959999999999997</v>
      </c>
      <c r="CI42" s="54">
        <f t="shared" si="19"/>
        <v>73.166339999999991</v>
      </c>
      <c r="CJ42" s="69">
        <f t="shared" si="18"/>
        <v>401.29999999999995</v>
      </c>
    </row>
    <row r="43" spans="1:95">
      <c r="A43" s="35">
        <v>2015</v>
      </c>
      <c r="B43" s="47">
        <f t="shared" si="22"/>
        <v>0.6</v>
      </c>
      <c r="C43" s="47">
        <f t="shared" si="22"/>
        <v>0.6</v>
      </c>
      <c r="D43" s="47">
        <f t="shared" si="22"/>
        <v>-2.0999999999999996</v>
      </c>
      <c r="E43" s="47">
        <f t="shared" si="22"/>
        <v>-2.2000000000000002</v>
      </c>
      <c r="F43" s="47">
        <f t="shared" si="22"/>
        <v>-1.3</v>
      </c>
      <c r="G43" s="47">
        <f t="shared" si="22"/>
        <v>-1.3500000000000003</v>
      </c>
      <c r="H43" s="47">
        <f t="shared" si="22"/>
        <v>0.45000000000000012</v>
      </c>
      <c r="I43" s="47">
        <f t="shared" si="22"/>
        <v>0.45000000000000012</v>
      </c>
      <c r="J43" s="47">
        <f t="shared" si="22"/>
        <v>0</v>
      </c>
      <c r="K43" s="47">
        <f t="shared" si="22"/>
        <v>0</v>
      </c>
      <c r="L43" s="47">
        <f t="shared" si="22"/>
        <v>0.43500000000000011</v>
      </c>
      <c r="M43" s="47">
        <f t="shared" si="22"/>
        <v>0.45000000000000012</v>
      </c>
      <c r="N43" s="47">
        <f t="shared" si="22"/>
        <v>0</v>
      </c>
      <c r="O43" s="47">
        <f t="shared" si="22"/>
        <v>0</v>
      </c>
      <c r="Q43" s="36">
        <v>401.75000000000011</v>
      </c>
      <c r="R43" s="36">
        <v>404.24999999999994</v>
      </c>
      <c r="S43" s="36">
        <f t="shared" si="4"/>
        <v>17</v>
      </c>
      <c r="T43" s="36">
        <f t="shared" si="5"/>
        <v>17</v>
      </c>
      <c r="U43" s="36">
        <f t="shared" si="6"/>
        <v>1071.0260000000001</v>
      </c>
      <c r="V43" s="36">
        <f t="shared" si="7"/>
        <v>1069.932</v>
      </c>
      <c r="W43" s="36">
        <f t="shared" si="8"/>
        <v>73.13669999999999</v>
      </c>
      <c r="X43" s="36">
        <f t="shared" si="9"/>
        <v>73.099649999999997</v>
      </c>
      <c r="Y43" s="36">
        <f t="shared" si="10"/>
        <v>19.75</v>
      </c>
      <c r="Z43" s="36">
        <f t="shared" si="11"/>
        <v>19.75</v>
      </c>
      <c r="AA43" s="53"/>
      <c r="AB43" s="53"/>
      <c r="AC43" s="36">
        <f t="shared" si="12"/>
        <v>21.934999999999999</v>
      </c>
      <c r="AD43" s="36">
        <f t="shared" si="13"/>
        <v>21.95</v>
      </c>
      <c r="AE43" s="53"/>
      <c r="AF43" s="53"/>
      <c r="CD43" s="69">
        <v>2015</v>
      </c>
      <c r="CE43" s="54">
        <f t="shared" si="14"/>
        <v>17</v>
      </c>
      <c r="CF43" s="54">
        <f t="shared" si="15"/>
        <v>73.13669999999999</v>
      </c>
      <c r="CG43" s="69">
        <f t="shared" si="16"/>
        <v>401.75000000000011</v>
      </c>
      <c r="CH43" s="54">
        <f t="shared" si="17"/>
        <v>17</v>
      </c>
      <c r="CI43" s="54">
        <f t="shared" si="19"/>
        <v>73.099649999999997</v>
      </c>
      <c r="CJ43" s="69">
        <f t="shared" si="18"/>
        <v>404.24999999999994</v>
      </c>
    </row>
    <row r="44" spans="1:95">
      <c r="A44" s="35">
        <v>2016</v>
      </c>
      <c r="B44" s="47">
        <f t="shared" si="22"/>
        <v>0.64</v>
      </c>
      <c r="C44" s="47">
        <f t="shared" si="22"/>
        <v>0.64</v>
      </c>
      <c r="D44" s="47">
        <f t="shared" si="22"/>
        <v>-2.2399999999999998</v>
      </c>
      <c r="E44" s="47">
        <f t="shared" si="22"/>
        <v>-2.3466666666666667</v>
      </c>
      <c r="F44" s="47">
        <f t="shared" si="22"/>
        <v>-1.3866666666666667</v>
      </c>
      <c r="G44" s="47">
        <f t="shared" si="22"/>
        <v>-1.4400000000000004</v>
      </c>
      <c r="H44" s="47">
        <f t="shared" si="22"/>
        <v>0.48000000000000015</v>
      </c>
      <c r="I44" s="47">
        <f t="shared" si="22"/>
        <v>0.48000000000000015</v>
      </c>
      <c r="J44" s="47">
        <f t="shared" si="22"/>
        <v>0</v>
      </c>
      <c r="K44" s="47">
        <f t="shared" si="22"/>
        <v>0</v>
      </c>
      <c r="L44" s="47">
        <f t="shared" si="22"/>
        <v>0.46400000000000013</v>
      </c>
      <c r="M44" s="47">
        <f t="shared" si="22"/>
        <v>0.48000000000000015</v>
      </c>
      <c r="N44" s="47">
        <f t="shared" si="22"/>
        <v>0</v>
      </c>
      <c r="O44" s="47">
        <f t="shared" si="22"/>
        <v>0</v>
      </c>
      <c r="Q44" s="36">
        <v>404.60000000000014</v>
      </c>
      <c r="R44" s="36">
        <v>407.19999999999993</v>
      </c>
      <c r="S44" s="36">
        <f t="shared" si="4"/>
        <v>17.04</v>
      </c>
      <c r="T44" s="36">
        <f t="shared" si="5"/>
        <v>17.04</v>
      </c>
      <c r="U44" s="36">
        <f t="shared" si="6"/>
        <v>1069.4944</v>
      </c>
      <c r="V44" s="36">
        <f t="shared" si="7"/>
        <v>1068.3274666666666</v>
      </c>
      <c r="W44" s="36">
        <f t="shared" si="8"/>
        <v>73.072479999999999</v>
      </c>
      <c r="X44" s="36">
        <f t="shared" si="9"/>
        <v>73.032959999999989</v>
      </c>
      <c r="Y44" s="36">
        <f t="shared" si="10"/>
        <v>19.78</v>
      </c>
      <c r="Z44" s="36">
        <f t="shared" si="11"/>
        <v>19.78</v>
      </c>
      <c r="AA44" s="53"/>
      <c r="AB44" s="53"/>
      <c r="AC44" s="36">
        <f t="shared" si="12"/>
        <v>21.963999999999999</v>
      </c>
      <c r="AD44" s="36">
        <f t="shared" si="13"/>
        <v>21.98</v>
      </c>
      <c r="AE44" s="53"/>
      <c r="AF44" s="53"/>
      <c r="CD44" s="69">
        <v>2016</v>
      </c>
      <c r="CE44" s="54">
        <f t="shared" si="14"/>
        <v>17.04</v>
      </c>
      <c r="CF44" s="54">
        <f t="shared" si="15"/>
        <v>73.072479999999999</v>
      </c>
      <c r="CG44" s="69">
        <f t="shared" si="16"/>
        <v>404.60000000000014</v>
      </c>
      <c r="CH44" s="54">
        <f t="shared" si="17"/>
        <v>17.04</v>
      </c>
      <c r="CI44" s="54">
        <f t="shared" si="19"/>
        <v>73.032959999999989</v>
      </c>
      <c r="CJ44" s="69">
        <f t="shared" si="18"/>
        <v>407.19999999999993</v>
      </c>
    </row>
    <row r="45" spans="1:95">
      <c r="A45" s="35">
        <v>2017</v>
      </c>
      <c r="B45" s="47">
        <f t="shared" si="22"/>
        <v>0.68</v>
      </c>
      <c r="C45" s="47">
        <f t="shared" si="22"/>
        <v>0.68</v>
      </c>
      <c r="D45" s="47">
        <f t="shared" si="22"/>
        <v>-2.38</v>
      </c>
      <c r="E45" s="47">
        <f t="shared" si="22"/>
        <v>-2.4933333333333332</v>
      </c>
      <c r="F45" s="47">
        <f t="shared" si="22"/>
        <v>-1.4733333333333334</v>
      </c>
      <c r="G45" s="47">
        <f t="shared" si="22"/>
        <v>-1.5300000000000005</v>
      </c>
      <c r="H45" s="47">
        <f t="shared" si="22"/>
        <v>0.51000000000000012</v>
      </c>
      <c r="I45" s="47">
        <f t="shared" si="22"/>
        <v>0.51000000000000012</v>
      </c>
      <c r="J45" s="47">
        <f t="shared" si="22"/>
        <v>0</v>
      </c>
      <c r="K45" s="47">
        <f t="shared" si="22"/>
        <v>0</v>
      </c>
      <c r="L45" s="47">
        <f t="shared" si="22"/>
        <v>0.49300000000000016</v>
      </c>
      <c r="M45" s="47">
        <f t="shared" si="22"/>
        <v>0.51000000000000012</v>
      </c>
      <c r="N45" s="47">
        <f t="shared" si="22"/>
        <v>0</v>
      </c>
      <c r="O45" s="47">
        <f t="shared" si="22"/>
        <v>0</v>
      </c>
      <c r="Q45" s="36">
        <v>407.45000000000016</v>
      </c>
      <c r="R45" s="36">
        <v>410.14999999999992</v>
      </c>
      <c r="S45" s="36">
        <f t="shared" si="4"/>
        <v>17.079999999999998</v>
      </c>
      <c r="T45" s="36">
        <f t="shared" si="5"/>
        <v>17.079999999999998</v>
      </c>
      <c r="U45" s="36">
        <f t="shared" si="6"/>
        <v>1067.9628</v>
      </c>
      <c r="V45" s="36">
        <f t="shared" si="7"/>
        <v>1066.7229333333332</v>
      </c>
      <c r="W45" s="36">
        <f t="shared" si="8"/>
        <v>73.008259999999993</v>
      </c>
      <c r="X45" s="36">
        <f t="shared" si="9"/>
        <v>72.966269999999994</v>
      </c>
      <c r="Y45" s="36">
        <f t="shared" si="10"/>
        <v>19.810000000000002</v>
      </c>
      <c r="Z45" s="36">
        <f t="shared" si="11"/>
        <v>19.810000000000002</v>
      </c>
      <c r="AA45" s="53"/>
      <c r="AB45" s="53"/>
      <c r="AC45" s="36">
        <f t="shared" si="12"/>
        <v>21.992999999999999</v>
      </c>
      <c r="AD45" s="36">
        <f t="shared" si="13"/>
        <v>22.01</v>
      </c>
      <c r="AE45" s="53"/>
      <c r="AF45" s="53"/>
      <c r="CD45" s="69">
        <v>2017</v>
      </c>
      <c r="CE45" s="54">
        <f t="shared" si="14"/>
        <v>17.079999999999998</v>
      </c>
      <c r="CF45" s="54">
        <f t="shared" si="15"/>
        <v>73.008259999999993</v>
      </c>
      <c r="CG45" s="69">
        <f t="shared" si="16"/>
        <v>407.45000000000016</v>
      </c>
      <c r="CH45" s="54">
        <f t="shared" si="17"/>
        <v>17.079999999999998</v>
      </c>
      <c r="CI45" s="54">
        <f t="shared" si="19"/>
        <v>72.966269999999994</v>
      </c>
      <c r="CJ45" s="69">
        <f t="shared" si="18"/>
        <v>410.14999999999992</v>
      </c>
    </row>
    <row r="46" spans="1:95">
      <c r="A46" s="35">
        <v>2018</v>
      </c>
      <c r="B46" s="47">
        <f t="shared" si="22"/>
        <v>0.72000000000000008</v>
      </c>
      <c r="C46" s="47">
        <f t="shared" si="22"/>
        <v>0.72000000000000008</v>
      </c>
      <c r="D46" s="47">
        <f t="shared" si="22"/>
        <v>-2.52</v>
      </c>
      <c r="E46" s="47">
        <f t="shared" si="22"/>
        <v>-2.6399999999999997</v>
      </c>
      <c r="F46" s="47">
        <f t="shared" si="22"/>
        <v>-1.56</v>
      </c>
      <c r="G46" s="47">
        <f t="shared" si="22"/>
        <v>-1.6200000000000006</v>
      </c>
      <c r="H46" s="47">
        <f t="shared" si="22"/>
        <v>0.54000000000000015</v>
      </c>
      <c r="I46" s="47">
        <f t="shared" si="22"/>
        <v>0.54000000000000015</v>
      </c>
      <c r="J46" s="47">
        <f t="shared" si="22"/>
        <v>0</v>
      </c>
      <c r="K46" s="47">
        <f t="shared" si="22"/>
        <v>0</v>
      </c>
      <c r="L46" s="47">
        <f t="shared" si="22"/>
        <v>0.52200000000000013</v>
      </c>
      <c r="M46" s="47">
        <f t="shared" si="22"/>
        <v>0.54000000000000015</v>
      </c>
      <c r="N46" s="47">
        <f t="shared" si="22"/>
        <v>0</v>
      </c>
      <c r="O46" s="47">
        <f t="shared" si="22"/>
        <v>0</v>
      </c>
      <c r="Q46" s="36">
        <v>410.30000000000018</v>
      </c>
      <c r="R46" s="36">
        <v>413.09999999999991</v>
      </c>
      <c r="S46" s="36">
        <f t="shared" si="4"/>
        <v>17.119999999999997</v>
      </c>
      <c r="T46" s="36">
        <f t="shared" si="5"/>
        <v>17.119999999999997</v>
      </c>
      <c r="U46" s="36">
        <f t="shared" si="6"/>
        <v>1066.4312</v>
      </c>
      <c r="V46" s="36">
        <f t="shared" si="7"/>
        <v>1065.1184000000001</v>
      </c>
      <c r="W46" s="36">
        <f t="shared" si="8"/>
        <v>72.944040000000001</v>
      </c>
      <c r="X46" s="36">
        <f t="shared" si="9"/>
        <v>72.89958</v>
      </c>
      <c r="Y46" s="36">
        <f t="shared" si="10"/>
        <v>19.84</v>
      </c>
      <c r="Z46" s="36">
        <f t="shared" si="11"/>
        <v>19.84</v>
      </c>
      <c r="AA46" s="53"/>
      <c r="AB46" s="53"/>
      <c r="AC46" s="36">
        <f t="shared" si="12"/>
        <v>22.021999999999998</v>
      </c>
      <c r="AD46" s="36">
        <f t="shared" si="13"/>
        <v>22.04</v>
      </c>
      <c r="AE46" s="53"/>
      <c r="AF46" s="53"/>
      <c r="CD46" s="69">
        <v>2018</v>
      </c>
      <c r="CE46" s="54">
        <f t="shared" si="14"/>
        <v>17.119999999999997</v>
      </c>
      <c r="CF46" s="54">
        <f t="shared" si="15"/>
        <v>72.944040000000001</v>
      </c>
      <c r="CG46" s="69">
        <f t="shared" si="16"/>
        <v>410.30000000000018</v>
      </c>
      <c r="CH46" s="54">
        <f t="shared" si="17"/>
        <v>17.119999999999997</v>
      </c>
      <c r="CI46" s="54">
        <f t="shared" si="19"/>
        <v>72.89958</v>
      </c>
      <c r="CJ46" s="69">
        <f t="shared" si="18"/>
        <v>413.09999999999991</v>
      </c>
    </row>
    <row r="47" spans="1:95">
      <c r="A47" s="35">
        <v>2019</v>
      </c>
      <c r="B47" s="47">
        <f t="shared" si="22"/>
        <v>0.76000000000000012</v>
      </c>
      <c r="C47" s="47">
        <f t="shared" si="22"/>
        <v>0.76000000000000012</v>
      </c>
      <c r="D47" s="47">
        <f t="shared" si="22"/>
        <v>-2.66</v>
      </c>
      <c r="E47" s="47">
        <f t="shared" si="22"/>
        <v>-2.7866666666666662</v>
      </c>
      <c r="F47" s="47">
        <f t="shared" si="22"/>
        <v>-1.6466666666666667</v>
      </c>
      <c r="G47" s="47">
        <f t="shared" si="22"/>
        <v>-1.7100000000000006</v>
      </c>
      <c r="H47" s="47">
        <f t="shared" si="22"/>
        <v>0.57000000000000017</v>
      </c>
      <c r="I47" s="47">
        <f t="shared" si="22"/>
        <v>0.57000000000000017</v>
      </c>
      <c r="J47" s="47">
        <f t="shared" si="22"/>
        <v>0</v>
      </c>
      <c r="K47" s="47">
        <f t="shared" si="22"/>
        <v>0</v>
      </c>
      <c r="L47" s="47">
        <f t="shared" si="22"/>
        <v>0.55100000000000016</v>
      </c>
      <c r="M47" s="47">
        <f t="shared" si="22"/>
        <v>0.57000000000000017</v>
      </c>
      <c r="N47" s="47">
        <f t="shared" si="22"/>
        <v>0</v>
      </c>
      <c r="O47" s="47">
        <f t="shared" si="22"/>
        <v>0</v>
      </c>
      <c r="Q47" s="36">
        <v>413.1500000000002</v>
      </c>
      <c r="R47" s="36">
        <v>416.0499999999999</v>
      </c>
      <c r="S47" s="36">
        <f t="shared" si="4"/>
        <v>17.16</v>
      </c>
      <c r="T47" s="36">
        <f t="shared" si="5"/>
        <v>17.16</v>
      </c>
      <c r="U47" s="36">
        <f t="shared" si="6"/>
        <v>1064.8996</v>
      </c>
      <c r="V47" s="36">
        <f t="shared" si="7"/>
        <v>1063.5138666666667</v>
      </c>
      <c r="W47" s="36">
        <f t="shared" si="8"/>
        <v>72.879819999999995</v>
      </c>
      <c r="X47" s="36">
        <f t="shared" si="9"/>
        <v>72.832889999999992</v>
      </c>
      <c r="Y47" s="36">
        <f t="shared" si="10"/>
        <v>19.87</v>
      </c>
      <c r="Z47" s="36">
        <f t="shared" si="11"/>
        <v>19.87</v>
      </c>
      <c r="AA47" s="53"/>
      <c r="AB47" s="53"/>
      <c r="AC47" s="36">
        <f t="shared" si="12"/>
        <v>22.051000000000002</v>
      </c>
      <c r="AD47" s="36">
        <f t="shared" si="13"/>
        <v>22.07</v>
      </c>
      <c r="AE47" s="53"/>
      <c r="AF47" s="53"/>
      <c r="CD47" s="69">
        <v>2019</v>
      </c>
      <c r="CE47" s="54">
        <f t="shared" si="14"/>
        <v>17.16</v>
      </c>
      <c r="CF47" s="54">
        <f t="shared" si="15"/>
        <v>72.879819999999995</v>
      </c>
      <c r="CG47" s="69">
        <f t="shared" si="16"/>
        <v>413.1500000000002</v>
      </c>
      <c r="CH47" s="54">
        <f t="shared" si="17"/>
        <v>17.16</v>
      </c>
      <c r="CI47" s="54">
        <f t="shared" si="19"/>
        <v>72.832889999999992</v>
      </c>
      <c r="CJ47" s="69">
        <f t="shared" si="18"/>
        <v>416.0499999999999</v>
      </c>
    </row>
    <row r="48" spans="1:95">
      <c r="A48" s="35">
        <v>2020</v>
      </c>
      <c r="B48" s="47">
        <f t="shared" si="22"/>
        <v>0.80000000000000016</v>
      </c>
      <c r="C48" s="47">
        <f t="shared" si="22"/>
        <v>0.80000000000000016</v>
      </c>
      <c r="D48" s="47">
        <f t="shared" si="22"/>
        <v>-2.8000000000000003</v>
      </c>
      <c r="E48" s="47">
        <f t="shared" si="22"/>
        <v>-2.9333333333333327</v>
      </c>
      <c r="F48" s="47">
        <f t="shared" si="22"/>
        <v>-1.7333333333333334</v>
      </c>
      <c r="G48" s="47">
        <f t="shared" si="22"/>
        <v>-1.8000000000000007</v>
      </c>
      <c r="H48" s="47">
        <f t="shared" si="22"/>
        <v>0.6000000000000002</v>
      </c>
      <c r="I48" s="47">
        <f t="shared" si="22"/>
        <v>0.6000000000000002</v>
      </c>
      <c r="J48" s="47">
        <f t="shared" si="22"/>
        <v>0</v>
      </c>
      <c r="K48" s="47">
        <f t="shared" si="22"/>
        <v>0</v>
      </c>
      <c r="L48" s="47">
        <f t="shared" si="22"/>
        <v>0.58000000000000018</v>
      </c>
      <c r="M48" s="47">
        <f t="shared" si="22"/>
        <v>0.6000000000000002</v>
      </c>
      <c r="N48" s="47">
        <f t="shared" si="22"/>
        <v>0</v>
      </c>
      <c r="O48" s="47">
        <f t="shared" si="22"/>
        <v>0</v>
      </c>
      <c r="Q48" s="36">
        <v>416</v>
      </c>
      <c r="R48" s="36">
        <v>419</v>
      </c>
      <c r="S48" s="36">
        <f t="shared" si="4"/>
        <v>17.2</v>
      </c>
      <c r="T48" s="36">
        <f t="shared" si="5"/>
        <v>17.2</v>
      </c>
      <c r="U48" s="36">
        <f t="shared" si="6"/>
        <v>1063.3679999999999</v>
      </c>
      <c r="V48" s="36">
        <f t="shared" si="7"/>
        <v>1061.9093333333333</v>
      </c>
      <c r="W48" s="36">
        <f t="shared" si="8"/>
        <v>72.815599999999989</v>
      </c>
      <c r="X48" s="36">
        <f t="shared" si="9"/>
        <v>72.766199999999998</v>
      </c>
      <c r="Y48" s="36">
        <f t="shared" si="10"/>
        <v>19.900000000000002</v>
      </c>
      <c r="Z48" s="36">
        <f t="shared" si="11"/>
        <v>19.900000000000002</v>
      </c>
      <c r="AA48" s="53"/>
      <c r="AB48" s="53"/>
      <c r="AC48" s="36">
        <f t="shared" si="12"/>
        <v>22.080000000000002</v>
      </c>
      <c r="AD48" s="36">
        <f t="shared" si="13"/>
        <v>22.1</v>
      </c>
      <c r="AE48" s="53"/>
      <c r="AF48" s="53"/>
      <c r="CD48" s="69">
        <v>2020</v>
      </c>
      <c r="CE48" s="54">
        <f t="shared" si="14"/>
        <v>17.2</v>
      </c>
      <c r="CF48" s="54">
        <f t="shared" si="15"/>
        <v>72.815599999999989</v>
      </c>
      <c r="CG48" s="69">
        <f t="shared" si="16"/>
        <v>416</v>
      </c>
      <c r="CH48" s="54">
        <f t="shared" si="17"/>
        <v>17.2</v>
      </c>
      <c r="CI48" s="54">
        <f t="shared" si="19"/>
        <v>72.766199999999998</v>
      </c>
      <c r="CJ48" s="69">
        <f t="shared" si="18"/>
        <v>419</v>
      </c>
    </row>
    <row r="49" spans="1:90">
      <c r="A49" s="35">
        <v>2021</v>
      </c>
      <c r="B49" s="47">
        <f t="shared" si="22"/>
        <v>0.84000000000000019</v>
      </c>
      <c r="C49" s="47">
        <f t="shared" si="22"/>
        <v>0.84000000000000019</v>
      </c>
      <c r="D49" s="47">
        <f t="shared" si="22"/>
        <v>-2.9400000000000004</v>
      </c>
      <c r="E49" s="47">
        <f t="shared" si="22"/>
        <v>-3.0799999999999992</v>
      </c>
      <c r="F49" s="47">
        <f t="shared" si="22"/>
        <v>-1.82</v>
      </c>
      <c r="G49" s="47">
        <f t="shared" si="22"/>
        <v>-1.8900000000000008</v>
      </c>
      <c r="H49" s="47">
        <f t="shared" si="22"/>
        <v>0.63000000000000023</v>
      </c>
      <c r="I49" s="47">
        <f t="shared" si="22"/>
        <v>0.63000000000000023</v>
      </c>
      <c r="J49" s="47">
        <f t="shared" si="22"/>
        <v>0</v>
      </c>
      <c r="K49" s="47">
        <f t="shared" si="22"/>
        <v>0</v>
      </c>
      <c r="L49" s="47">
        <f t="shared" si="22"/>
        <v>0.60900000000000021</v>
      </c>
      <c r="M49" s="47">
        <f t="shared" si="22"/>
        <v>0.63000000000000023</v>
      </c>
      <c r="N49" s="47">
        <f t="shared" si="22"/>
        <v>0</v>
      </c>
      <c r="O49" s="47">
        <f t="shared" si="22"/>
        <v>0</v>
      </c>
      <c r="Q49" s="36">
        <v>419.6</v>
      </c>
      <c r="R49" s="36">
        <v>422.15</v>
      </c>
      <c r="S49" s="36">
        <f t="shared" si="4"/>
        <v>17.239999999999998</v>
      </c>
      <c r="T49" s="36">
        <f t="shared" si="5"/>
        <v>17.239999999999998</v>
      </c>
      <c r="U49" s="36">
        <f t="shared" si="6"/>
        <v>1061.8363999999999</v>
      </c>
      <c r="V49" s="36">
        <f t="shared" si="7"/>
        <v>1060.3048000000001</v>
      </c>
      <c r="W49" s="36">
        <f t="shared" si="8"/>
        <v>72.751379999999997</v>
      </c>
      <c r="X49" s="36">
        <f t="shared" si="9"/>
        <v>72.699509999999989</v>
      </c>
      <c r="Y49" s="36">
        <f t="shared" si="10"/>
        <v>19.93</v>
      </c>
      <c r="Z49" s="36">
        <f t="shared" si="11"/>
        <v>19.93</v>
      </c>
      <c r="AA49" s="53"/>
      <c r="AB49" s="53"/>
      <c r="AC49" s="36">
        <f t="shared" si="12"/>
        <v>22.109000000000002</v>
      </c>
      <c r="AD49" s="36">
        <f t="shared" si="13"/>
        <v>22.13</v>
      </c>
      <c r="AE49" s="53"/>
      <c r="AF49" s="53"/>
      <c r="CD49" s="69">
        <v>2021</v>
      </c>
      <c r="CE49" s="54">
        <f t="shared" si="14"/>
        <v>17.239999999999998</v>
      </c>
      <c r="CF49" s="54">
        <f t="shared" si="15"/>
        <v>72.751379999999997</v>
      </c>
      <c r="CG49" s="69">
        <f t="shared" si="16"/>
        <v>419.6</v>
      </c>
      <c r="CH49" s="54">
        <f t="shared" si="17"/>
        <v>17.239999999999998</v>
      </c>
      <c r="CI49" s="54">
        <f t="shared" si="19"/>
        <v>72.699509999999989</v>
      </c>
      <c r="CJ49" s="69">
        <f t="shared" si="18"/>
        <v>422.15</v>
      </c>
    </row>
    <row r="50" spans="1:90">
      <c r="A50" s="35">
        <v>2022</v>
      </c>
      <c r="B50" s="47">
        <f t="shared" si="22"/>
        <v>0.88000000000000023</v>
      </c>
      <c r="C50" s="47">
        <f t="shared" si="22"/>
        <v>0.88000000000000023</v>
      </c>
      <c r="D50" s="47">
        <f t="shared" si="22"/>
        <v>-3.0800000000000005</v>
      </c>
      <c r="E50" s="47">
        <f t="shared" si="22"/>
        <v>-3.2266666666666657</v>
      </c>
      <c r="F50" s="47">
        <f t="shared" si="22"/>
        <v>-1.9066666666666667</v>
      </c>
      <c r="G50" s="47">
        <f t="shared" si="22"/>
        <v>-1.9800000000000009</v>
      </c>
      <c r="H50" s="47">
        <f t="shared" si="22"/>
        <v>0.66000000000000025</v>
      </c>
      <c r="I50" s="47">
        <f t="shared" si="22"/>
        <v>0.66000000000000025</v>
      </c>
      <c r="J50" s="47">
        <f t="shared" si="22"/>
        <v>0</v>
      </c>
      <c r="K50" s="47">
        <f t="shared" si="22"/>
        <v>0</v>
      </c>
      <c r="L50" s="47">
        <f t="shared" si="22"/>
        <v>0.63800000000000023</v>
      </c>
      <c r="M50" s="47">
        <f t="shared" si="22"/>
        <v>0.66000000000000025</v>
      </c>
      <c r="N50" s="47">
        <f t="shared" si="22"/>
        <v>0</v>
      </c>
      <c r="O50" s="47">
        <f t="shared" si="22"/>
        <v>0</v>
      </c>
      <c r="Q50" s="36">
        <v>423.20000000000005</v>
      </c>
      <c r="R50" s="36">
        <v>425.29999999999995</v>
      </c>
      <c r="S50" s="36">
        <f t="shared" si="4"/>
        <v>17.279999999999998</v>
      </c>
      <c r="T50" s="36">
        <f t="shared" si="5"/>
        <v>17.279999999999998</v>
      </c>
      <c r="U50" s="36">
        <f t="shared" si="6"/>
        <v>1060.3047999999999</v>
      </c>
      <c r="V50" s="36">
        <f t="shared" si="7"/>
        <v>1058.7002666666667</v>
      </c>
      <c r="W50" s="36">
        <f t="shared" si="8"/>
        <v>72.687159999999992</v>
      </c>
      <c r="X50" s="36">
        <f t="shared" si="9"/>
        <v>72.632819999999995</v>
      </c>
      <c r="Y50" s="36">
        <f t="shared" si="10"/>
        <v>19.96</v>
      </c>
      <c r="Z50" s="36">
        <f t="shared" si="11"/>
        <v>19.96</v>
      </c>
      <c r="AA50" s="53"/>
      <c r="AB50" s="53"/>
      <c r="AC50" s="36">
        <f t="shared" si="12"/>
        <v>22.138000000000002</v>
      </c>
      <c r="AD50" s="36">
        <f t="shared" si="13"/>
        <v>22.16</v>
      </c>
      <c r="AE50" s="53"/>
      <c r="AF50" s="53"/>
      <c r="CD50" s="69">
        <v>2022</v>
      </c>
      <c r="CE50" s="54">
        <f t="shared" si="14"/>
        <v>17.279999999999998</v>
      </c>
      <c r="CF50" s="54">
        <f t="shared" si="15"/>
        <v>72.687159999999992</v>
      </c>
      <c r="CG50" s="69">
        <f t="shared" si="16"/>
        <v>423.20000000000005</v>
      </c>
      <c r="CH50" s="54">
        <f t="shared" si="17"/>
        <v>17.279999999999998</v>
      </c>
      <c r="CI50" s="54">
        <f t="shared" si="19"/>
        <v>72.632819999999995</v>
      </c>
      <c r="CJ50" s="69">
        <f t="shared" si="18"/>
        <v>425.29999999999995</v>
      </c>
    </row>
    <row r="51" spans="1:90">
      <c r="A51" s="35">
        <v>2023</v>
      </c>
      <c r="B51" s="47">
        <f t="shared" si="22"/>
        <v>0.92000000000000026</v>
      </c>
      <c r="C51" s="47">
        <f t="shared" si="22"/>
        <v>0.92000000000000026</v>
      </c>
      <c r="D51" s="47">
        <f t="shared" si="22"/>
        <v>-3.2200000000000006</v>
      </c>
      <c r="E51" s="47">
        <f t="shared" si="22"/>
        <v>-3.3733333333333322</v>
      </c>
      <c r="F51" s="47">
        <f t="shared" si="22"/>
        <v>-1.9933333333333334</v>
      </c>
      <c r="G51" s="47">
        <f t="shared" si="22"/>
        <v>-2.0700000000000007</v>
      </c>
      <c r="H51" s="47">
        <f t="shared" si="22"/>
        <v>0.69000000000000028</v>
      </c>
      <c r="I51" s="47">
        <f t="shared" si="22"/>
        <v>0.69000000000000028</v>
      </c>
      <c r="J51" s="47">
        <f t="shared" si="22"/>
        <v>0</v>
      </c>
      <c r="K51" s="47">
        <f t="shared" si="22"/>
        <v>0</v>
      </c>
      <c r="L51" s="47">
        <f t="shared" si="22"/>
        <v>0.66700000000000026</v>
      </c>
      <c r="M51" s="47">
        <f t="shared" si="22"/>
        <v>0.69000000000000028</v>
      </c>
      <c r="N51" s="47">
        <f t="shared" si="22"/>
        <v>0</v>
      </c>
      <c r="O51" s="47">
        <f t="shared" si="22"/>
        <v>0</v>
      </c>
      <c r="Q51" s="36">
        <v>426.80000000000007</v>
      </c>
      <c r="R51" s="36">
        <v>428.44999999999993</v>
      </c>
      <c r="S51" s="36">
        <f t="shared" si="4"/>
        <v>17.32</v>
      </c>
      <c r="T51" s="36">
        <f t="shared" si="5"/>
        <v>17.32</v>
      </c>
      <c r="U51" s="36">
        <f t="shared" si="6"/>
        <v>1058.7732000000001</v>
      </c>
      <c r="V51" s="36">
        <f t="shared" si="7"/>
        <v>1057.0957333333333</v>
      </c>
      <c r="W51" s="36">
        <f t="shared" si="8"/>
        <v>72.62294</v>
      </c>
      <c r="X51" s="36">
        <f t="shared" si="9"/>
        <v>72.566129999999987</v>
      </c>
      <c r="Y51" s="36">
        <f t="shared" si="10"/>
        <v>19.990000000000002</v>
      </c>
      <c r="Z51" s="36">
        <f t="shared" si="11"/>
        <v>19.990000000000002</v>
      </c>
      <c r="AA51" s="53"/>
      <c r="AB51" s="53"/>
      <c r="AC51" s="36">
        <f t="shared" si="12"/>
        <v>22.167000000000002</v>
      </c>
      <c r="AD51" s="36">
        <f t="shared" si="13"/>
        <v>22.19</v>
      </c>
      <c r="AE51" s="53"/>
      <c r="AF51" s="53"/>
      <c r="CD51" s="69">
        <v>2023</v>
      </c>
      <c r="CE51" s="54">
        <f t="shared" si="14"/>
        <v>17.32</v>
      </c>
      <c r="CF51" s="54">
        <f t="shared" si="15"/>
        <v>72.62294</v>
      </c>
      <c r="CG51" s="69">
        <f t="shared" si="16"/>
        <v>426.80000000000007</v>
      </c>
      <c r="CH51" s="54">
        <f t="shared" si="17"/>
        <v>17.32</v>
      </c>
      <c r="CI51" s="54">
        <f t="shared" si="19"/>
        <v>72.566129999999987</v>
      </c>
      <c r="CJ51" s="69">
        <f t="shared" si="18"/>
        <v>428.44999999999993</v>
      </c>
    </row>
    <row r="52" spans="1:90">
      <c r="A52" s="35">
        <v>2024</v>
      </c>
      <c r="B52" s="47">
        <f t="shared" si="22"/>
        <v>0.9600000000000003</v>
      </c>
      <c r="C52" s="47">
        <f t="shared" si="22"/>
        <v>0.9600000000000003</v>
      </c>
      <c r="D52" s="47">
        <f t="shared" si="22"/>
        <v>-3.3600000000000008</v>
      </c>
      <c r="E52" s="47">
        <f t="shared" si="22"/>
        <v>-3.5199999999999987</v>
      </c>
      <c r="F52" s="47">
        <f t="shared" si="22"/>
        <v>-2.08</v>
      </c>
      <c r="G52" s="47">
        <f t="shared" si="22"/>
        <v>-2.1600000000000006</v>
      </c>
      <c r="H52" s="47">
        <f t="shared" si="22"/>
        <v>0.72000000000000031</v>
      </c>
      <c r="I52" s="47">
        <f t="shared" si="22"/>
        <v>0.72000000000000031</v>
      </c>
      <c r="J52" s="47">
        <f t="shared" si="22"/>
        <v>0</v>
      </c>
      <c r="K52" s="47">
        <f t="shared" si="22"/>
        <v>0</v>
      </c>
      <c r="L52" s="47">
        <f t="shared" si="22"/>
        <v>0.69600000000000029</v>
      </c>
      <c r="M52" s="47">
        <f t="shared" si="22"/>
        <v>0.72000000000000031</v>
      </c>
      <c r="N52" s="47">
        <f t="shared" si="22"/>
        <v>0</v>
      </c>
      <c r="O52" s="47">
        <f t="shared" si="22"/>
        <v>0</v>
      </c>
      <c r="Q52" s="36">
        <v>430.40000000000009</v>
      </c>
      <c r="R52" s="36">
        <v>431.59999999999991</v>
      </c>
      <c r="S52" s="36">
        <f t="shared" si="4"/>
        <v>17.36</v>
      </c>
      <c r="T52" s="36">
        <f t="shared" si="5"/>
        <v>17.36</v>
      </c>
      <c r="U52" s="36">
        <f t="shared" si="6"/>
        <v>1057.2416000000001</v>
      </c>
      <c r="V52" s="36">
        <f t="shared" si="7"/>
        <v>1055.4911999999999</v>
      </c>
      <c r="W52" s="36">
        <f t="shared" si="8"/>
        <v>72.558719999999994</v>
      </c>
      <c r="X52" s="36">
        <f t="shared" si="9"/>
        <v>72.499439999999993</v>
      </c>
      <c r="Y52" s="36">
        <f t="shared" si="10"/>
        <v>20.02</v>
      </c>
      <c r="Z52" s="36">
        <f t="shared" si="11"/>
        <v>20.02</v>
      </c>
      <c r="AA52" s="53"/>
      <c r="AB52" s="53"/>
      <c r="AC52" s="36">
        <f t="shared" si="12"/>
        <v>22.196000000000002</v>
      </c>
      <c r="AD52" s="36">
        <f t="shared" si="13"/>
        <v>22.22</v>
      </c>
      <c r="AE52" s="53"/>
      <c r="AF52" s="53"/>
      <c r="AH52" s="43"/>
      <c r="CD52" s="69">
        <v>2024</v>
      </c>
      <c r="CE52" s="54">
        <f t="shared" si="14"/>
        <v>17.36</v>
      </c>
      <c r="CF52" s="54">
        <f t="shared" si="15"/>
        <v>72.558719999999994</v>
      </c>
      <c r="CG52" s="69">
        <f t="shared" si="16"/>
        <v>430.40000000000009</v>
      </c>
      <c r="CH52" s="54">
        <f t="shared" si="17"/>
        <v>17.36</v>
      </c>
      <c r="CI52" s="54">
        <f t="shared" si="19"/>
        <v>72.499439999999993</v>
      </c>
      <c r="CJ52" s="69">
        <f t="shared" si="18"/>
        <v>431.59999999999991</v>
      </c>
    </row>
    <row r="53" spans="1:90">
      <c r="A53" s="35">
        <v>2025</v>
      </c>
      <c r="B53" s="47">
        <f t="shared" si="22"/>
        <v>1.0000000000000002</v>
      </c>
      <c r="C53" s="47">
        <f t="shared" si="22"/>
        <v>1.0000000000000002</v>
      </c>
      <c r="D53" s="47">
        <f t="shared" si="22"/>
        <v>-3.5000000000000009</v>
      </c>
      <c r="E53" s="47">
        <f t="shared" si="22"/>
        <v>-3.6666666666666652</v>
      </c>
      <c r="F53" s="47">
        <f t="shared" si="22"/>
        <v>-2.166666666666667</v>
      </c>
      <c r="G53" s="47">
        <f t="shared" si="22"/>
        <v>-2.2500000000000004</v>
      </c>
      <c r="H53" s="47">
        <f t="shared" si="22"/>
        <v>0.75000000000000033</v>
      </c>
      <c r="I53" s="47">
        <f t="shared" si="22"/>
        <v>0.75000000000000033</v>
      </c>
      <c r="J53" s="47">
        <f t="shared" si="22"/>
        <v>0</v>
      </c>
      <c r="K53" s="47">
        <f t="shared" si="22"/>
        <v>0</v>
      </c>
      <c r="L53" s="47">
        <f t="shared" si="22"/>
        <v>0.72500000000000031</v>
      </c>
      <c r="M53" s="47">
        <f t="shared" si="22"/>
        <v>0.75000000000000033</v>
      </c>
      <c r="N53" s="47">
        <f t="shared" si="22"/>
        <v>0</v>
      </c>
      <c r="O53" s="47">
        <f t="shared" si="22"/>
        <v>0</v>
      </c>
      <c r="Q53" s="36">
        <v>434.00000000000011</v>
      </c>
      <c r="R53" s="36">
        <v>434.74999999999989</v>
      </c>
      <c r="S53" s="36">
        <f t="shared" si="4"/>
        <v>17.399999999999999</v>
      </c>
      <c r="T53" s="36">
        <f t="shared" si="5"/>
        <v>17.399999999999999</v>
      </c>
      <c r="U53" s="36">
        <f t="shared" si="6"/>
        <v>1055.71</v>
      </c>
      <c r="V53" s="36">
        <f t="shared" si="7"/>
        <v>1053.8866666666668</v>
      </c>
      <c r="W53" s="36">
        <f t="shared" si="8"/>
        <v>72.494499999999988</v>
      </c>
      <c r="X53" s="36">
        <f t="shared" si="9"/>
        <v>72.432749999999999</v>
      </c>
      <c r="Y53" s="36">
        <f t="shared" si="10"/>
        <v>20.05</v>
      </c>
      <c r="Z53" s="36">
        <f t="shared" si="11"/>
        <v>20.05</v>
      </c>
      <c r="AA53" s="53"/>
      <c r="AB53" s="53"/>
      <c r="AC53" s="36">
        <f t="shared" si="12"/>
        <v>22.225000000000001</v>
      </c>
      <c r="AD53" s="36">
        <f t="shared" si="13"/>
        <v>22.25</v>
      </c>
      <c r="AE53" s="53"/>
      <c r="AF53" s="53"/>
      <c r="AH53" s="43"/>
      <c r="CD53" s="69">
        <v>2025</v>
      </c>
      <c r="CE53" s="54">
        <f t="shared" si="14"/>
        <v>17.399999999999999</v>
      </c>
      <c r="CF53" s="54">
        <f t="shared" si="15"/>
        <v>72.494499999999988</v>
      </c>
      <c r="CG53" s="69">
        <f t="shared" si="16"/>
        <v>434.00000000000011</v>
      </c>
      <c r="CH53" s="54">
        <f t="shared" si="17"/>
        <v>17.399999999999999</v>
      </c>
      <c r="CI53" s="54">
        <f t="shared" si="19"/>
        <v>72.432749999999999</v>
      </c>
      <c r="CJ53" s="69">
        <f t="shared" si="18"/>
        <v>434.74999999999989</v>
      </c>
    </row>
    <row r="54" spans="1:90">
      <c r="A54" s="35">
        <v>2026</v>
      </c>
      <c r="B54" s="47">
        <f t="shared" si="22"/>
        <v>1.0400000000000003</v>
      </c>
      <c r="C54" s="47">
        <f t="shared" si="22"/>
        <v>1.0400000000000003</v>
      </c>
      <c r="D54" s="47">
        <f t="shared" si="22"/>
        <v>-3.640000000000001</v>
      </c>
      <c r="E54" s="47">
        <f t="shared" si="22"/>
        <v>-3.8133333333333317</v>
      </c>
      <c r="F54" s="47">
        <f t="shared" si="22"/>
        <v>-2.2533333333333339</v>
      </c>
      <c r="G54" s="47">
        <f t="shared" si="22"/>
        <v>-2.3400000000000003</v>
      </c>
      <c r="H54" s="47">
        <f t="shared" si="22"/>
        <v>0.78000000000000036</v>
      </c>
      <c r="I54" s="47">
        <f t="shared" si="22"/>
        <v>0.78000000000000036</v>
      </c>
      <c r="J54" s="47">
        <f t="shared" si="22"/>
        <v>0</v>
      </c>
      <c r="K54" s="47">
        <f t="shared" si="22"/>
        <v>0</v>
      </c>
      <c r="L54" s="47">
        <f t="shared" si="22"/>
        <v>0.75400000000000034</v>
      </c>
      <c r="M54" s="47">
        <f t="shared" si="22"/>
        <v>0.78000000000000036</v>
      </c>
      <c r="N54" s="47">
        <f t="shared" si="22"/>
        <v>0</v>
      </c>
      <c r="O54" s="47">
        <f t="shared" si="22"/>
        <v>0</v>
      </c>
      <c r="Q54" s="36">
        <v>437.60000000000014</v>
      </c>
      <c r="R54" s="36">
        <v>437.89999999999986</v>
      </c>
      <c r="S54" s="36">
        <f t="shared" si="4"/>
        <v>17.439999999999998</v>
      </c>
      <c r="T54" s="36">
        <f t="shared" si="5"/>
        <v>17.439999999999998</v>
      </c>
      <c r="U54" s="36">
        <f t="shared" si="6"/>
        <v>1054.1784</v>
      </c>
      <c r="V54" s="36">
        <f t="shared" si="7"/>
        <v>1052.2821333333334</v>
      </c>
      <c r="W54" s="36">
        <f t="shared" si="8"/>
        <v>72.430279999999996</v>
      </c>
      <c r="X54" s="36">
        <f t="shared" si="9"/>
        <v>72.36605999999999</v>
      </c>
      <c r="Y54" s="36">
        <f t="shared" si="10"/>
        <v>20.080000000000002</v>
      </c>
      <c r="Z54" s="36">
        <f t="shared" si="11"/>
        <v>20.080000000000002</v>
      </c>
      <c r="AA54" s="53"/>
      <c r="AB54" s="53"/>
      <c r="AC54" s="36">
        <f t="shared" si="12"/>
        <v>22.254000000000001</v>
      </c>
      <c r="AD54" s="36">
        <f t="shared" si="13"/>
        <v>22.28</v>
      </c>
      <c r="AE54" s="53"/>
      <c r="AF54" s="53"/>
      <c r="AH54" s="43"/>
      <c r="CD54" s="69">
        <v>2026</v>
      </c>
      <c r="CE54" s="54">
        <f t="shared" si="14"/>
        <v>17.439999999999998</v>
      </c>
      <c r="CF54" s="54">
        <f t="shared" si="15"/>
        <v>72.430279999999996</v>
      </c>
      <c r="CG54" s="69">
        <f t="shared" si="16"/>
        <v>437.60000000000014</v>
      </c>
      <c r="CH54" s="54">
        <f t="shared" si="17"/>
        <v>17.439999999999998</v>
      </c>
      <c r="CI54" s="54">
        <f t="shared" si="19"/>
        <v>72.36605999999999</v>
      </c>
      <c r="CJ54" s="69">
        <f t="shared" si="18"/>
        <v>437.89999999999986</v>
      </c>
    </row>
    <row r="55" spans="1:90">
      <c r="A55" s="35">
        <v>2027</v>
      </c>
      <c r="B55" s="47">
        <f t="shared" ref="B55:O57" si="23">(B$7-B$6)/COUNT($A$38:$A$57)+B54</f>
        <v>1.0800000000000003</v>
      </c>
      <c r="C55" s="47">
        <f t="shared" si="23"/>
        <v>1.0800000000000003</v>
      </c>
      <c r="D55" s="47">
        <f t="shared" si="23"/>
        <v>-3.7800000000000011</v>
      </c>
      <c r="E55" s="47">
        <f t="shared" si="23"/>
        <v>-3.9599999999999982</v>
      </c>
      <c r="F55" s="47">
        <f t="shared" si="23"/>
        <v>-2.3400000000000007</v>
      </c>
      <c r="G55" s="47">
        <f t="shared" si="23"/>
        <v>-2.4300000000000002</v>
      </c>
      <c r="H55" s="47">
        <f t="shared" si="23"/>
        <v>0.81000000000000039</v>
      </c>
      <c r="I55" s="47">
        <f t="shared" si="23"/>
        <v>0.81000000000000039</v>
      </c>
      <c r="J55" s="47">
        <f t="shared" si="23"/>
        <v>0</v>
      </c>
      <c r="K55" s="47">
        <f t="shared" si="23"/>
        <v>0</v>
      </c>
      <c r="L55" s="47">
        <f t="shared" si="23"/>
        <v>0.78300000000000036</v>
      </c>
      <c r="M55" s="47">
        <f t="shared" si="23"/>
        <v>0.81000000000000039</v>
      </c>
      <c r="N55" s="47">
        <f t="shared" si="23"/>
        <v>0</v>
      </c>
      <c r="O55" s="47">
        <f t="shared" si="23"/>
        <v>0</v>
      </c>
      <c r="Q55" s="36">
        <v>441.20000000000016</v>
      </c>
      <c r="R55" s="36">
        <v>441.04999999999984</v>
      </c>
      <c r="S55" s="36">
        <f t="shared" si="4"/>
        <v>17.48</v>
      </c>
      <c r="T55" s="36">
        <f t="shared" si="5"/>
        <v>17.48</v>
      </c>
      <c r="U55" s="36">
        <f t="shared" si="6"/>
        <v>1052.6468</v>
      </c>
      <c r="V55" s="36">
        <f t="shared" si="7"/>
        <v>1050.6776</v>
      </c>
      <c r="W55" s="36">
        <f t="shared" si="8"/>
        <v>72.36605999999999</v>
      </c>
      <c r="X55" s="36">
        <f t="shared" si="9"/>
        <v>72.299369999999996</v>
      </c>
      <c r="Y55" s="36">
        <f t="shared" si="10"/>
        <v>20.11</v>
      </c>
      <c r="Z55" s="36">
        <f t="shared" si="11"/>
        <v>20.11</v>
      </c>
      <c r="AA55" s="53"/>
      <c r="AB55" s="53"/>
      <c r="AC55" s="36">
        <f t="shared" si="12"/>
        <v>22.283000000000001</v>
      </c>
      <c r="AD55" s="36">
        <f t="shared" si="13"/>
        <v>22.31</v>
      </c>
      <c r="AE55" s="53"/>
      <c r="AF55" s="53"/>
      <c r="AH55" s="43"/>
      <c r="CD55" s="69">
        <v>2027</v>
      </c>
      <c r="CE55" s="54">
        <f t="shared" si="14"/>
        <v>17.48</v>
      </c>
      <c r="CF55" s="54">
        <f t="shared" si="15"/>
        <v>72.36605999999999</v>
      </c>
      <c r="CG55" s="69">
        <f t="shared" si="16"/>
        <v>441.20000000000016</v>
      </c>
      <c r="CH55" s="54">
        <f t="shared" si="17"/>
        <v>17.48</v>
      </c>
      <c r="CI55" s="54">
        <f t="shared" si="19"/>
        <v>72.299369999999996</v>
      </c>
      <c r="CJ55" s="69">
        <f t="shared" si="18"/>
        <v>441.04999999999984</v>
      </c>
    </row>
    <row r="56" spans="1:90">
      <c r="A56" s="35">
        <v>2028</v>
      </c>
      <c r="B56" s="47">
        <f t="shared" si="23"/>
        <v>1.1200000000000003</v>
      </c>
      <c r="C56" s="47">
        <f t="shared" si="23"/>
        <v>1.1200000000000003</v>
      </c>
      <c r="D56" s="47">
        <f t="shared" si="23"/>
        <v>-3.9200000000000013</v>
      </c>
      <c r="E56" s="47">
        <f t="shared" si="23"/>
        <v>-4.1066666666666647</v>
      </c>
      <c r="F56" s="47">
        <f t="shared" si="23"/>
        <v>-2.4266666666666676</v>
      </c>
      <c r="G56" s="47">
        <f t="shared" si="23"/>
        <v>-2.52</v>
      </c>
      <c r="H56" s="47">
        <f t="shared" si="23"/>
        <v>0.84000000000000041</v>
      </c>
      <c r="I56" s="47">
        <f t="shared" si="23"/>
        <v>0.84000000000000041</v>
      </c>
      <c r="J56" s="47">
        <f t="shared" si="23"/>
        <v>0</v>
      </c>
      <c r="K56" s="47">
        <f t="shared" si="23"/>
        <v>0</v>
      </c>
      <c r="L56" s="47">
        <f t="shared" si="23"/>
        <v>0.81200000000000039</v>
      </c>
      <c r="M56" s="47">
        <f t="shared" si="23"/>
        <v>0.84000000000000041</v>
      </c>
      <c r="N56" s="47">
        <f t="shared" si="23"/>
        <v>0</v>
      </c>
      <c r="O56" s="47">
        <f t="shared" si="23"/>
        <v>0</v>
      </c>
      <c r="Q56" s="36">
        <v>444.80000000000018</v>
      </c>
      <c r="R56" s="36">
        <v>444.19999999999982</v>
      </c>
      <c r="S56" s="36">
        <f t="shared" si="4"/>
        <v>17.52</v>
      </c>
      <c r="T56" s="36">
        <f t="shared" si="5"/>
        <v>17.52</v>
      </c>
      <c r="U56" s="36">
        <f t="shared" si="6"/>
        <v>1051.1152</v>
      </c>
      <c r="V56" s="36">
        <f t="shared" si="7"/>
        <v>1049.0730666666666</v>
      </c>
      <c r="W56" s="36">
        <f t="shared" si="8"/>
        <v>72.301839999999999</v>
      </c>
      <c r="X56" s="36">
        <f t="shared" si="9"/>
        <v>72.232679999999988</v>
      </c>
      <c r="Y56" s="36">
        <f t="shared" si="10"/>
        <v>20.14</v>
      </c>
      <c r="Z56" s="36">
        <f t="shared" si="11"/>
        <v>20.14</v>
      </c>
      <c r="AA56" s="53"/>
      <c r="AB56" s="53"/>
      <c r="AC56" s="36">
        <f t="shared" si="12"/>
        <v>22.312000000000001</v>
      </c>
      <c r="AD56" s="36">
        <f t="shared" si="13"/>
        <v>22.34</v>
      </c>
      <c r="AE56" s="53"/>
      <c r="AF56" s="53"/>
      <c r="AH56" s="43"/>
      <c r="BG56" s="55"/>
      <c r="BO56" s="55"/>
      <c r="BW56" s="55"/>
      <c r="CD56" s="69">
        <v>2028</v>
      </c>
      <c r="CE56" s="54">
        <f t="shared" si="14"/>
        <v>17.52</v>
      </c>
      <c r="CF56" s="54">
        <f t="shared" si="15"/>
        <v>72.301839999999999</v>
      </c>
      <c r="CG56" s="69">
        <f t="shared" si="16"/>
        <v>444.80000000000018</v>
      </c>
      <c r="CH56" s="54">
        <f t="shared" si="17"/>
        <v>17.52</v>
      </c>
      <c r="CI56" s="54">
        <f t="shared" si="19"/>
        <v>72.232679999999988</v>
      </c>
      <c r="CJ56" s="69">
        <f t="shared" si="18"/>
        <v>444.19999999999982</v>
      </c>
      <c r="CL56" s="55"/>
    </row>
    <row r="57" spans="1:90">
      <c r="A57" s="35">
        <v>2029</v>
      </c>
      <c r="B57" s="47">
        <f t="shared" si="23"/>
        <v>1.1600000000000004</v>
      </c>
      <c r="C57" s="47">
        <f t="shared" si="23"/>
        <v>1.1600000000000004</v>
      </c>
      <c r="D57" s="47">
        <f t="shared" si="23"/>
        <v>-4.0600000000000014</v>
      </c>
      <c r="E57" s="47">
        <f t="shared" si="23"/>
        <v>-4.2533333333333312</v>
      </c>
      <c r="F57" s="47">
        <f t="shared" si="23"/>
        <v>-2.5133333333333345</v>
      </c>
      <c r="G57" s="47">
        <f t="shared" si="23"/>
        <v>-2.61</v>
      </c>
      <c r="H57" s="47">
        <f t="shared" si="23"/>
        <v>0.87000000000000044</v>
      </c>
      <c r="I57" s="47">
        <f t="shared" si="23"/>
        <v>0.87000000000000044</v>
      </c>
      <c r="J57" s="47">
        <f t="shared" si="23"/>
        <v>0</v>
      </c>
      <c r="K57" s="47">
        <f t="shared" si="23"/>
        <v>0</v>
      </c>
      <c r="L57" s="47">
        <f t="shared" si="23"/>
        <v>0.84100000000000041</v>
      </c>
      <c r="M57" s="47">
        <f t="shared" si="23"/>
        <v>0.87000000000000044</v>
      </c>
      <c r="N57" s="47">
        <f t="shared" si="23"/>
        <v>0</v>
      </c>
      <c r="O57" s="47">
        <f t="shared" si="23"/>
        <v>0</v>
      </c>
      <c r="Q57" s="36">
        <v>448.4000000000002</v>
      </c>
      <c r="R57" s="36">
        <v>447.3499999999998</v>
      </c>
      <c r="S57" s="36">
        <f t="shared" si="4"/>
        <v>17.559999999999999</v>
      </c>
      <c r="T57" s="36">
        <f t="shared" si="5"/>
        <v>17.559999999999999</v>
      </c>
      <c r="U57" s="36">
        <f t="shared" si="6"/>
        <v>1049.5835999999999</v>
      </c>
      <c r="V57" s="36">
        <f t="shared" si="7"/>
        <v>1047.4685333333334</v>
      </c>
      <c r="W57" s="36">
        <f t="shared" si="8"/>
        <v>72.237619999999993</v>
      </c>
      <c r="X57" s="36">
        <f t="shared" si="9"/>
        <v>72.165989999999994</v>
      </c>
      <c r="Y57" s="36">
        <f t="shared" si="10"/>
        <v>20.170000000000002</v>
      </c>
      <c r="Z57" s="36">
        <f t="shared" si="11"/>
        <v>20.170000000000002</v>
      </c>
      <c r="AA57" s="53"/>
      <c r="AB57" s="53"/>
      <c r="AC57" s="36">
        <f t="shared" si="12"/>
        <v>22.341000000000001</v>
      </c>
      <c r="AD57" s="36">
        <f t="shared" si="13"/>
        <v>22.37</v>
      </c>
      <c r="AE57" s="53"/>
      <c r="AF57" s="53"/>
      <c r="AH57" s="43"/>
      <c r="CD57" s="69">
        <v>2029</v>
      </c>
      <c r="CE57" s="54">
        <f t="shared" si="14"/>
        <v>17.559999999999999</v>
      </c>
      <c r="CF57" s="54">
        <f t="shared" si="15"/>
        <v>72.237619999999993</v>
      </c>
      <c r="CG57" s="69">
        <f t="shared" si="16"/>
        <v>448.4000000000002</v>
      </c>
      <c r="CH57" s="54">
        <f t="shared" si="17"/>
        <v>17.559999999999999</v>
      </c>
      <c r="CI57" s="54">
        <f t="shared" si="19"/>
        <v>72.165989999999994</v>
      </c>
      <c r="CJ57" s="69">
        <f t="shared" si="18"/>
        <v>447.3499999999998</v>
      </c>
    </row>
    <row r="58" spans="1:90">
      <c r="A58" s="35">
        <v>2030</v>
      </c>
      <c r="B58" s="47">
        <f t="shared" ref="B58:O58" si="24">B$7</f>
        <v>1.2</v>
      </c>
      <c r="C58" s="47">
        <f t="shared" si="24"/>
        <v>1.2</v>
      </c>
      <c r="D58" s="47">
        <f t="shared" si="24"/>
        <v>-4.2</v>
      </c>
      <c r="E58" s="47">
        <f t="shared" si="24"/>
        <v>-4.4000000000000004</v>
      </c>
      <c r="F58" s="47">
        <f t="shared" si="24"/>
        <v>-2.6</v>
      </c>
      <c r="G58" s="47">
        <f t="shared" si="24"/>
        <v>-2.7</v>
      </c>
      <c r="H58" s="47">
        <f t="shared" si="24"/>
        <v>0.9</v>
      </c>
      <c r="I58" s="47">
        <f t="shared" si="24"/>
        <v>0.9</v>
      </c>
      <c r="J58" s="47">
        <f t="shared" si="24"/>
        <v>0</v>
      </c>
      <c r="K58" s="47">
        <f t="shared" si="24"/>
        <v>0</v>
      </c>
      <c r="L58" s="47">
        <f t="shared" si="24"/>
        <v>0.87</v>
      </c>
      <c r="M58" s="47">
        <f t="shared" si="24"/>
        <v>0.9</v>
      </c>
      <c r="N58" s="47">
        <f t="shared" si="24"/>
        <v>0</v>
      </c>
      <c r="O58" s="47">
        <f t="shared" si="24"/>
        <v>0</v>
      </c>
      <c r="Q58" s="36">
        <v>452</v>
      </c>
      <c r="R58" s="36">
        <v>450.5</v>
      </c>
      <c r="S58" s="36">
        <f t="shared" si="4"/>
        <v>17.599999999999998</v>
      </c>
      <c r="T58" s="36">
        <f t="shared" si="5"/>
        <v>17.599999999999998</v>
      </c>
      <c r="U58" s="36">
        <f t="shared" si="6"/>
        <v>1048.0519999999999</v>
      </c>
      <c r="V58" s="36">
        <f t="shared" si="7"/>
        <v>1045.864</v>
      </c>
      <c r="W58" s="36">
        <f t="shared" si="8"/>
        <v>72.173400000000001</v>
      </c>
      <c r="X58" s="36">
        <f t="shared" si="9"/>
        <v>72.099299999999999</v>
      </c>
      <c r="Y58" s="36">
        <f t="shared" si="10"/>
        <v>20.2</v>
      </c>
      <c r="Z58" s="36">
        <f t="shared" si="11"/>
        <v>20.2</v>
      </c>
      <c r="AA58" s="53"/>
      <c r="AB58" s="53"/>
      <c r="AC58" s="36">
        <f t="shared" si="12"/>
        <v>22.37</v>
      </c>
      <c r="AD58" s="36">
        <f t="shared" si="13"/>
        <v>22.4</v>
      </c>
      <c r="AE58" s="53"/>
      <c r="AF58" s="53"/>
      <c r="AH58" s="43"/>
      <c r="CD58" s="69">
        <v>2030</v>
      </c>
      <c r="CE58" s="54">
        <f t="shared" si="14"/>
        <v>17.599999999999998</v>
      </c>
      <c r="CF58" s="54">
        <f t="shared" si="15"/>
        <v>72.173400000000001</v>
      </c>
      <c r="CG58" s="69">
        <f t="shared" si="16"/>
        <v>452</v>
      </c>
      <c r="CH58" s="54">
        <f t="shared" si="17"/>
        <v>17.599999999999998</v>
      </c>
      <c r="CI58" s="54">
        <f t="shared" si="19"/>
        <v>72.099299999999999</v>
      </c>
      <c r="CJ58" s="69">
        <f t="shared" si="18"/>
        <v>450.5</v>
      </c>
    </row>
    <row r="59" spans="1:90">
      <c r="A59" s="35">
        <v>2031</v>
      </c>
      <c r="B59" s="47">
        <f t="shared" ref="B59:O74" si="25">(B$8-B$7)/COUNT($A$58:$A$77)+B58</f>
        <v>1.2849999999999999</v>
      </c>
      <c r="C59" s="47">
        <f t="shared" si="25"/>
        <v>1.2549999999999999</v>
      </c>
      <c r="D59" s="47">
        <f t="shared" si="25"/>
        <v>-4.5</v>
      </c>
      <c r="E59" s="47">
        <f t="shared" si="25"/>
        <v>-4.59</v>
      </c>
      <c r="F59" s="47">
        <f t="shared" si="25"/>
        <v>-2.7850000000000001</v>
      </c>
      <c r="G59" s="47">
        <f t="shared" si="25"/>
        <v>-2.8150000000000004</v>
      </c>
      <c r="H59" s="47">
        <f t="shared" si="25"/>
        <v>0.95000000000000007</v>
      </c>
      <c r="I59" s="47">
        <f t="shared" si="25"/>
        <v>0.93500000000000005</v>
      </c>
      <c r="J59" s="47">
        <f t="shared" si="25"/>
        <v>0</v>
      </c>
      <c r="K59" s="47">
        <f t="shared" si="25"/>
        <v>0</v>
      </c>
      <c r="L59" s="47">
        <f t="shared" si="25"/>
        <v>0.91749999999999998</v>
      </c>
      <c r="M59" s="47">
        <f t="shared" si="25"/>
        <v>0.93149999999999999</v>
      </c>
      <c r="N59" s="47">
        <f t="shared" si="25"/>
        <v>0</v>
      </c>
      <c r="O59" s="47">
        <f t="shared" si="25"/>
        <v>0</v>
      </c>
      <c r="Q59" s="36">
        <v>456.75</v>
      </c>
      <c r="R59" s="36">
        <v>454.15</v>
      </c>
      <c r="S59" s="36">
        <f t="shared" si="4"/>
        <v>17.684999999999999</v>
      </c>
      <c r="T59" s="36">
        <f t="shared" si="5"/>
        <v>17.654999999999998</v>
      </c>
      <c r="U59" s="36">
        <f t="shared" si="6"/>
        <v>1044.77</v>
      </c>
      <c r="V59" s="36">
        <f t="shared" si="7"/>
        <v>1043.7854</v>
      </c>
      <c r="W59" s="36">
        <f t="shared" si="8"/>
        <v>72.036314999999988</v>
      </c>
      <c r="X59" s="36">
        <f t="shared" si="9"/>
        <v>72.014084999999994</v>
      </c>
      <c r="Y59" s="36">
        <f t="shared" si="10"/>
        <v>20.25</v>
      </c>
      <c r="Z59" s="36">
        <f t="shared" si="11"/>
        <v>20.234999999999999</v>
      </c>
      <c r="AA59" s="53"/>
      <c r="AB59" s="53"/>
      <c r="AC59" s="36">
        <f t="shared" si="12"/>
        <v>22.4175</v>
      </c>
      <c r="AD59" s="36">
        <f t="shared" si="13"/>
        <v>22.4315</v>
      </c>
      <c r="AE59" s="53"/>
      <c r="AF59" s="53"/>
      <c r="AH59" s="43"/>
      <c r="CD59" s="69">
        <v>2031</v>
      </c>
      <c r="CE59" s="54">
        <f t="shared" si="14"/>
        <v>17.684999999999999</v>
      </c>
      <c r="CF59" s="54">
        <f t="shared" si="15"/>
        <v>72.036314999999988</v>
      </c>
      <c r="CG59" s="69">
        <f t="shared" si="16"/>
        <v>456.75</v>
      </c>
      <c r="CH59" s="54">
        <f t="shared" si="17"/>
        <v>17.654999999999998</v>
      </c>
      <c r="CI59" s="54">
        <f t="shared" si="19"/>
        <v>72.014084999999994</v>
      </c>
      <c r="CJ59" s="69">
        <f t="shared" si="18"/>
        <v>454.15</v>
      </c>
    </row>
    <row r="60" spans="1:90">
      <c r="A60" s="35">
        <v>2032</v>
      </c>
      <c r="B60" s="47">
        <f t="shared" si="25"/>
        <v>1.3699999999999999</v>
      </c>
      <c r="C60" s="47">
        <f t="shared" si="25"/>
        <v>1.3099999999999998</v>
      </c>
      <c r="D60" s="47">
        <f t="shared" si="25"/>
        <v>-4.8</v>
      </c>
      <c r="E60" s="47">
        <f t="shared" si="25"/>
        <v>-4.7799999999999994</v>
      </c>
      <c r="F60" s="47">
        <f t="shared" si="25"/>
        <v>-2.97</v>
      </c>
      <c r="G60" s="47">
        <f t="shared" si="25"/>
        <v>-2.9300000000000006</v>
      </c>
      <c r="H60" s="47">
        <f t="shared" si="25"/>
        <v>1</v>
      </c>
      <c r="I60" s="47">
        <f t="shared" si="25"/>
        <v>0.97000000000000008</v>
      </c>
      <c r="J60" s="47">
        <f t="shared" si="25"/>
        <v>0</v>
      </c>
      <c r="K60" s="47">
        <f t="shared" si="25"/>
        <v>0</v>
      </c>
      <c r="L60" s="47">
        <f t="shared" si="25"/>
        <v>0.96499999999999997</v>
      </c>
      <c r="M60" s="47">
        <f t="shared" si="25"/>
        <v>0.96299999999999997</v>
      </c>
      <c r="N60" s="47">
        <f t="shared" si="25"/>
        <v>0</v>
      </c>
      <c r="O60" s="47">
        <f t="shared" si="25"/>
        <v>0</v>
      </c>
      <c r="Q60" s="36">
        <v>461.5</v>
      </c>
      <c r="R60" s="36">
        <v>457.79999999999995</v>
      </c>
      <c r="S60" s="36">
        <f t="shared" si="4"/>
        <v>17.77</v>
      </c>
      <c r="T60" s="36">
        <f t="shared" si="5"/>
        <v>17.709999999999997</v>
      </c>
      <c r="U60" s="36">
        <f t="shared" si="6"/>
        <v>1041.4880000000001</v>
      </c>
      <c r="V60" s="36">
        <f t="shared" si="7"/>
        <v>1041.7067999999999</v>
      </c>
      <c r="W60" s="36">
        <f t="shared" si="8"/>
        <v>71.899229999999989</v>
      </c>
      <c r="X60" s="36">
        <f t="shared" si="9"/>
        <v>71.928869999999989</v>
      </c>
      <c r="Y60" s="36">
        <f t="shared" si="10"/>
        <v>20.3</v>
      </c>
      <c r="Z60" s="36">
        <f t="shared" si="11"/>
        <v>20.27</v>
      </c>
      <c r="AA60" s="53"/>
      <c r="AB60" s="53"/>
      <c r="AC60" s="36">
        <f t="shared" si="12"/>
        <v>22.465</v>
      </c>
      <c r="AD60" s="36">
        <f t="shared" si="13"/>
        <v>22.463000000000001</v>
      </c>
      <c r="AE60" s="53"/>
      <c r="AF60" s="53"/>
      <c r="AH60" s="43"/>
      <c r="CD60" s="69">
        <v>2032</v>
      </c>
      <c r="CE60" s="54">
        <f t="shared" si="14"/>
        <v>17.77</v>
      </c>
      <c r="CF60" s="54">
        <f t="shared" si="15"/>
        <v>71.899229999999989</v>
      </c>
      <c r="CG60" s="69">
        <f t="shared" si="16"/>
        <v>461.5</v>
      </c>
      <c r="CH60" s="54">
        <f t="shared" si="17"/>
        <v>17.709999999999997</v>
      </c>
      <c r="CI60" s="54">
        <f t="shared" si="19"/>
        <v>71.928869999999989</v>
      </c>
      <c r="CJ60" s="69">
        <f t="shared" si="18"/>
        <v>457.79999999999995</v>
      </c>
    </row>
    <row r="61" spans="1:90">
      <c r="A61" s="35">
        <v>2033</v>
      </c>
      <c r="B61" s="47">
        <f t="shared" si="25"/>
        <v>1.4549999999999998</v>
      </c>
      <c r="C61" s="47">
        <f t="shared" si="25"/>
        <v>1.3649999999999998</v>
      </c>
      <c r="D61" s="47">
        <f t="shared" si="25"/>
        <v>-5.0999999999999996</v>
      </c>
      <c r="E61" s="47">
        <f t="shared" si="25"/>
        <v>-4.9699999999999989</v>
      </c>
      <c r="F61" s="47">
        <f t="shared" si="25"/>
        <v>-3.1550000000000002</v>
      </c>
      <c r="G61" s="47">
        <f t="shared" si="25"/>
        <v>-3.0450000000000008</v>
      </c>
      <c r="H61" s="47">
        <f t="shared" si="25"/>
        <v>1.05</v>
      </c>
      <c r="I61" s="47">
        <f t="shared" si="25"/>
        <v>1.0050000000000001</v>
      </c>
      <c r="J61" s="47">
        <f t="shared" si="25"/>
        <v>0</v>
      </c>
      <c r="K61" s="47">
        <f t="shared" si="25"/>
        <v>0</v>
      </c>
      <c r="L61" s="47">
        <f t="shared" si="25"/>
        <v>1.0125</v>
      </c>
      <c r="M61" s="47">
        <f t="shared" si="25"/>
        <v>0.99449999999999994</v>
      </c>
      <c r="N61" s="47">
        <f t="shared" si="25"/>
        <v>0</v>
      </c>
      <c r="O61" s="47">
        <f t="shared" si="25"/>
        <v>0</v>
      </c>
      <c r="Q61" s="36">
        <v>466.25</v>
      </c>
      <c r="R61" s="36">
        <v>461.44999999999993</v>
      </c>
      <c r="S61" s="36">
        <f t="shared" si="4"/>
        <v>17.854999999999997</v>
      </c>
      <c r="T61" s="36">
        <f t="shared" si="5"/>
        <v>17.764999999999997</v>
      </c>
      <c r="U61" s="36">
        <f t="shared" si="6"/>
        <v>1038.2059999999999</v>
      </c>
      <c r="V61" s="36">
        <f t="shared" si="7"/>
        <v>1039.6282000000001</v>
      </c>
      <c r="W61" s="36">
        <f t="shared" si="8"/>
        <v>71.76214499999999</v>
      </c>
      <c r="X61" s="36">
        <f t="shared" si="9"/>
        <v>71.843654999999998</v>
      </c>
      <c r="Y61" s="36">
        <f t="shared" si="10"/>
        <v>20.350000000000001</v>
      </c>
      <c r="Z61" s="36">
        <f t="shared" si="11"/>
        <v>20.305</v>
      </c>
      <c r="AA61" s="53"/>
      <c r="AB61" s="53"/>
      <c r="AC61" s="36">
        <f t="shared" si="12"/>
        <v>22.512499999999999</v>
      </c>
      <c r="AD61" s="36">
        <f t="shared" si="13"/>
        <v>22.494499999999999</v>
      </c>
      <c r="AE61" s="53"/>
      <c r="AF61" s="53"/>
      <c r="AH61" s="43"/>
      <c r="CD61" s="69">
        <v>2033</v>
      </c>
      <c r="CE61" s="54">
        <f t="shared" si="14"/>
        <v>17.854999999999997</v>
      </c>
      <c r="CF61" s="54">
        <f t="shared" si="15"/>
        <v>71.76214499999999</v>
      </c>
      <c r="CG61" s="69">
        <f t="shared" si="16"/>
        <v>466.25</v>
      </c>
      <c r="CH61" s="54">
        <f t="shared" si="17"/>
        <v>17.764999999999997</v>
      </c>
      <c r="CI61" s="54">
        <f t="shared" si="19"/>
        <v>71.843654999999998</v>
      </c>
      <c r="CJ61" s="69">
        <f t="shared" si="18"/>
        <v>461.44999999999993</v>
      </c>
    </row>
    <row r="62" spans="1:90">
      <c r="A62" s="35">
        <v>2034</v>
      </c>
      <c r="B62" s="47">
        <f t="shared" si="25"/>
        <v>1.5399999999999998</v>
      </c>
      <c r="C62" s="47">
        <f t="shared" si="25"/>
        <v>1.4199999999999997</v>
      </c>
      <c r="D62" s="47">
        <f t="shared" si="25"/>
        <v>-5.3999999999999995</v>
      </c>
      <c r="E62" s="47">
        <f t="shared" si="25"/>
        <v>-5.1599999999999984</v>
      </c>
      <c r="F62" s="47">
        <f t="shared" si="25"/>
        <v>-3.3400000000000003</v>
      </c>
      <c r="G62" s="47">
        <f t="shared" si="25"/>
        <v>-3.160000000000001</v>
      </c>
      <c r="H62" s="47">
        <f t="shared" si="25"/>
        <v>1.1000000000000001</v>
      </c>
      <c r="I62" s="47">
        <f t="shared" si="25"/>
        <v>1.04</v>
      </c>
      <c r="J62" s="47">
        <f t="shared" si="25"/>
        <v>0</v>
      </c>
      <c r="K62" s="47">
        <f t="shared" si="25"/>
        <v>0</v>
      </c>
      <c r="L62" s="47">
        <f t="shared" si="25"/>
        <v>1.06</v>
      </c>
      <c r="M62" s="47">
        <f t="shared" si="25"/>
        <v>1.026</v>
      </c>
      <c r="N62" s="47">
        <f t="shared" si="25"/>
        <v>0</v>
      </c>
      <c r="O62" s="47">
        <f t="shared" si="25"/>
        <v>0</v>
      </c>
      <c r="Q62" s="36">
        <v>471</v>
      </c>
      <c r="R62" s="36">
        <v>465.09999999999991</v>
      </c>
      <c r="S62" s="36">
        <f t="shared" si="4"/>
        <v>17.939999999999998</v>
      </c>
      <c r="T62" s="36">
        <f t="shared" si="5"/>
        <v>17.819999999999997</v>
      </c>
      <c r="U62" s="36">
        <f t="shared" si="6"/>
        <v>1034.924</v>
      </c>
      <c r="V62" s="36">
        <f t="shared" si="7"/>
        <v>1037.5496000000001</v>
      </c>
      <c r="W62" s="36">
        <f t="shared" si="8"/>
        <v>71.625059999999991</v>
      </c>
      <c r="X62" s="36">
        <f t="shared" si="9"/>
        <v>71.758439999999993</v>
      </c>
      <c r="Y62" s="36">
        <f t="shared" si="10"/>
        <v>20.400000000000002</v>
      </c>
      <c r="Z62" s="36">
        <f t="shared" si="11"/>
        <v>20.34</v>
      </c>
      <c r="AA62" s="53"/>
      <c r="AB62" s="53"/>
      <c r="AC62" s="36">
        <f t="shared" si="12"/>
        <v>22.56</v>
      </c>
      <c r="AD62" s="36">
        <f t="shared" si="13"/>
        <v>22.526</v>
      </c>
      <c r="AE62" s="53"/>
      <c r="AF62" s="53"/>
      <c r="AH62" s="43"/>
      <c r="CD62" s="69">
        <v>2034</v>
      </c>
      <c r="CE62" s="54">
        <f t="shared" si="14"/>
        <v>17.939999999999998</v>
      </c>
      <c r="CF62" s="54">
        <f t="shared" si="15"/>
        <v>71.625059999999991</v>
      </c>
      <c r="CG62" s="69">
        <f t="shared" si="16"/>
        <v>471</v>
      </c>
      <c r="CH62" s="54">
        <f t="shared" si="17"/>
        <v>17.819999999999997</v>
      </c>
      <c r="CI62" s="54">
        <f t="shared" si="19"/>
        <v>71.758439999999993</v>
      </c>
      <c r="CJ62" s="69">
        <f t="shared" si="18"/>
        <v>465.09999999999991</v>
      </c>
    </row>
    <row r="63" spans="1:90">
      <c r="A63" s="35">
        <v>2035</v>
      </c>
      <c r="B63" s="47">
        <f t="shared" si="25"/>
        <v>1.6249999999999998</v>
      </c>
      <c r="C63" s="47">
        <f t="shared" si="25"/>
        <v>1.4749999999999996</v>
      </c>
      <c r="D63" s="47">
        <f t="shared" si="25"/>
        <v>-5.6999999999999993</v>
      </c>
      <c r="E63" s="47">
        <f t="shared" si="25"/>
        <v>-5.3499999999999979</v>
      </c>
      <c r="F63" s="47">
        <f t="shared" si="25"/>
        <v>-3.5250000000000004</v>
      </c>
      <c r="G63" s="47">
        <f t="shared" si="25"/>
        <v>-3.2750000000000012</v>
      </c>
      <c r="H63" s="47">
        <f t="shared" si="25"/>
        <v>1.1500000000000001</v>
      </c>
      <c r="I63" s="47">
        <f t="shared" si="25"/>
        <v>1.075</v>
      </c>
      <c r="J63" s="47">
        <f t="shared" si="25"/>
        <v>0</v>
      </c>
      <c r="K63" s="47">
        <f t="shared" si="25"/>
        <v>0</v>
      </c>
      <c r="L63" s="47">
        <f t="shared" si="25"/>
        <v>1.1075000000000002</v>
      </c>
      <c r="M63" s="47">
        <f t="shared" si="25"/>
        <v>1.0575000000000001</v>
      </c>
      <c r="N63" s="47">
        <f t="shared" si="25"/>
        <v>0</v>
      </c>
      <c r="O63" s="47">
        <f t="shared" si="25"/>
        <v>0</v>
      </c>
      <c r="Q63" s="36">
        <v>475.75</v>
      </c>
      <c r="R63" s="36">
        <v>468.74999999999989</v>
      </c>
      <c r="S63" s="36">
        <f t="shared" si="4"/>
        <v>18.024999999999999</v>
      </c>
      <c r="T63" s="36">
        <f t="shared" si="5"/>
        <v>17.875</v>
      </c>
      <c r="U63" s="36">
        <f t="shared" si="6"/>
        <v>1031.6420000000001</v>
      </c>
      <c r="V63" s="36">
        <f t="shared" si="7"/>
        <v>1035.471</v>
      </c>
      <c r="W63" s="36">
        <f t="shared" si="8"/>
        <v>71.487974999999992</v>
      </c>
      <c r="X63" s="36">
        <f t="shared" si="9"/>
        <v>71.673224999999988</v>
      </c>
      <c r="Y63" s="36">
        <f t="shared" si="10"/>
        <v>20.45</v>
      </c>
      <c r="Z63" s="36">
        <f t="shared" si="11"/>
        <v>20.375</v>
      </c>
      <c r="AA63" s="53"/>
      <c r="AB63" s="53"/>
      <c r="AC63" s="36">
        <f t="shared" si="12"/>
        <v>22.607500000000002</v>
      </c>
      <c r="AD63" s="36">
        <f t="shared" si="13"/>
        <v>22.557500000000001</v>
      </c>
      <c r="AE63" s="53"/>
      <c r="AF63" s="53"/>
      <c r="AH63" s="43"/>
      <c r="CD63" s="69">
        <v>2035</v>
      </c>
      <c r="CE63" s="54">
        <f t="shared" si="14"/>
        <v>18.024999999999999</v>
      </c>
      <c r="CF63" s="54">
        <f t="shared" si="15"/>
        <v>71.487974999999992</v>
      </c>
      <c r="CG63" s="69">
        <f t="shared" si="16"/>
        <v>475.75</v>
      </c>
      <c r="CH63" s="54">
        <f t="shared" si="17"/>
        <v>17.875</v>
      </c>
      <c r="CI63" s="54">
        <f t="shared" si="19"/>
        <v>71.673224999999988</v>
      </c>
      <c r="CJ63" s="69">
        <f t="shared" si="18"/>
        <v>468.74999999999989</v>
      </c>
    </row>
    <row r="64" spans="1:90">
      <c r="A64" s="35">
        <v>2036</v>
      </c>
      <c r="B64" s="47">
        <f t="shared" si="25"/>
        <v>1.7099999999999997</v>
      </c>
      <c r="C64" s="47">
        <f t="shared" si="25"/>
        <v>1.5299999999999996</v>
      </c>
      <c r="D64" s="47">
        <f t="shared" si="25"/>
        <v>-5.9999999999999991</v>
      </c>
      <c r="E64" s="47">
        <f t="shared" si="25"/>
        <v>-5.5399999999999974</v>
      </c>
      <c r="F64" s="47">
        <f t="shared" si="25"/>
        <v>-3.7100000000000004</v>
      </c>
      <c r="G64" s="47">
        <f t="shared" si="25"/>
        <v>-3.3900000000000015</v>
      </c>
      <c r="H64" s="47">
        <f t="shared" si="25"/>
        <v>1.2000000000000002</v>
      </c>
      <c r="I64" s="47">
        <f t="shared" si="25"/>
        <v>1.1099999999999999</v>
      </c>
      <c r="J64" s="47">
        <f t="shared" si="25"/>
        <v>0</v>
      </c>
      <c r="K64" s="47">
        <f t="shared" si="25"/>
        <v>0</v>
      </c>
      <c r="L64" s="47">
        <f t="shared" si="25"/>
        <v>1.1550000000000002</v>
      </c>
      <c r="M64" s="47">
        <f t="shared" si="25"/>
        <v>1.0890000000000002</v>
      </c>
      <c r="N64" s="47">
        <f t="shared" si="25"/>
        <v>0</v>
      </c>
      <c r="O64" s="47">
        <f t="shared" si="25"/>
        <v>0</v>
      </c>
      <c r="Q64" s="36">
        <v>480.5</v>
      </c>
      <c r="R64" s="36">
        <v>472.39999999999986</v>
      </c>
      <c r="S64" s="36">
        <f t="shared" si="4"/>
        <v>18.11</v>
      </c>
      <c r="T64" s="36">
        <f t="shared" si="5"/>
        <v>17.93</v>
      </c>
      <c r="U64" s="36">
        <f t="shared" si="6"/>
        <v>1028.3600000000001</v>
      </c>
      <c r="V64" s="36">
        <f t="shared" si="7"/>
        <v>1033.3924</v>
      </c>
      <c r="W64" s="36">
        <f t="shared" si="8"/>
        <v>71.350889999999993</v>
      </c>
      <c r="X64" s="36">
        <f t="shared" si="9"/>
        <v>71.588009999999997</v>
      </c>
      <c r="Y64" s="36">
        <f t="shared" si="10"/>
        <v>20.5</v>
      </c>
      <c r="Z64" s="36">
        <f t="shared" si="11"/>
        <v>20.41</v>
      </c>
      <c r="AA64" s="53"/>
      <c r="AB64" s="53"/>
      <c r="AC64" s="36">
        <f t="shared" si="12"/>
        <v>22.655000000000001</v>
      </c>
      <c r="AD64" s="36">
        <f t="shared" si="13"/>
        <v>22.588999999999999</v>
      </c>
      <c r="AE64" s="53"/>
      <c r="AF64" s="53"/>
      <c r="AH64" s="43"/>
      <c r="CD64" s="69">
        <v>2036</v>
      </c>
      <c r="CE64" s="54">
        <f t="shared" si="14"/>
        <v>18.11</v>
      </c>
      <c r="CF64" s="54">
        <f t="shared" si="15"/>
        <v>71.350889999999993</v>
      </c>
      <c r="CG64" s="69">
        <f t="shared" si="16"/>
        <v>480.5</v>
      </c>
      <c r="CH64" s="54">
        <f t="shared" si="17"/>
        <v>17.93</v>
      </c>
      <c r="CI64" s="54">
        <f t="shared" si="19"/>
        <v>71.588009999999997</v>
      </c>
      <c r="CJ64" s="69">
        <f t="shared" si="18"/>
        <v>472.39999999999986</v>
      </c>
    </row>
    <row r="65" spans="1:88">
      <c r="A65" s="35">
        <v>2037</v>
      </c>
      <c r="B65" s="47">
        <f t="shared" si="25"/>
        <v>1.7949999999999997</v>
      </c>
      <c r="C65" s="47">
        <f t="shared" si="25"/>
        <v>1.5849999999999995</v>
      </c>
      <c r="D65" s="47">
        <f t="shared" si="25"/>
        <v>-6.2999999999999989</v>
      </c>
      <c r="E65" s="47">
        <f t="shared" si="25"/>
        <v>-5.7299999999999969</v>
      </c>
      <c r="F65" s="47">
        <f t="shared" si="25"/>
        <v>-3.8950000000000005</v>
      </c>
      <c r="G65" s="47">
        <f t="shared" si="25"/>
        <v>-3.5050000000000017</v>
      </c>
      <c r="H65" s="47">
        <f t="shared" si="25"/>
        <v>1.2500000000000002</v>
      </c>
      <c r="I65" s="47">
        <f t="shared" si="25"/>
        <v>1.1449999999999998</v>
      </c>
      <c r="J65" s="47">
        <f t="shared" si="25"/>
        <v>0</v>
      </c>
      <c r="K65" s="47">
        <f t="shared" si="25"/>
        <v>0</v>
      </c>
      <c r="L65" s="47">
        <f t="shared" si="25"/>
        <v>1.2025000000000003</v>
      </c>
      <c r="M65" s="47">
        <f t="shared" si="25"/>
        <v>1.1205000000000003</v>
      </c>
      <c r="N65" s="47">
        <f t="shared" si="25"/>
        <v>0</v>
      </c>
      <c r="O65" s="47">
        <f t="shared" si="25"/>
        <v>0</v>
      </c>
      <c r="Q65" s="36">
        <v>485.25</v>
      </c>
      <c r="R65" s="36">
        <v>476.04999999999984</v>
      </c>
      <c r="S65" s="36">
        <f t="shared" si="4"/>
        <v>18.194999999999997</v>
      </c>
      <c r="T65" s="36">
        <f t="shared" si="5"/>
        <v>17.984999999999999</v>
      </c>
      <c r="U65" s="36">
        <f t="shared" si="6"/>
        <v>1025.078</v>
      </c>
      <c r="V65" s="36">
        <f t="shared" si="7"/>
        <v>1031.3138000000001</v>
      </c>
      <c r="W65" s="36">
        <f t="shared" si="8"/>
        <v>71.213804999999994</v>
      </c>
      <c r="X65" s="36">
        <f t="shared" si="9"/>
        <v>71.502794999999992</v>
      </c>
      <c r="Y65" s="36">
        <f t="shared" si="10"/>
        <v>20.55</v>
      </c>
      <c r="Z65" s="36">
        <f t="shared" si="11"/>
        <v>20.445</v>
      </c>
      <c r="AA65" s="53"/>
      <c r="AB65" s="53"/>
      <c r="AC65" s="36">
        <f t="shared" si="12"/>
        <v>22.702500000000001</v>
      </c>
      <c r="AD65" s="36">
        <f t="shared" si="13"/>
        <v>22.6205</v>
      </c>
      <c r="AE65" s="53"/>
      <c r="AF65" s="53"/>
      <c r="AH65" s="43"/>
      <c r="CD65" s="69">
        <v>2037</v>
      </c>
      <c r="CE65" s="54">
        <f t="shared" si="14"/>
        <v>18.194999999999997</v>
      </c>
      <c r="CF65" s="54">
        <f t="shared" si="15"/>
        <v>71.213804999999994</v>
      </c>
      <c r="CG65" s="69">
        <f t="shared" si="16"/>
        <v>485.25</v>
      </c>
      <c r="CH65" s="54">
        <f t="shared" si="17"/>
        <v>17.984999999999999</v>
      </c>
      <c r="CI65" s="54">
        <f t="shared" si="19"/>
        <v>71.502794999999992</v>
      </c>
      <c r="CJ65" s="69">
        <f t="shared" si="18"/>
        <v>476.04999999999984</v>
      </c>
    </row>
    <row r="66" spans="1:88">
      <c r="A66" s="35">
        <v>2038</v>
      </c>
      <c r="B66" s="47">
        <f t="shared" si="25"/>
        <v>1.8799999999999997</v>
      </c>
      <c r="C66" s="47">
        <f t="shared" si="25"/>
        <v>1.6399999999999995</v>
      </c>
      <c r="D66" s="47">
        <f t="shared" si="25"/>
        <v>-6.5999999999999988</v>
      </c>
      <c r="E66" s="47">
        <f t="shared" si="25"/>
        <v>-5.9199999999999964</v>
      </c>
      <c r="F66" s="47">
        <f t="shared" si="25"/>
        <v>-4.08</v>
      </c>
      <c r="G66" s="47">
        <f t="shared" si="25"/>
        <v>-3.6200000000000019</v>
      </c>
      <c r="H66" s="47">
        <f t="shared" si="25"/>
        <v>1.3000000000000003</v>
      </c>
      <c r="I66" s="47">
        <f t="shared" si="25"/>
        <v>1.1799999999999997</v>
      </c>
      <c r="J66" s="47">
        <f t="shared" si="25"/>
        <v>0</v>
      </c>
      <c r="K66" s="47">
        <f t="shared" si="25"/>
        <v>0</v>
      </c>
      <c r="L66" s="47">
        <f t="shared" si="25"/>
        <v>1.2500000000000004</v>
      </c>
      <c r="M66" s="47">
        <f t="shared" si="25"/>
        <v>1.1520000000000004</v>
      </c>
      <c r="N66" s="47">
        <f t="shared" si="25"/>
        <v>0</v>
      </c>
      <c r="O66" s="47">
        <f t="shared" si="25"/>
        <v>0</v>
      </c>
      <c r="Q66" s="36">
        <v>490</v>
      </c>
      <c r="R66" s="36">
        <v>479.69999999999982</v>
      </c>
      <c r="S66" s="36">
        <f t="shared" si="4"/>
        <v>18.279999999999998</v>
      </c>
      <c r="T66" s="36">
        <f t="shared" si="5"/>
        <v>18.04</v>
      </c>
      <c r="U66" s="36">
        <f t="shared" si="6"/>
        <v>1021.796</v>
      </c>
      <c r="V66" s="36">
        <f t="shared" si="7"/>
        <v>1029.2352000000001</v>
      </c>
      <c r="W66" s="36">
        <f t="shared" si="8"/>
        <v>71.076719999999995</v>
      </c>
      <c r="X66" s="36">
        <f t="shared" si="9"/>
        <v>71.417579999999987</v>
      </c>
      <c r="Y66" s="36">
        <f t="shared" si="10"/>
        <v>20.6</v>
      </c>
      <c r="Z66" s="36">
        <f t="shared" si="11"/>
        <v>20.48</v>
      </c>
      <c r="AA66" s="53"/>
      <c r="AB66" s="53"/>
      <c r="AC66" s="36">
        <f t="shared" si="12"/>
        <v>22.75</v>
      </c>
      <c r="AD66" s="36">
        <f t="shared" si="13"/>
        <v>22.652000000000001</v>
      </c>
      <c r="AE66" s="53"/>
      <c r="AF66" s="53"/>
      <c r="AH66" s="43"/>
      <c r="CD66" s="69">
        <v>2038</v>
      </c>
      <c r="CE66" s="54">
        <f t="shared" si="14"/>
        <v>18.279999999999998</v>
      </c>
      <c r="CF66" s="54">
        <f t="shared" si="15"/>
        <v>71.076719999999995</v>
      </c>
      <c r="CG66" s="69">
        <f t="shared" si="16"/>
        <v>490</v>
      </c>
      <c r="CH66" s="54">
        <f t="shared" si="17"/>
        <v>18.04</v>
      </c>
      <c r="CI66" s="54">
        <f t="shared" si="19"/>
        <v>71.417579999999987</v>
      </c>
      <c r="CJ66" s="69">
        <f t="shared" si="18"/>
        <v>479.69999999999982</v>
      </c>
    </row>
    <row r="67" spans="1:88">
      <c r="A67" s="35">
        <v>2039</v>
      </c>
      <c r="B67" s="47">
        <f t="shared" si="25"/>
        <v>1.9649999999999996</v>
      </c>
      <c r="C67" s="47">
        <f t="shared" si="25"/>
        <v>1.6949999999999994</v>
      </c>
      <c r="D67" s="47">
        <f t="shared" si="25"/>
        <v>-6.8999999999999986</v>
      </c>
      <c r="E67" s="47">
        <f t="shared" si="25"/>
        <v>-6.1099999999999959</v>
      </c>
      <c r="F67" s="47">
        <f t="shared" si="25"/>
        <v>-4.2649999999999997</v>
      </c>
      <c r="G67" s="47">
        <f t="shared" si="25"/>
        <v>-3.7350000000000021</v>
      </c>
      <c r="H67" s="47">
        <f t="shared" si="25"/>
        <v>1.3500000000000003</v>
      </c>
      <c r="I67" s="47">
        <f t="shared" si="25"/>
        <v>1.2149999999999996</v>
      </c>
      <c r="J67" s="47">
        <f t="shared" si="25"/>
        <v>0</v>
      </c>
      <c r="K67" s="47">
        <f t="shared" si="25"/>
        <v>0</v>
      </c>
      <c r="L67" s="47">
        <f t="shared" si="25"/>
        <v>1.2975000000000005</v>
      </c>
      <c r="M67" s="47">
        <f t="shared" si="25"/>
        <v>1.1835000000000004</v>
      </c>
      <c r="N67" s="47">
        <f t="shared" si="25"/>
        <v>0</v>
      </c>
      <c r="O67" s="47">
        <f t="shared" si="25"/>
        <v>0</v>
      </c>
      <c r="Q67" s="36">
        <v>494.75</v>
      </c>
      <c r="R67" s="36">
        <v>483.3499999999998</v>
      </c>
      <c r="S67" s="36">
        <f t="shared" si="4"/>
        <v>18.364999999999998</v>
      </c>
      <c r="T67" s="36">
        <f t="shared" si="5"/>
        <v>18.094999999999999</v>
      </c>
      <c r="U67" s="36">
        <f t="shared" si="6"/>
        <v>1018.514</v>
      </c>
      <c r="V67" s="36">
        <f t="shared" si="7"/>
        <v>1027.1566</v>
      </c>
      <c r="W67" s="36">
        <f t="shared" si="8"/>
        <v>70.939634999999996</v>
      </c>
      <c r="X67" s="36">
        <f t="shared" si="9"/>
        <v>71.332364999999996</v>
      </c>
      <c r="Y67" s="36">
        <f t="shared" si="10"/>
        <v>20.650000000000002</v>
      </c>
      <c r="Z67" s="36">
        <f t="shared" si="11"/>
        <v>20.515000000000001</v>
      </c>
      <c r="AA67" s="53"/>
      <c r="AB67" s="53"/>
      <c r="AC67" s="36">
        <f t="shared" si="12"/>
        <v>22.797499999999999</v>
      </c>
      <c r="AD67" s="36">
        <f t="shared" si="13"/>
        <v>22.683500000000002</v>
      </c>
      <c r="AE67" s="53"/>
      <c r="AF67" s="53"/>
      <c r="AH67" s="43"/>
      <c r="CD67" s="69">
        <v>2039</v>
      </c>
      <c r="CE67" s="54">
        <f t="shared" si="14"/>
        <v>18.364999999999998</v>
      </c>
      <c r="CF67" s="54">
        <f t="shared" si="15"/>
        <v>70.939634999999996</v>
      </c>
      <c r="CG67" s="69">
        <f t="shared" si="16"/>
        <v>494.75</v>
      </c>
      <c r="CH67" s="54">
        <f t="shared" si="17"/>
        <v>18.094999999999999</v>
      </c>
      <c r="CI67" s="54">
        <f t="shared" si="19"/>
        <v>71.332364999999996</v>
      </c>
      <c r="CJ67" s="69">
        <f t="shared" si="18"/>
        <v>483.3499999999998</v>
      </c>
    </row>
    <row r="68" spans="1:88">
      <c r="A68" s="35">
        <v>2040</v>
      </c>
      <c r="B68" s="47">
        <f t="shared" si="25"/>
        <v>2.0499999999999998</v>
      </c>
      <c r="C68" s="47">
        <f t="shared" si="25"/>
        <v>1.7499999999999993</v>
      </c>
      <c r="D68" s="47">
        <f t="shared" si="25"/>
        <v>-7.1999999999999984</v>
      </c>
      <c r="E68" s="47">
        <f t="shared" si="25"/>
        <v>-6.2999999999999954</v>
      </c>
      <c r="F68" s="47">
        <f t="shared" si="25"/>
        <v>-4.4499999999999993</v>
      </c>
      <c r="G68" s="47">
        <f t="shared" si="25"/>
        <v>-3.8500000000000023</v>
      </c>
      <c r="H68" s="47">
        <f t="shared" si="25"/>
        <v>1.4000000000000004</v>
      </c>
      <c r="I68" s="47">
        <f t="shared" si="25"/>
        <v>1.2499999999999996</v>
      </c>
      <c r="J68" s="47">
        <f t="shared" si="25"/>
        <v>0</v>
      </c>
      <c r="K68" s="47">
        <f t="shared" si="25"/>
        <v>0</v>
      </c>
      <c r="L68" s="47">
        <f t="shared" si="25"/>
        <v>1.3450000000000006</v>
      </c>
      <c r="M68" s="47">
        <f t="shared" si="25"/>
        <v>1.2150000000000005</v>
      </c>
      <c r="N68" s="47">
        <f t="shared" si="25"/>
        <v>0</v>
      </c>
      <c r="O68" s="47">
        <f t="shared" si="25"/>
        <v>0</v>
      </c>
      <c r="Q68" s="36">
        <v>499.5</v>
      </c>
      <c r="R68" s="36">
        <v>487</v>
      </c>
      <c r="S68" s="36">
        <f t="shared" si="4"/>
        <v>18.45</v>
      </c>
      <c r="T68" s="36">
        <f t="shared" si="5"/>
        <v>18.149999999999999</v>
      </c>
      <c r="U68" s="36">
        <f t="shared" si="6"/>
        <v>1015.232</v>
      </c>
      <c r="V68" s="36">
        <f t="shared" si="7"/>
        <v>1025.078</v>
      </c>
      <c r="W68" s="36">
        <f t="shared" si="8"/>
        <v>70.802549999999997</v>
      </c>
      <c r="X68" s="36">
        <f t="shared" si="9"/>
        <v>71.247149999999991</v>
      </c>
      <c r="Y68" s="36">
        <f t="shared" si="10"/>
        <v>20.700000000000003</v>
      </c>
      <c r="Z68" s="36">
        <f t="shared" si="11"/>
        <v>20.55</v>
      </c>
      <c r="AA68" s="53"/>
      <c r="AB68" s="53"/>
      <c r="AC68" s="36">
        <f t="shared" si="12"/>
        <v>22.844999999999999</v>
      </c>
      <c r="AD68" s="36">
        <f t="shared" si="13"/>
        <v>22.715</v>
      </c>
      <c r="AE68" s="53"/>
      <c r="AF68" s="53"/>
      <c r="AH68" s="43"/>
      <c r="CD68" s="69">
        <v>2040</v>
      </c>
      <c r="CE68" s="54">
        <f t="shared" si="14"/>
        <v>18.45</v>
      </c>
      <c r="CF68" s="54">
        <f t="shared" si="15"/>
        <v>70.802549999999997</v>
      </c>
      <c r="CG68" s="69">
        <f t="shared" si="16"/>
        <v>499.5</v>
      </c>
      <c r="CH68" s="54">
        <f t="shared" si="17"/>
        <v>18.149999999999999</v>
      </c>
      <c r="CI68" s="54">
        <f t="shared" si="19"/>
        <v>71.247149999999991</v>
      </c>
      <c r="CJ68" s="69">
        <f t="shared" si="18"/>
        <v>487</v>
      </c>
    </row>
    <row r="69" spans="1:88">
      <c r="A69" s="35">
        <v>2041</v>
      </c>
      <c r="B69" s="47">
        <f t="shared" si="25"/>
        <v>2.1349999999999998</v>
      </c>
      <c r="C69" s="47">
        <f t="shared" si="25"/>
        <v>1.8049999999999993</v>
      </c>
      <c r="D69" s="47">
        <f t="shared" si="25"/>
        <v>-7.4999999999999982</v>
      </c>
      <c r="E69" s="47">
        <f t="shared" si="25"/>
        <v>-6.4899999999999949</v>
      </c>
      <c r="F69" s="47">
        <f t="shared" si="25"/>
        <v>-4.6349999999999989</v>
      </c>
      <c r="G69" s="47">
        <f t="shared" si="25"/>
        <v>-3.9650000000000025</v>
      </c>
      <c r="H69" s="47">
        <f t="shared" si="25"/>
        <v>1.4500000000000004</v>
      </c>
      <c r="I69" s="47">
        <f t="shared" si="25"/>
        <v>1.2849999999999995</v>
      </c>
      <c r="J69" s="47">
        <f t="shared" si="25"/>
        <v>0</v>
      </c>
      <c r="K69" s="47">
        <f t="shared" si="25"/>
        <v>0</v>
      </c>
      <c r="L69" s="47">
        <f t="shared" si="25"/>
        <v>1.3925000000000007</v>
      </c>
      <c r="M69" s="47">
        <f t="shared" si="25"/>
        <v>1.2465000000000006</v>
      </c>
      <c r="N69" s="47">
        <f t="shared" si="25"/>
        <v>0</v>
      </c>
      <c r="O69" s="47">
        <f t="shared" si="25"/>
        <v>0</v>
      </c>
      <c r="Q69" s="36">
        <v>505.65</v>
      </c>
      <c r="R69" s="36">
        <v>491</v>
      </c>
      <c r="S69" s="36">
        <f t="shared" si="4"/>
        <v>18.534999999999997</v>
      </c>
      <c r="T69" s="36">
        <f t="shared" si="5"/>
        <v>18.204999999999998</v>
      </c>
      <c r="U69" s="36">
        <f t="shared" si="6"/>
        <v>1011.95</v>
      </c>
      <c r="V69" s="36">
        <f t="shared" si="7"/>
        <v>1022.9994</v>
      </c>
      <c r="W69" s="36">
        <f t="shared" si="8"/>
        <v>70.665464999999998</v>
      </c>
      <c r="X69" s="36">
        <f t="shared" si="9"/>
        <v>71.161935</v>
      </c>
      <c r="Y69" s="36">
        <f t="shared" si="10"/>
        <v>20.75</v>
      </c>
      <c r="Z69" s="36">
        <f t="shared" si="11"/>
        <v>20.585000000000001</v>
      </c>
      <c r="AA69" s="53"/>
      <c r="AB69" s="53"/>
      <c r="AC69" s="36">
        <f t="shared" si="12"/>
        <v>22.892500000000002</v>
      </c>
      <c r="AD69" s="36">
        <f t="shared" si="13"/>
        <v>22.746500000000001</v>
      </c>
      <c r="AE69" s="53"/>
      <c r="AF69" s="53"/>
      <c r="AH69" s="43"/>
      <c r="CD69" s="69">
        <v>2041</v>
      </c>
      <c r="CE69" s="54">
        <f t="shared" si="14"/>
        <v>18.534999999999997</v>
      </c>
      <c r="CF69" s="54">
        <f t="shared" si="15"/>
        <v>70.665464999999998</v>
      </c>
      <c r="CG69" s="69">
        <f t="shared" si="16"/>
        <v>505.65</v>
      </c>
      <c r="CH69" s="54">
        <f t="shared" si="17"/>
        <v>18.204999999999998</v>
      </c>
      <c r="CI69" s="54">
        <f t="shared" si="19"/>
        <v>71.161935</v>
      </c>
      <c r="CJ69" s="69">
        <f t="shared" si="18"/>
        <v>491</v>
      </c>
    </row>
    <row r="70" spans="1:88">
      <c r="A70" s="35">
        <v>2042</v>
      </c>
      <c r="B70" s="47">
        <f t="shared" si="25"/>
        <v>2.2199999999999998</v>
      </c>
      <c r="C70" s="47">
        <f t="shared" si="25"/>
        <v>1.8599999999999992</v>
      </c>
      <c r="D70" s="47">
        <f t="shared" si="25"/>
        <v>-7.799999999999998</v>
      </c>
      <c r="E70" s="47">
        <f t="shared" si="25"/>
        <v>-6.6799999999999944</v>
      </c>
      <c r="F70" s="47">
        <f t="shared" si="25"/>
        <v>-4.8199999999999985</v>
      </c>
      <c r="G70" s="47">
        <f t="shared" si="25"/>
        <v>-4.0800000000000027</v>
      </c>
      <c r="H70" s="47">
        <f t="shared" si="25"/>
        <v>1.5000000000000004</v>
      </c>
      <c r="I70" s="47">
        <f t="shared" si="25"/>
        <v>1.3199999999999994</v>
      </c>
      <c r="J70" s="47">
        <f t="shared" si="25"/>
        <v>0</v>
      </c>
      <c r="K70" s="47">
        <f t="shared" si="25"/>
        <v>0</v>
      </c>
      <c r="L70" s="47">
        <f t="shared" si="25"/>
        <v>1.4400000000000008</v>
      </c>
      <c r="M70" s="47">
        <f t="shared" si="25"/>
        <v>1.2780000000000007</v>
      </c>
      <c r="N70" s="47">
        <f t="shared" si="25"/>
        <v>0</v>
      </c>
      <c r="O70" s="47">
        <f t="shared" si="25"/>
        <v>0</v>
      </c>
      <c r="Q70" s="36">
        <v>511.79999999999995</v>
      </c>
      <c r="R70" s="36">
        <v>495</v>
      </c>
      <c r="S70" s="36">
        <f t="shared" si="4"/>
        <v>18.619999999999997</v>
      </c>
      <c r="T70" s="36">
        <f t="shared" si="5"/>
        <v>18.259999999999998</v>
      </c>
      <c r="U70" s="36">
        <f t="shared" si="6"/>
        <v>1008.668</v>
      </c>
      <c r="V70" s="36">
        <f t="shared" si="7"/>
        <v>1020.9208000000001</v>
      </c>
      <c r="W70" s="36">
        <f t="shared" si="8"/>
        <v>70.528379999999999</v>
      </c>
      <c r="X70" s="36">
        <f t="shared" si="9"/>
        <v>71.076719999999995</v>
      </c>
      <c r="Y70" s="36">
        <f t="shared" si="10"/>
        <v>20.8</v>
      </c>
      <c r="Z70" s="36">
        <f t="shared" si="11"/>
        <v>20.62</v>
      </c>
      <c r="AA70" s="53"/>
      <c r="AB70" s="53"/>
      <c r="AC70" s="36">
        <f t="shared" si="12"/>
        <v>22.94</v>
      </c>
      <c r="AD70" s="36">
        <f t="shared" si="13"/>
        <v>22.778000000000002</v>
      </c>
      <c r="AE70" s="53"/>
      <c r="AF70" s="53"/>
      <c r="AH70" s="43"/>
      <c r="CD70" s="69">
        <v>2042</v>
      </c>
      <c r="CE70" s="54">
        <f t="shared" si="14"/>
        <v>18.619999999999997</v>
      </c>
      <c r="CF70" s="54">
        <f t="shared" si="15"/>
        <v>70.528379999999999</v>
      </c>
      <c r="CG70" s="69">
        <f t="shared" si="16"/>
        <v>511.79999999999995</v>
      </c>
      <c r="CH70" s="54">
        <f t="shared" si="17"/>
        <v>18.259999999999998</v>
      </c>
      <c r="CI70" s="54">
        <f t="shared" si="19"/>
        <v>71.076719999999995</v>
      </c>
      <c r="CJ70" s="69">
        <f t="shared" si="18"/>
        <v>495</v>
      </c>
    </row>
    <row r="71" spans="1:88">
      <c r="A71" s="35">
        <v>2043</v>
      </c>
      <c r="B71" s="47">
        <f t="shared" si="25"/>
        <v>2.3049999999999997</v>
      </c>
      <c r="C71" s="47">
        <f t="shared" si="25"/>
        <v>1.9149999999999991</v>
      </c>
      <c r="D71" s="47">
        <f t="shared" si="25"/>
        <v>-8.0999999999999979</v>
      </c>
      <c r="E71" s="47">
        <f t="shared" si="25"/>
        <v>-6.8699999999999939</v>
      </c>
      <c r="F71" s="47">
        <f t="shared" si="25"/>
        <v>-5.0049999999999981</v>
      </c>
      <c r="G71" s="47">
        <f t="shared" si="25"/>
        <v>-4.1950000000000029</v>
      </c>
      <c r="H71" s="47">
        <f t="shared" si="25"/>
        <v>1.5500000000000005</v>
      </c>
      <c r="I71" s="47">
        <f t="shared" si="25"/>
        <v>1.3549999999999993</v>
      </c>
      <c r="J71" s="47">
        <f t="shared" si="25"/>
        <v>0</v>
      </c>
      <c r="K71" s="47">
        <f t="shared" si="25"/>
        <v>0</v>
      </c>
      <c r="L71" s="47">
        <f t="shared" si="25"/>
        <v>1.4875000000000009</v>
      </c>
      <c r="M71" s="47">
        <f t="shared" si="25"/>
        <v>1.3095000000000008</v>
      </c>
      <c r="N71" s="47">
        <f t="shared" si="25"/>
        <v>0</v>
      </c>
      <c r="O71" s="47">
        <f t="shared" si="25"/>
        <v>0</v>
      </c>
      <c r="Q71" s="36">
        <v>517.94999999999993</v>
      </c>
      <c r="R71" s="36">
        <v>499</v>
      </c>
      <c r="S71" s="36">
        <f t="shared" si="4"/>
        <v>18.704999999999998</v>
      </c>
      <c r="T71" s="36">
        <f t="shared" si="5"/>
        <v>18.314999999999998</v>
      </c>
      <c r="U71" s="36">
        <f t="shared" si="6"/>
        <v>1005.386</v>
      </c>
      <c r="V71" s="36">
        <f t="shared" si="7"/>
        <v>1018.8422</v>
      </c>
      <c r="W71" s="36">
        <f t="shared" si="8"/>
        <v>70.391295</v>
      </c>
      <c r="X71" s="36">
        <f t="shared" si="9"/>
        <v>70.991504999999989</v>
      </c>
      <c r="Y71" s="36">
        <f t="shared" si="10"/>
        <v>20.85</v>
      </c>
      <c r="Z71" s="36">
        <f t="shared" si="11"/>
        <v>20.655000000000001</v>
      </c>
      <c r="AA71" s="53"/>
      <c r="AB71" s="53"/>
      <c r="AC71" s="36">
        <f t="shared" si="12"/>
        <v>22.987500000000001</v>
      </c>
      <c r="AD71" s="36">
        <f t="shared" si="13"/>
        <v>22.8095</v>
      </c>
      <c r="AE71" s="53"/>
      <c r="AF71" s="53"/>
      <c r="AH71" s="43"/>
      <c r="CD71" s="69">
        <v>2043</v>
      </c>
      <c r="CE71" s="54">
        <f t="shared" si="14"/>
        <v>18.704999999999998</v>
      </c>
      <c r="CF71" s="54">
        <f t="shared" si="15"/>
        <v>70.391295</v>
      </c>
      <c r="CG71" s="69">
        <f t="shared" si="16"/>
        <v>517.94999999999993</v>
      </c>
      <c r="CH71" s="54">
        <f t="shared" si="17"/>
        <v>18.314999999999998</v>
      </c>
      <c r="CI71" s="54">
        <f t="shared" si="19"/>
        <v>70.991504999999989</v>
      </c>
      <c r="CJ71" s="69">
        <f t="shared" si="18"/>
        <v>499</v>
      </c>
    </row>
    <row r="72" spans="1:88">
      <c r="A72" s="35">
        <v>2044</v>
      </c>
      <c r="B72" s="47">
        <f t="shared" si="25"/>
        <v>2.3899999999999997</v>
      </c>
      <c r="C72" s="47">
        <f t="shared" si="25"/>
        <v>1.9699999999999991</v>
      </c>
      <c r="D72" s="47">
        <f t="shared" si="25"/>
        <v>-8.3999999999999986</v>
      </c>
      <c r="E72" s="47">
        <f t="shared" si="25"/>
        <v>-7.0599999999999934</v>
      </c>
      <c r="F72" s="47">
        <f t="shared" si="25"/>
        <v>-5.1899999999999977</v>
      </c>
      <c r="G72" s="47">
        <f t="shared" si="25"/>
        <v>-4.3100000000000032</v>
      </c>
      <c r="H72" s="47">
        <f t="shared" si="25"/>
        <v>1.6000000000000005</v>
      </c>
      <c r="I72" s="47">
        <f t="shared" si="25"/>
        <v>1.3899999999999992</v>
      </c>
      <c r="J72" s="47">
        <f t="shared" si="25"/>
        <v>0</v>
      </c>
      <c r="K72" s="47">
        <f t="shared" si="25"/>
        <v>0</v>
      </c>
      <c r="L72" s="47">
        <f t="shared" si="25"/>
        <v>1.535000000000001</v>
      </c>
      <c r="M72" s="47">
        <f t="shared" si="25"/>
        <v>1.3410000000000009</v>
      </c>
      <c r="N72" s="47">
        <f t="shared" si="25"/>
        <v>0</v>
      </c>
      <c r="O72" s="47">
        <f t="shared" si="25"/>
        <v>0</v>
      </c>
      <c r="Q72" s="36">
        <v>524.09999999999991</v>
      </c>
      <c r="R72" s="36">
        <v>503</v>
      </c>
      <c r="S72" s="36">
        <f t="shared" si="4"/>
        <v>18.79</v>
      </c>
      <c r="T72" s="36">
        <f t="shared" si="5"/>
        <v>18.369999999999997</v>
      </c>
      <c r="U72" s="36">
        <f t="shared" si="6"/>
        <v>1002.104</v>
      </c>
      <c r="V72" s="36">
        <f t="shared" si="7"/>
        <v>1016.7636000000001</v>
      </c>
      <c r="W72" s="36">
        <f t="shared" si="8"/>
        <v>70.25421</v>
      </c>
      <c r="X72" s="36">
        <f t="shared" si="9"/>
        <v>70.906289999999998</v>
      </c>
      <c r="Y72" s="36">
        <f t="shared" si="10"/>
        <v>20.900000000000002</v>
      </c>
      <c r="Z72" s="36">
        <f t="shared" si="11"/>
        <v>20.69</v>
      </c>
      <c r="AA72" s="53"/>
      <c r="AB72" s="53"/>
      <c r="AC72" s="36">
        <f t="shared" si="12"/>
        <v>23.035</v>
      </c>
      <c r="AD72" s="36">
        <f t="shared" si="13"/>
        <v>22.841000000000001</v>
      </c>
      <c r="AE72" s="53"/>
      <c r="AF72" s="53"/>
      <c r="AH72" s="43"/>
      <c r="CD72" s="69">
        <v>2044</v>
      </c>
      <c r="CE72" s="54">
        <f t="shared" si="14"/>
        <v>18.79</v>
      </c>
      <c r="CF72" s="54">
        <f t="shared" si="15"/>
        <v>70.25421</v>
      </c>
      <c r="CG72" s="69">
        <f t="shared" si="16"/>
        <v>524.09999999999991</v>
      </c>
      <c r="CH72" s="54">
        <f t="shared" si="17"/>
        <v>18.369999999999997</v>
      </c>
      <c r="CI72" s="54">
        <f t="shared" si="19"/>
        <v>70.906289999999998</v>
      </c>
      <c r="CJ72" s="69">
        <f t="shared" si="18"/>
        <v>503</v>
      </c>
    </row>
    <row r="73" spans="1:88">
      <c r="A73" s="35">
        <v>2045</v>
      </c>
      <c r="B73" s="47">
        <f t="shared" si="25"/>
        <v>2.4749999999999996</v>
      </c>
      <c r="C73" s="47">
        <f t="shared" si="25"/>
        <v>2.024999999999999</v>
      </c>
      <c r="D73" s="47">
        <f t="shared" si="25"/>
        <v>-8.6999999999999993</v>
      </c>
      <c r="E73" s="47">
        <f t="shared" si="25"/>
        <v>-7.2499999999999929</v>
      </c>
      <c r="F73" s="47">
        <f t="shared" si="25"/>
        <v>-5.3749999999999973</v>
      </c>
      <c r="G73" s="47">
        <f t="shared" si="25"/>
        <v>-4.4250000000000034</v>
      </c>
      <c r="H73" s="47">
        <f t="shared" si="25"/>
        <v>1.6500000000000006</v>
      </c>
      <c r="I73" s="47">
        <f t="shared" si="25"/>
        <v>1.4249999999999992</v>
      </c>
      <c r="J73" s="47">
        <f t="shared" si="25"/>
        <v>0</v>
      </c>
      <c r="K73" s="47">
        <f t="shared" si="25"/>
        <v>0</v>
      </c>
      <c r="L73" s="47">
        <f t="shared" si="25"/>
        <v>1.5825000000000011</v>
      </c>
      <c r="M73" s="47">
        <f t="shared" si="25"/>
        <v>1.3725000000000009</v>
      </c>
      <c r="N73" s="47">
        <f t="shared" si="25"/>
        <v>0</v>
      </c>
      <c r="O73" s="47">
        <f t="shared" si="25"/>
        <v>0</v>
      </c>
      <c r="Q73" s="36">
        <v>530.24999999999989</v>
      </c>
      <c r="R73" s="36">
        <v>507</v>
      </c>
      <c r="S73" s="36">
        <f t="shared" si="4"/>
        <v>18.875</v>
      </c>
      <c r="T73" s="36">
        <f t="shared" si="5"/>
        <v>18.424999999999997</v>
      </c>
      <c r="U73" s="36">
        <f t="shared" si="6"/>
        <v>998.822</v>
      </c>
      <c r="V73" s="36">
        <f t="shared" si="7"/>
        <v>1014.6850000000001</v>
      </c>
      <c r="W73" s="36">
        <f t="shared" si="8"/>
        <v>70.117125000000001</v>
      </c>
      <c r="X73" s="36">
        <f t="shared" si="9"/>
        <v>70.821074999999993</v>
      </c>
      <c r="Y73" s="36">
        <f t="shared" si="10"/>
        <v>20.950000000000003</v>
      </c>
      <c r="Z73" s="36">
        <f t="shared" si="11"/>
        <v>20.725000000000001</v>
      </c>
      <c r="AA73" s="53"/>
      <c r="AB73" s="53"/>
      <c r="AC73" s="36">
        <f t="shared" si="12"/>
        <v>23.0825</v>
      </c>
      <c r="AD73" s="36">
        <f t="shared" si="13"/>
        <v>22.872500000000002</v>
      </c>
      <c r="AE73" s="53"/>
      <c r="AF73" s="53"/>
      <c r="AH73" s="43"/>
      <c r="CD73" s="69">
        <v>2045</v>
      </c>
      <c r="CE73" s="54">
        <f t="shared" si="14"/>
        <v>18.875</v>
      </c>
      <c r="CF73" s="54">
        <f t="shared" si="15"/>
        <v>70.117125000000001</v>
      </c>
      <c r="CG73" s="69">
        <f t="shared" si="16"/>
        <v>530.24999999999989</v>
      </c>
      <c r="CH73" s="54">
        <f t="shared" si="17"/>
        <v>18.424999999999997</v>
      </c>
      <c r="CI73" s="54">
        <f t="shared" si="19"/>
        <v>70.821074999999993</v>
      </c>
      <c r="CJ73" s="69">
        <f t="shared" si="18"/>
        <v>507</v>
      </c>
    </row>
    <row r="74" spans="1:88">
      <c r="A74" s="35">
        <v>2046</v>
      </c>
      <c r="B74" s="47">
        <f t="shared" si="25"/>
        <v>2.5599999999999996</v>
      </c>
      <c r="C74" s="47">
        <f t="shared" si="25"/>
        <v>2.0799999999999992</v>
      </c>
      <c r="D74" s="47">
        <f t="shared" si="25"/>
        <v>-9</v>
      </c>
      <c r="E74" s="47">
        <f t="shared" si="25"/>
        <v>-7.4399999999999924</v>
      </c>
      <c r="F74" s="47">
        <f t="shared" si="25"/>
        <v>-5.5599999999999969</v>
      </c>
      <c r="G74" s="47">
        <f t="shared" si="25"/>
        <v>-4.5400000000000036</v>
      </c>
      <c r="H74" s="47">
        <f t="shared" si="25"/>
        <v>1.7000000000000006</v>
      </c>
      <c r="I74" s="47">
        <f t="shared" si="25"/>
        <v>1.4599999999999991</v>
      </c>
      <c r="J74" s="47">
        <f t="shared" si="25"/>
        <v>0</v>
      </c>
      <c r="K74" s="47">
        <f t="shared" si="25"/>
        <v>0</v>
      </c>
      <c r="L74" s="47">
        <f t="shared" si="25"/>
        <v>1.6300000000000012</v>
      </c>
      <c r="M74" s="47">
        <f t="shared" si="25"/>
        <v>1.404000000000001</v>
      </c>
      <c r="N74" s="47">
        <f t="shared" si="25"/>
        <v>0</v>
      </c>
      <c r="O74" s="47">
        <f t="shared" si="25"/>
        <v>0</v>
      </c>
      <c r="Q74" s="36">
        <v>536.39999999999986</v>
      </c>
      <c r="R74" s="36">
        <v>511</v>
      </c>
      <c r="S74" s="36">
        <f t="shared" si="4"/>
        <v>18.959999999999997</v>
      </c>
      <c r="T74" s="36">
        <f t="shared" si="5"/>
        <v>18.479999999999997</v>
      </c>
      <c r="U74" s="36">
        <f t="shared" si="6"/>
        <v>995.54</v>
      </c>
      <c r="V74" s="36">
        <f t="shared" si="7"/>
        <v>1012.6064000000001</v>
      </c>
      <c r="W74" s="36">
        <f t="shared" si="8"/>
        <v>69.980040000000002</v>
      </c>
      <c r="X74" s="36">
        <f t="shared" si="9"/>
        <v>70.735859999999988</v>
      </c>
      <c r="Y74" s="36">
        <f t="shared" si="10"/>
        <v>21</v>
      </c>
      <c r="Z74" s="36">
        <f t="shared" si="11"/>
        <v>20.759999999999998</v>
      </c>
      <c r="AA74" s="53"/>
      <c r="AB74" s="53"/>
      <c r="AC74" s="36">
        <f t="shared" si="12"/>
        <v>23.130000000000003</v>
      </c>
      <c r="AD74" s="36">
        <f t="shared" si="13"/>
        <v>22.904</v>
      </c>
      <c r="AE74" s="53"/>
      <c r="AF74" s="53"/>
      <c r="AH74" s="43"/>
      <c r="CD74" s="69">
        <v>2046</v>
      </c>
      <c r="CE74" s="54">
        <f t="shared" si="14"/>
        <v>18.959999999999997</v>
      </c>
      <c r="CF74" s="54">
        <f t="shared" si="15"/>
        <v>69.980040000000002</v>
      </c>
      <c r="CG74" s="69">
        <f t="shared" si="16"/>
        <v>536.39999999999986</v>
      </c>
      <c r="CH74" s="54">
        <f t="shared" si="17"/>
        <v>18.479999999999997</v>
      </c>
      <c r="CI74" s="54">
        <f t="shared" si="19"/>
        <v>70.735859999999988</v>
      </c>
      <c r="CJ74" s="69">
        <f t="shared" si="18"/>
        <v>511</v>
      </c>
    </row>
    <row r="75" spans="1:88">
      <c r="A75" s="35">
        <v>2047</v>
      </c>
      <c r="B75" s="47">
        <f t="shared" ref="B75:O77" si="26">(B$8-B$7)/COUNT($A$58:$A$77)+B74</f>
        <v>2.6449999999999996</v>
      </c>
      <c r="C75" s="47">
        <f t="shared" si="26"/>
        <v>2.1349999999999993</v>
      </c>
      <c r="D75" s="47">
        <f t="shared" si="26"/>
        <v>-9.3000000000000007</v>
      </c>
      <c r="E75" s="47">
        <f t="shared" si="26"/>
        <v>-7.6299999999999919</v>
      </c>
      <c r="F75" s="47">
        <f t="shared" si="26"/>
        <v>-5.7449999999999966</v>
      </c>
      <c r="G75" s="47">
        <f t="shared" si="26"/>
        <v>-4.6550000000000038</v>
      </c>
      <c r="H75" s="47">
        <f t="shared" si="26"/>
        <v>1.7500000000000007</v>
      </c>
      <c r="I75" s="47">
        <f t="shared" si="26"/>
        <v>1.494999999999999</v>
      </c>
      <c r="J75" s="47">
        <f t="shared" si="26"/>
        <v>0</v>
      </c>
      <c r="K75" s="47">
        <f t="shared" si="26"/>
        <v>0</v>
      </c>
      <c r="L75" s="47">
        <f t="shared" si="26"/>
        <v>1.6775000000000013</v>
      </c>
      <c r="M75" s="47">
        <f t="shared" si="26"/>
        <v>1.4355000000000011</v>
      </c>
      <c r="N75" s="47">
        <f t="shared" si="26"/>
        <v>0</v>
      </c>
      <c r="O75" s="47">
        <f t="shared" si="26"/>
        <v>0</v>
      </c>
      <c r="Q75" s="36">
        <v>542.54999999999984</v>
      </c>
      <c r="R75" s="36">
        <v>515</v>
      </c>
      <c r="S75" s="36">
        <f t="shared" si="4"/>
        <v>19.044999999999998</v>
      </c>
      <c r="T75" s="36">
        <f t="shared" si="5"/>
        <v>18.534999999999997</v>
      </c>
      <c r="U75" s="36">
        <f t="shared" si="6"/>
        <v>992.25800000000004</v>
      </c>
      <c r="V75" s="36">
        <f t="shared" si="7"/>
        <v>1010.5278000000001</v>
      </c>
      <c r="W75" s="36">
        <f t="shared" si="8"/>
        <v>69.842955000000003</v>
      </c>
      <c r="X75" s="36">
        <f t="shared" si="9"/>
        <v>70.650644999999997</v>
      </c>
      <c r="Y75" s="36">
        <f t="shared" si="10"/>
        <v>21.05</v>
      </c>
      <c r="Z75" s="36">
        <f t="shared" si="11"/>
        <v>20.794999999999998</v>
      </c>
      <c r="AA75" s="53"/>
      <c r="AB75" s="53"/>
      <c r="AC75" s="36">
        <f t="shared" si="12"/>
        <v>23.177500000000002</v>
      </c>
      <c r="AD75" s="36">
        <f t="shared" si="13"/>
        <v>22.935500000000001</v>
      </c>
      <c r="AE75" s="53"/>
      <c r="AF75" s="53"/>
      <c r="AH75" s="43"/>
      <c r="CD75" s="69">
        <v>2047</v>
      </c>
      <c r="CE75" s="54">
        <f t="shared" si="14"/>
        <v>19.044999999999998</v>
      </c>
      <c r="CF75" s="54">
        <f t="shared" si="15"/>
        <v>69.842955000000003</v>
      </c>
      <c r="CG75" s="69">
        <f t="shared" si="16"/>
        <v>542.54999999999984</v>
      </c>
      <c r="CH75" s="54">
        <f t="shared" si="17"/>
        <v>18.534999999999997</v>
      </c>
      <c r="CI75" s="54">
        <f t="shared" si="19"/>
        <v>70.650644999999997</v>
      </c>
      <c r="CJ75" s="69">
        <f t="shared" si="18"/>
        <v>515</v>
      </c>
    </row>
    <row r="76" spans="1:88">
      <c r="A76" s="35">
        <v>2048</v>
      </c>
      <c r="B76" s="47">
        <f t="shared" si="26"/>
        <v>2.7299999999999995</v>
      </c>
      <c r="C76" s="47">
        <f t="shared" si="26"/>
        <v>2.1899999999999995</v>
      </c>
      <c r="D76" s="47">
        <f t="shared" si="26"/>
        <v>-9.6000000000000014</v>
      </c>
      <c r="E76" s="47">
        <f t="shared" si="26"/>
        <v>-7.8199999999999914</v>
      </c>
      <c r="F76" s="47">
        <f t="shared" si="26"/>
        <v>-5.9299999999999962</v>
      </c>
      <c r="G76" s="47">
        <f t="shared" si="26"/>
        <v>-4.770000000000004</v>
      </c>
      <c r="H76" s="47">
        <f t="shared" si="26"/>
        <v>1.8000000000000007</v>
      </c>
      <c r="I76" s="47">
        <f t="shared" si="26"/>
        <v>1.5299999999999989</v>
      </c>
      <c r="J76" s="47">
        <f t="shared" si="26"/>
        <v>0</v>
      </c>
      <c r="K76" s="47">
        <f t="shared" si="26"/>
        <v>0</v>
      </c>
      <c r="L76" s="47">
        <f t="shared" si="26"/>
        <v>1.7250000000000014</v>
      </c>
      <c r="M76" s="47">
        <f t="shared" si="26"/>
        <v>1.4670000000000012</v>
      </c>
      <c r="N76" s="47">
        <f t="shared" si="26"/>
        <v>0</v>
      </c>
      <c r="O76" s="47">
        <f t="shared" si="26"/>
        <v>0</v>
      </c>
      <c r="Q76" s="36">
        <v>548.69999999999982</v>
      </c>
      <c r="R76" s="36">
        <v>519</v>
      </c>
      <c r="S76" s="36">
        <f t="shared" si="4"/>
        <v>19.13</v>
      </c>
      <c r="T76" s="36">
        <f t="shared" si="5"/>
        <v>18.589999999999996</v>
      </c>
      <c r="U76" s="36">
        <f t="shared" si="6"/>
        <v>988.976</v>
      </c>
      <c r="V76" s="36">
        <f t="shared" si="7"/>
        <v>1008.4492000000001</v>
      </c>
      <c r="W76" s="36">
        <f t="shared" si="8"/>
        <v>69.705870000000004</v>
      </c>
      <c r="X76" s="36">
        <f t="shared" si="9"/>
        <v>70.565429999999992</v>
      </c>
      <c r="Y76" s="36">
        <f t="shared" si="10"/>
        <v>21.1</v>
      </c>
      <c r="Z76" s="36">
        <f t="shared" si="11"/>
        <v>20.83</v>
      </c>
      <c r="AA76" s="53"/>
      <c r="AB76" s="53"/>
      <c r="AC76" s="36">
        <f t="shared" si="12"/>
        <v>23.225000000000001</v>
      </c>
      <c r="AD76" s="36">
        <f t="shared" si="13"/>
        <v>22.967000000000002</v>
      </c>
      <c r="AE76" s="53"/>
      <c r="AF76" s="53"/>
      <c r="AH76" s="43"/>
      <c r="CD76" s="69">
        <v>2048</v>
      </c>
      <c r="CE76" s="54">
        <f t="shared" si="14"/>
        <v>19.13</v>
      </c>
      <c r="CF76" s="54">
        <f t="shared" si="15"/>
        <v>69.705870000000004</v>
      </c>
      <c r="CG76" s="69">
        <f t="shared" si="16"/>
        <v>548.69999999999982</v>
      </c>
      <c r="CH76" s="54">
        <f t="shared" si="17"/>
        <v>18.589999999999996</v>
      </c>
      <c r="CI76" s="54">
        <f t="shared" si="19"/>
        <v>70.565429999999992</v>
      </c>
      <c r="CJ76" s="69">
        <f t="shared" si="18"/>
        <v>519</v>
      </c>
    </row>
    <row r="77" spans="1:88">
      <c r="A77" s="35">
        <v>2049</v>
      </c>
      <c r="B77" s="47">
        <f t="shared" si="26"/>
        <v>2.8149999999999995</v>
      </c>
      <c r="C77" s="47">
        <f t="shared" si="26"/>
        <v>2.2449999999999997</v>
      </c>
      <c r="D77" s="47">
        <f t="shared" si="26"/>
        <v>-9.9000000000000021</v>
      </c>
      <c r="E77" s="47">
        <f t="shared" si="26"/>
        <v>-8.0099999999999909</v>
      </c>
      <c r="F77" s="47">
        <f t="shared" si="26"/>
        <v>-6.1149999999999958</v>
      </c>
      <c r="G77" s="47">
        <f t="shared" si="26"/>
        <v>-4.8850000000000042</v>
      </c>
      <c r="H77" s="47">
        <f t="shared" si="26"/>
        <v>1.8500000000000008</v>
      </c>
      <c r="I77" s="47">
        <f t="shared" si="26"/>
        <v>1.5649999999999988</v>
      </c>
      <c r="J77" s="47">
        <f t="shared" si="26"/>
        <v>0</v>
      </c>
      <c r="K77" s="47">
        <f t="shared" si="26"/>
        <v>0</v>
      </c>
      <c r="L77" s="47">
        <f t="shared" si="26"/>
        <v>1.7725000000000015</v>
      </c>
      <c r="M77" s="47">
        <f t="shared" si="26"/>
        <v>1.4985000000000013</v>
      </c>
      <c r="N77" s="47">
        <f t="shared" si="26"/>
        <v>0</v>
      </c>
      <c r="O77" s="47">
        <f t="shared" si="26"/>
        <v>0</v>
      </c>
      <c r="Q77" s="36">
        <v>554.8499999999998</v>
      </c>
      <c r="R77" s="36">
        <v>523</v>
      </c>
      <c r="S77" s="36">
        <f t="shared" si="4"/>
        <v>19.214999999999996</v>
      </c>
      <c r="T77" s="36">
        <f t="shared" si="5"/>
        <v>18.645</v>
      </c>
      <c r="U77" s="36">
        <f t="shared" si="6"/>
        <v>985.69399999999996</v>
      </c>
      <c r="V77" s="36">
        <f t="shared" si="7"/>
        <v>1006.3706000000001</v>
      </c>
      <c r="W77" s="36">
        <f t="shared" si="8"/>
        <v>69.568784999999991</v>
      </c>
      <c r="X77" s="36">
        <f t="shared" si="9"/>
        <v>70.480214999999987</v>
      </c>
      <c r="Y77" s="36">
        <f t="shared" si="10"/>
        <v>21.150000000000002</v>
      </c>
      <c r="Z77" s="36">
        <f t="shared" si="11"/>
        <v>20.864999999999998</v>
      </c>
      <c r="AA77" s="53"/>
      <c r="AB77" s="53"/>
      <c r="AC77" s="36">
        <f t="shared" si="12"/>
        <v>23.272500000000001</v>
      </c>
      <c r="AD77" s="36">
        <f t="shared" si="13"/>
        <v>22.9985</v>
      </c>
      <c r="AE77" s="53"/>
      <c r="AF77" s="53"/>
      <c r="AH77" s="43"/>
      <c r="CD77" s="69">
        <v>2049</v>
      </c>
      <c r="CE77" s="54">
        <f t="shared" si="14"/>
        <v>19.214999999999996</v>
      </c>
      <c r="CF77" s="54">
        <f t="shared" si="15"/>
        <v>69.568784999999991</v>
      </c>
      <c r="CG77" s="69">
        <f t="shared" si="16"/>
        <v>554.8499999999998</v>
      </c>
      <c r="CH77" s="54">
        <f t="shared" si="17"/>
        <v>18.645</v>
      </c>
      <c r="CI77" s="54">
        <f t="shared" si="19"/>
        <v>70.480214999999987</v>
      </c>
      <c r="CJ77" s="69">
        <f t="shared" si="18"/>
        <v>523</v>
      </c>
    </row>
    <row r="78" spans="1:88">
      <c r="A78" s="35">
        <v>2050</v>
      </c>
      <c r="B78" s="47">
        <f t="shared" ref="B78:O78" si="27">B$8</f>
        <v>2.9</v>
      </c>
      <c r="C78" s="47">
        <f t="shared" si="27"/>
        <v>2.2999999999999998</v>
      </c>
      <c r="D78" s="47">
        <f t="shared" si="27"/>
        <v>-10.199999999999999</v>
      </c>
      <c r="E78" s="47">
        <f t="shared" si="27"/>
        <v>-8.1999999999999993</v>
      </c>
      <c r="F78" s="47">
        <f t="shared" si="27"/>
        <v>-6.3</v>
      </c>
      <c r="G78" s="47">
        <f t="shared" si="27"/>
        <v>-5</v>
      </c>
      <c r="H78" s="47">
        <f t="shared" si="27"/>
        <v>1.9</v>
      </c>
      <c r="I78" s="47">
        <f t="shared" si="27"/>
        <v>1.6</v>
      </c>
      <c r="J78" s="47">
        <f t="shared" si="27"/>
        <v>0</v>
      </c>
      <c r="K78" s="47">
        <f t="shared" si="27"/>
        <v>0</v>
      </c>
      <c r="L78" s="47">
        <f t="shared" si="27"/>
        <v>1.82</v>
      </c>
      <c r="M78" s="47">
        <f t="shared" si="27"/>
        <v>1.53</v>
      </c>
      <c r="N78" s="47">
        <f t="shared" si="27"/>
        <v>0</v>
      </c>
      <c r="O78" s="47">
        <f t="shared" si="27"/>
        <v>0</v>
      </c>
      <c r="Q78" s="36">
        <v>561</v>
      </c>
      <c r="R78" s="36">
        <v>527</v>
      </c>
      <c r="S78" s="36">
        <f t="shared" si="4"/>
        <v>19.299999999999997</v>
      </c>
      <c r="T78" s="36">
        <f t="shared" si="5"/>
        <v>18.7</v>
      </c>
      <c r="U78" s="36">
        <f t="shared" si="6"/>
        <v>982.41200000000003</v>
      </c>
      <c r="V78" s="36">
        <f t="shared" si="7"/>
        <v>1004.292</v>
      </c>
      <c r="W78" s="36">
        <f t="shared" si="8"/>
        <v>69.431699999999992</v>
      </c>
      <c r="X78" s="36">
        <f t="shared" si="9"/>
        <v>70.394999999999996</v>
      </c>
      <c r="Y78" s="36">
        <f t="shared" si="10"/>
        <v>21.2</v>
      </c>
      <c r="Z78" s="36">
        <f t="shared" si="11"/>
        <v>20.900000000000002</v>
      </c>
      <c r="AA78" s="53"/>
      <c r="AB78" s="53"/>
      <c r="AC78" s="36">
        <f t="shared" si="12"/>
        <v>23.32</v>
      </c>
      <c r="AD78" s="36">
        <f t="shared" si="13"/>
        <v>23.03</v>
      </c>
      <c r="AE78" s="53"/>
      <c r="AF78" s="53"/>
      <c r="AH78" s="43"/>
      <c r="CD78" s="69">
        <v>2050</v>
      </c>
      <c r="CE78" s="54">
        <f t="shared" si="14"/>
        <v>19.299999999999997</v>
      </c>
      <c r="CF78" s="54">
        <f t="shared" si="15"/>
        <v>69.431699999999992</v>
      </c>
      <c r="CG78" s="69">
        <f t="shared" si="16"/>
        <v>561</v>
      </c>
      <c r="CH78" s="54">
        <f t="shared" si="17"/>
        <v>18.7</v>
      </c>
      <c r="CI78" s="54">
        <f t="shared" si="19"/>
        <v>70.394999999999996</v>
      </c>
      <c r="CJ78" s="69">
        <f t="shared" si="18"/>
        <v>527</v>
      </c>
    </row>
    <row r="79" spans="1:88">
      <c r="A79" s="35">
        <v>2051</v>
      </c>
      <c r="B79" s="47">
        <f t="shared" ref="B79:O94" si="28">(B$9-B$8)/COUNT($A$78:$A$97)+B78</f>
        <v>2.9550000000000001</v>
      </c>
      <c r="C79" s="47">
        <f t="shared" si="28"/>
        <v>2.3299999999999996</v>
      </c>
      <c r="D79" s="47">
        <f t="shared" si="28"/>
        <v>-10.395</v>
      </c>
      <c r="E79" s="47">
        <f t="shared" si="28"/>
        <v>-8.3099999999999987</v>
      </c>
      <c r="F79" s="47">
        <f t="shared" si="28"/>
        <v>-6.42</v>
      </c>
      <c r="G79" s="47">
        <f t="shared" si="28"/>
        <v>-5.07</v>
      </c>
      <c r="H79" s="47">
        <f t="shared" si="28"/>
        <v>1.9549999999999998</v>
      </c>
      <c r="I79" s="47">
        <f t="shared" si="28"/>
        <v>1.6300000000000001</v>
      </c>
      <c r="J79" s="47">
        <f t="shared" si="28"/>
        <v>0</v>
      </c>
      <c r="K79" s="47">
        <f t="shared" si="28"/>
        <v>0</v>
      </c>
      <c r="L79" s="47">
        <f t="shared" si="28"/>
        <v>1.8755000000000002</v>
      </c>
      <c r="M79" s="47">
        <f t="shared" si="28"/>
        <v>1.5609999999999999</v>
      </c>
      <c r="N79" s="47">
        <f t="shared" si="28"/>
        <v>0</v>
      </c>
      <c r="O79" s="47">
        <f t="shared" si="28"/>
        <v>0</v>
      </c>
      <c r="Q79" s="36">
        <v>568.04999999999995</v>
      </c>
      <c r="R79" s="36">
        <v>531.04999999999995</v>
      </c>
      <c r="S79" s="36">
        <f t="shared" si="4"/>
        <v>19.354999999999997</v>
      </c>
      <c r="T79" s="36">
        <f t="shared" si="5"/>
        <v>18.729999999999997</v>
      </c>
      <c r="U79" s="36">
        <f t="shared" si="6"/>
        <v>980.27870000000007</v>
      </c>
      <c r="V79" s="36">
        <f t="shared" si="7"/>
        <v>1003.0886</v>
      </c>
      <c r="W79" s="36">
        <f t="shared" si="8"/>
        <v>69.342779999999991</v>
      </c>
      <c r="X79" s="36">
        <f t="shared" si="9"/>
        <v>70.343129999999988</v>
      </c>
      <c r="Y79" s="36">
        <f t="shared" si="10"/>
        <v>21.254999999999999</v>
      </c>
      <c r="Z79" s="36">
        <f t="shared" si="11"/>
        <v>20.93</v>
      </c>
      <c r="AA79" s="53"/>
      <c r="AB79" s="53"/>
      <c r="AC79" s="36">
        <f t="shared" si="12"/>
        <v>23.375499999999999</v>
      </c>
      <c r="AD79" s="36">
        <f t="shared" si="13"/>
        <v>23.061</v>
      </c>
      <c r="AE79" s="53"/>
      <c r="AF79" s="53"/>
      <c r="AH79" s="43"/>
      <c r="CD79" s="69">
        <v>2051</v>
      </c>
      <c r="CE79" s="54">
        <f t="shared" si="14"/>
        <v>19.354999999999997</v>
      </c>
      <c r="CF79" s="54">
        <f t="shared" si="15"/>
        <v>69.342779999999991</v>
      </c>
      <c r="CG79" s="69">
        <f t="shared" si="16"/>
        <v>568.04999999999995</v>
      </c>
      <c r="CH79" s="54">
        <f t="shared" si="17"/>
        <v>18.729999999999997</v>
      </c>
      <c r="CI79" s="54">
        <f t="shared" si="19"/>
        <v>70.343129999999988</v>
      </c>
      <c r="CJ79" s="69">
        <f t="shared" si="18"/>
        <v>531.04999999999995</v>
      </c>
    </row>
    <row r="80" spans="1:88">
      <c r="A80" s="35">
        <v>2052</v>
      </c>
      <c r="B80" s="47">
        <f t="shared" si="28"/>
        <v>3.0100000000000002</v>
      </c>
      <c r="C80" s="47">
        <f t="shared" si="28"/>
        <v>2.3599999999999994</v>
      </c>
      <c r="D80" s="47">
        <f t="shared" si="28"/>
        <v>-10.59</v>
      </c>
      <c r="E80" s="47">
        <f t="shared" si="28"/>
        <v>-8.4199999999999982</v>
      </c>
      <c r="F80" s="47">
        <f t="shared" si="28"/>
        <v>-6.54</v>
      </c>
      <c r="G80" s="47">
        <f t="shared" si="28"/>
        <v>-5.1400000000000006</v>
      </c>
      <c r="H80" s="47">
        <f t="shared" si="28"/>
        <v>2.0099999999999998</v>
      </c>
      <c r="I80" s="47">
        <f t="shared" si="28"/>
        <v>1.6600000000000001</v>
      </c>
      <c r="J80" s="47">
        <f t="shared" si="28"/>
        <v>0</v>
      </c>
      <c r="K80" s="47">
        <f t="shared" si="28"/>
        <v>0</v>
      </c>
      <c r="L80" s="47">
        <f t="shared" si="28"/>
        <v>1.9310000000000003</v>
      </c>
      <c r="M80" s="47">
        <f t="shared" si="28"/>
        <v>1.5919999999999999</v>
      </c>
      <c r="N80" s="47">
        <f t="shared" si="28"/>
        <v>0</v>
      </c>
      <c r="O80" s="47">
        <f t="shared" si="28"/>
        <v>0</v>
      </c>
      <c r="Q80" s="36">
        <v>575.09999999999991</v>
      </c>
      <c r="R80" s="36">
        <v>535.09999999999991</v>
      </c>
      <c r="S80" s="36">
        <f t="shared" si="4"/>
        <v>19.41</v>
      </c>
      <c r="T80" s="36">
        <f t="shared" si="5"/>
        <v>18.759999999999998</v>
      </c>
      <c r="U80" s="36">
        <f t="shared" si="6"/>
        <v>978.1454</v>
      </c>
      <c r="V80" s="36">
        <f t="shared" si="7"/>
        <v>1001.8852000000001</v>
      </c>
      <c r="W80" s="36">
        <f t="shared" si="8"/>
        <v>69.253859999999989</v>
      </c>
      <c r="X80" s="36">
        <f t="shared" si="9"/>
        <v>70.291259999999994</v>
      </c>
      <c r="Y80" s="36">
        <f t="shared" si="10"/>
        <v>21.310000000000002</v>
      </c>
      <c r="Z80" s="36">
        <f t="shared" si="11"/>
        <v>20.96</v>
      </c>
      <c r="AA80" s="53"/>
      <c r="AB80" s="53"/>
      <c r="AC80" s="36">
        <f t="shared" si="12"/>
        <v>23.431000000000001</v>
      </c>
      <c r="AD80" s="36">
        <f t="shared" si="13"/>
        <v>23.091999999999999</v>
      </c>
      <c r="AE80" s="53"/>
      <c r="AF80" s="53"/>
      <c r="AH80" s="43"/>
      <c r="CD80" s="69">
        <v>2052</v>
      </c>
      <c r="CE80" s="54">
        <f t="shared" si="14"/>
        <v>19.41</v>
      </c>
      <c r="CF80" s="54">
        <f t="shared" si="15"/>
        <v>69.253859999999989</v>
      </c>
      <c r="CG80" s="69">
        <f t="shared" si="16"/>
        <v>575.09999999999991</v>
      </c>
      <c r="CH80" s="54">
        <f t="shared" si="17"/>
        <v>18.759999999999998</v>
      </c>
      <c r="CI80" s="54">
        <f t="shared" si="19"/>
        <v>70.291259999999994</v>
      </c>
      <c r="CJ80" s="69">
        <f t="shared" si="18"/>
        <v>535.09999999999991</v>
      </c>
    </row>
    <row r="81" spans="1:100">
      <c r="A81" s="35">
        <v>2053</v>
      </c>
      <c r="B81" s="47">
        <f t="shared" si="28"/>
        <v>3.0650000000000004</v>
      </c>
      <c r="C81" s="47">
        <f t="shared" si="28"/>
        <v>2.3899999999999992</v>
      </c>
      <c r="D81" s="47">
        <f t="shared" si="28"/>
        <v>-10.785</v>
      </c>
      <c r="E81" s="47">
        <f t="shared" si="28"/>
        <v>-8.5299999999999976</v>
      </c>
      <c r="F81" s="47">
        <f t="shared" si="28"/>
        <v>-6.66</v>
      </c>
      <c r="G81" s="47">
        <f t="shared" si="28"/>
        <v>-5.2100000000000009</v>
      </c>
      <c r="H81" s="47">
        <f t="shared" si="28"/>
        <v>2.0649999999999999</v>
      </c>
      <c r="I81" s="47">
        <f t="shared" si="28"/>
        <v>1.6900000000000002</v>
      </c>
      <c r="J81" s="47">
        <f t="shared" si="28"/>
        <v>0</v>
      </c>
      <c r="K81" s="47">
        <f t="shared" si="28"/>
        <v>0</v>
      </c>
      <c r="L81" s="47">
        <f t="shared" si="28"/>
        <v>1.9865000000000004</v>
      </c>
      <c r="M81" s="47">
        <f t="shared" si="28"/>
        <v>1.6229999999999998</v>
      </c>
      <c r="N81" s="47">
        <f t="shared" si="28"/>
        <v>0</v>
      </c>
      <c r="O81" s="47">
        <f t="shared" si="28"/>
        <v>0</v>
      </c>
      <c r="Q81" s="36">
        <v>582.14999999999986</v>
      </c>
      <c r="R81" s="36">
        <v>539.14999999999986</v>
      </c>
      <c r="S81" s="36">
        <f t="shared" si="4"/>
        <v>19.465</v>
      </c>
      <c r="T81" s="36">
        <f t="shared" si="5"/>
        <v>18.79</v>
      </c>
      <c r="U81" s="36">
        <f t="shared" si="6"/>
        <v>976.01210000000003</v>
      </c>
      <c r="V81" s="36">
        <f t="shared" si="7"/>
        <v>1000.6818000000001</v>
      </c>
      <c r="W81" s="36">
        <f t="shared" si="8"/>
        <v>69.164940000000001</v>
      </c>
      <c r="X81" s="36">
        <f t="shared" si="9"/>
        <v>70.23939</v>
      </c>
      <c r="Y81" s="36">
        <f t="shared" si="10"/>
        <v>21.365000000000002</v>
      </c>
      <c r="Z81" s="36">
        <f t="shared" si="11"/>
        <v>20.990000000000002</v>
      </c>
      <c r="AA81" s="53"/>
      <c r="AB81" s="53"/>
      <c r="AC81" s="36">
        <f t="shared" si="12"/>
        <v>23.486499999999999</v>
      </c>
      <c r="AD81" s="36">
        <f t="shared" si="13"/>
        <v>23.123000000000001</v>
      </c>
      <c r="AE81" s="53"/>
      <c r="AF81" s="53"/>
      <c r="AH81" s="43"/>
      <c r="CD81" s="69">
        <v>2053</v>
      </c>
      <c r="CE81" s="54">
        <f t="shared" si="14"/>
        <v>19.465</v>
      </c>
      <c r="CF81" s="54">
        <f t="shared" si="15"/>
        <v>69.164940000000001</v>
      </c>
      <c r="CG81" s="69">
        <f t="shared" si="16"/>
        <v>582.14999999999986</v>
      </c>
      <c r="CH81" s="54">
        <f t="shared" si="17"/>
        <v>18.79</v>
      </c>
      <c r="CI81" s="54">
        <f t="shared" si="19"/>
        <v>70.23939</v>
      </c>
      <c r="CJ81" s="69">
        <f t="shared" si="18"/>
        <v>539.14999999999986</v>
      </c>
    </row>
    <row r="82" spans="1:100">
      <c r="A82" s="35">
        <v>2054</v>
      </c>
      <c r="B82" s="47">
        <f t="shared" si="28"/>
        <v>3.1200000000000006</v>
      </c>
      <c r="C82" s="47">
        <f t="shared" si="28"/>
        <v>2.419999999999999</v>
      </c>
      <c r="D82" s="47">
        <f t="shared" si="28"/>
        <v>-10.98</v>
      </c>
      <c r="E82" s="47">
        <f t="shared" si="28"/>
        <v>-8.639999999999997</v>
      </c>
      <c r="F82" s="47">
        <f t="shared" si="28"/>
        <v>-6.78</v>
      </c>
      <c r="G82" s="47">
        <f t="shared" si="28"/>
        <v>-5.2800000000000011</v>
      </c>
      <c r="H82" s="47">
        <f t="shared" si="28"/>
        <v>2.12</v>
      </c>
      <c r="I82" s="47">
        <f t="shared" si="28"/>
        <v>1.7200000000000002</v>
      </c>
      <c r="J82" s="47">
        <f t="shared" si="28"/>
        <v>0</v>
      </c>
      <c r="K82" s="47">
        <f t="shared" si="28"/>
        <v>0</v>
      </c>
      <c r="L82" s="47">
        <f t="shared" si="28"/>
        <v>2.0420000000000003</v>
      </c>
      <c r="M82" s="47">
        <f t="shared" si="28"/>
        <v>1.6539999999999997</v>
      </c>
      <c r="N82" s="47">
        <f t="shared" si="28"/>
        <v>0</v>
      </c>
      <c r="O82" s="47">
        <f t="shared" si="28"/>
        <v>0</v>
      </c>
      <c r="Q82" s="36">
        <v>589.19999999999982</v>
      </c>
      <c r="R82" s="36">
        <v>543.19999999999982</v>
      </c>
      <c r="S82" s="36">
        <f t="shared" si="4"/>
        <v>19.52</v>
      </c>
      <c r="T82" s="36">
        <f t="shared" si="5"/>
        <v>18.819999999999997</v>
      </c>
      <c r="U82" s="36">
        <f t="shared" si="6"/>
        <v>973.87879999999996</v>
      </c>
      <c r="V82" s="36">
        <f t="shared" si="7"/>
        <v>999.47840000000008</v>
      </c>
      <c r="W82" s="36">
        <f t="shared" si="8"/>
        <v>69.07602</v>
      </c>
      <c r="X82" s="36">
        <f t="shared" si="9"/>
        <v>70.187519999999992</v>
      </c>
      <c r="Y82" s="36">
        <f t="shared" si="10"/>
        <v>21.42</v>
      </c>
      <c r="Z82" s="36">
        <f t="shared" si="11"/>
        <v>21.02</v>
      </c>
      <c r="AA82" s="53"/>
      <c r="AB82" s="53"/>
      <c r="AC82" s="36">
        <f t="shared" si="12"/>
        <v>23.542000000000002</v>
      </c>
      <c r="AD82" s="36">
        <f t="shared" si="13"/>
        <v>23.154</v>
      </c>
      <c r="AE82" s="53"/>
      <c r="AF82" s="53"/>
      <c r="CD82" s="69">
        <v>2054</v>
      </c>
      <c r="CE82" s="54">
        <f t="shared" si="14"/>
        <v>19.52</v>
      </c>
      <c r="CF82" s="54">
        <f t="shared" si="15"/>
        <v>69.07602</v>
      </c>
      <c r="CG82" s="69">
        <f t="shared" si="16"/>
        <v>589.19999999999982</v>
      </c>
      <c r="CH82" s="54">
        <f t="shared" si="17"/>
        <v>18.819999999999997</v>
      </c>
      <c r="CI82" s="54">
        <f t="shared" si="19"/>
        <v>70.187519999999992</v>
      </c>
      <c r="CJ82" s="69">
        <f t="shared" si="18"/>
        <v>543.19999999999982</v>
      </c>
    </row>
    <row r="83" spans="1:100">
      <c r="A83" s="35">
        <v>2055</v>
      </c>
      <c r="B83" s="47">
        <f t="shared" si="28"/>
        <v>3.1750000000000007</v>
      </c>
      <c r="C83" s="47">
        <f t="shared" si="28"/>
        <v>2.4499999999999988</v>
      </c>
      <c r="D83" s="47">
        <f t="shared" si="28"/>
        <v>-11.175000000000001</v>
      </c>
      <c r="E83" s="47">
        <f t="shared" si="28"/>
        <v>-8.7499999999999964</v>
      </c>
      <c r="F83" s="47">
        <f t="shared" si="28"/>
        <v>-6.9</v>
      </c>
      <c r="G83" s="47">
        <f t="shared" si="28"/>
        <v>-5.3500000000000014</v>
      </c>
      <c r="H83" s="47">
        <f t="shared" si="28"/>
        <v>2.1750000000000003</v>
      </c>
      <c r="I83" s="47">
        <f t="shared" si="28"/>
        <v>1.7500000000000002</v>
      </c>
      <c r="J83" s="47">
        <f t="shared" si="28"/>
        <v>0</v>
      </c>
      <c r="K83" s="47">
        <f t="shared" si="28"/>
        <v>0</v>
      </c>
      <c r="L83" s="47">
        <f t="shared" si="28"/>
        <v>2.0975000000000001</v>
      </c>
      <c r="M83" s="47">
        <f t="shared" si="28"/>
        <v>1.6849999999999996</v>
      </c>
      <c r="N83" s="47">
        <f t="shared" si="28"/>
        <v>0</v>
      </c>
      <c r="O83" s="47">
        <f t="shared" si="28"/>
        <v>0</v>
      </c>
      <c r="Q83" s="36">
        <v>596.24999999999977</v>
      </c>
      <c r="R83" s="36">
        <v>547.24999999999977</v>
      </c>
      <c r="S83" s="36">
        <f t="shared" si="4"/>
        <v>19.574999999999999</v>
      </c>
      <c r="T83" s="36">
        <f t="shared" si="5"/>
        <v>18.849999999999998</v>
      </c>
      <c r="U83" s="36">
        <f t="shared" si="6"/>
        <v>971.74549999999999</v>
      </c>
      <c r="V83" s="36">
        <f t="shared" si="7"/>
        <v>998.27500000000009</v>
      </c>
      <c r="W83" s="36">
        <f t="shared" si="8"/>
        <v>68.987099999999998</v>
      </c>
      <c r="X83" s="36">
        <f t="shared" si="9"/>
        <v>70.135649999999998</v>
      </c>
      <c r="Y83" s="36">
        <f t="shared" si="10"/>
        <v>21.475000000000001</v>
      </c>
      <c r="Z83" s="36">
        <f t="shared" si="11"/>
        <v>21.05</v>
      </c>
      <c r="AA83" s="53"/>
      <c r="AB83" s="53"/>
      <c r="AC83" s="36">
        <f t="shared" si="12"/>
        <v>23.5975</v>
      </c>
      <c r="AD83" s="36">
        <f t="shared" si="13"/>
        <v>23.184999999999999</v>
      </c>
      <c r="AE83" s="53"/>
      <c r="AF83" s="53"/>
      <c r="CD83" s="69">
        <v>2055</v>
      </c>
      <c r="CE83" s="54">
        <f t="shared" si="14"/>
        <v>19.574999999999999</v>
      </c>
      <c r="CF83" s="54">
        <f t="shared" si="15"/>
        <v>68.987099999999998</v>
      </c>
      <c r="CG83" s="69">
        <f t="shared" si="16"/>
        <v>596.24999999999977</v>
      </c>
      <c r="CH83" s="54">
        <f t="shared" si="17"/>
        <v>18.849999999999998</v>
      </c>
      <c r="CI83" s="54">
        <f t="shared" si="19"/>
        <v>70.135649999999998</v>
      </c>
      <c r="CJ83" s="69">
        <f t="shared" si="18"/>
        <v>547.24999999999977</v>
      </c>
    </row>
    <row r="84" spans="1:100">
      <c r="A84" s="35">
        <v>2056</v>
      </c>
      <c r="B84" s="47">
        <f t="shared" si="28"/>
        <v>3.2300000000000009</v>
      </c>
      <c r="C84" s="47">
        <f t="shared" si="28"/>
        <v>2.4799999999999986</v>
      </c>
      <c r="D84" s="47">
        <f t="shared" si="28"/>
        <v>-11.370000000000001</v>
      </c>
      <c r="E84" s="47">
        <f t="shared" si="28"/>
        <v>-8.8599999999999959</v>
      </c>
      <c r="F84" s="47">
        <f t="shared" si="28"/>
        <v>-7.0200000000000005</v>
      </c>
      <c r="G84" s="47">
        <f t="shared" si="28"/>
        <v>-5.4200000000000017</v>
      </c>
      <c r="H84" s="47">
        <f t="shared" si="28"/>
        <v>2.2300000000000004</v>
      </c>
      <c r="I84" s="47">
        <f t="shared" si="28"/>
        <v>1.7800000000000002</v>
      </c>
      <c r="J84" s="47">
        <f t="shared" si="28"/>
        <v>0</v>
      </c>
      <c r="K84" s="47">
        <f t="shared" si="28"/>
        <v>0</v>
      </c>
      <c r="L84" s="47">
        <f t="shared" si="28"/>
        <v>2.153</v>
      </c>
      <c r="M84" s="47">
        <f t="shared" si="28"/>
        <v>1.7159999999999995</v>
      </c>
      <c r="N84" s="47">
        <f t="shared" si="28"/>
        <v>0</v>
      </c>
      <c r="O84" s="47">
        <f t="shared" si="28"/>
        <v>0</v>
      </c>
      <c r="Q84" s="36">
        <v>603.29999999999973</v>
      </c>
      <c r="R84" s="36">
        <v>551.29999999999973</v>
      </c>
      <c r="S84" s="36">
        <f t="shared" ref="S84:S98" si="29">S$18+$B84</f>
        <v>19.63</v>
      </c>
      <c r="T84" s="36">
        <f t="shared" ref="T84:T98" si="30">T$18+$C84</f>
        <v>18.879999999999995</v>
      </c>
      <c r="U84" s="36">
        <f t="shared" ref="U84:U98" si="31">U$18+U$18*$D84/100</f>
        <v>969.61220000000003</v>
      </c>
      <c r="V84" s="36">
        <f t="shared" ref="V84:V98" si="32">V$18+V$18*E84/100</f>
        <v>997.07159999999999</v>
      </c>
      <c r="W84" s="36">
        <f t="shared" ref="W84:W98" si="33">W$18+W$18*$F84/100</f>
        <v>68.898179999999996</v>
      </c>
      <c r="X84" s="36">
        <f t="shared" ref="X84:X98" si="34">X$18+X$18*$G84/100</f>
        <v>70.08377999999999</v>
      </c>
      <c r="Y84" s="36">
        <f t="shared" ref="Y84:Y98" si="35">Y$18+$H84</f>
        <v>21.53</v>
      </c>
      <c r="Z84" s="36">
        <f t="shared" ref="Z84:Z98" si="36">Z$18+$I84</f>
        <v>21.080000000000002</v>
      </c>
      <c r="AA84" s="53"/>
      <c r="AB84" s="53"/>
      <c r="AC84" s="36">
        <f t="shared" ref="AC84:AC98" si="37">AC$18+$L84</f>
        <v>23.652999999999999</v>
      </c>
      <c r="AD84" s="36">
        <f t="shared" ref="AD84:AD98" si="38">AD$18+$M84</f>
        <v>23.216000000000001</v>
      </c>
      <c r="AE84" s="53"/>
      <c r="AF84" s="53"/>
      <c r="CD84" s="69">
        <v>2056</v>
      </c>
      <c r="CE84" s="54">
        <f t="shared" si="14"/>
        <v>19.63</v>
      </c>
      <c r="CF84" s="54">
        <f t="shared" si="15"/>
        <v>68.898179999999996</v>
      </c>
      <c r="CG84" s="69">
        <f t="shared" si="16"/>
        <v>603.29999999999973</v>
      </c>
      <c r="CH84" s="54">
        <f t="shared" si="17"/>
        <v>18.879999999999995</v>
      </c>
      <c r="CI84" s="54">
        <f t="shared" si="19"/>
        <v>70.08377999999999</v>
      </c>
      <c r="CJ84" s="69">
        <f t="shared" si="18"/>
        <v>551.29999999999973</v>
      </c>
    </row>
    <row r="85" spans="1:100">
      <c r="A85" s="35">
        <v>2057</v>
      </c>
      <c r="B85" s="47">
        <f t="shared" si="28"/>
        <v>3.285000000000001</v>
      </c>
      <c r="C85" s="47">
        <f t="shared" si="28"/>
        <v>2.5099999999999985</v>
      </c>
      <c r="D85" s="47">
        <f t="shared" si="28"/>
        <v>-11.565000000000001</v>
      </c>
      <c r="E85" s="47">
        <f t="shared" si="28"/>
        <v>-8.9699999999999953</v>
      </c>
      <c r="F85" s="47">
        <f t="shared" si="28"/>
        <v>-7.1400000000000006</v>
      </c>
      <c r="G85" s="47">
        <f t="shared" si="28"/>
        <v>-5.490000000000002</v>
      </c>
      <c r="H85" s="47">
        <f t="shared" si="28"/>
        <v>2.2850000000000006</v>
      </c>
      <c r="I85" s="47">
        <f t="shared" si="28"/>
        <v>1.8100000000000003</v>
      </c>
      <c r="J85" s="47">
        <f t="shared" si="28"/>
        <v>0</v>
      </c>
      <c r="K85" s="47">
        <f t="shared" si="28"/>
        <v>0</v>
      </c>
      <c r="L85" s="47">
        <f t="shared" si="28"/>
        <v>2.2084999999999999</v>
      </c>
      <c r="M85" s="47">
        <f t="shared" si="28"/>
        <v>1.7469999999999994</v>
      </c>
      <c r="N85" s="47">
        <f t="shared" si="28"/>
        <v>0</v>
      </c>
      <c r="O85" s="47">
        <f t="shared" si="28"/>
        <v>0</v>
      </c>
      <c r="Q85" s="36">
        <v>610.34999999999968</v>
      </c>
      <c r="R85" s="36">
        <v>555.34999999999968</v>
      </c>
      <c r="S85" s="36">
        <f t="shared" si="29"/>
        <v>19.684999999999999</v>
      </c>
      <c r="T85" s="36">
        <f t="shared" si="30"/>
        <v>18.909999999999997</v>
      </c>
      <c r="U85" s="36">
        <f t="shared" si="31"/>
        <v>967.47889999999995</v>
      </c>
      <c r="V85" s="36">
        <f t="shared" si="32"/>
        <v>995.86820000000012</v>
      </c>
      <c r="W85" s="36">
        <f t="shared" si="33"/>
        <v>68.809259999999995</v>
      </c>
      <c r="X85" s="36">
        <f t="shared" si="34"/>
        <v>70.031909999999996</v>
      </c>
      <c r="Y85" s="36">
        <f t="shared" si="35"/>
        <v>21.585000000000001</v>
      </c>
      <c r="Z85" s="36">
        <f t="shared" si="36"/>
        <v>21.11</v>
      </c>
      <c r="AA85" s="53"/>
      <c r="AB85" s="53"/>
      <c r="AC85" s="36">
        <f t="shared" si="37"/>
        <v>23.708500000000001</v>
      </c>
      <c r="AD85" s="36">
        <f t="shared" si="38"/>
        <v>23.247</v>
      </c>
      <c r="AE85" s="53"/>
      <c r="AF85" s="53"/>
      <c r="CD85" s="69">
        <v>2057</v>
      </c>
      <c r="CE85" s="54">
        <f t="shared" si="14"/>
        <v>19.684999999999999</v>
      </c>
      <c r="CF85" s="54">
        <f t="shared" si="15"/>
        <v>68.809259999999995</v>
      </c>
      <c r="CG85" s="69">
        <f t="shared" si="16"/>
        <v>610.34999999999968</v>
      </c>
      <c r="CH85" s="54">
        <f t="shared" si="17"/>
        <v>18.909999999999997</v>
      </c>
      <c r="CI85" s="54">
        <f t="shared" si="19"/>
        <v>70.031909999999996</v>
      </c>
      <c r="CJ85" s="69">
        <f t="shared" si="18"/>
        <v>555.34999999999968</v>
      </c>
    </row>
    <row r="86" spans="1:100">
      <c r="A86" s="35">
        <v>2058</v>
      </c>
      <c r="B86" s="47">
        <f t="shared" si="28"/>
        <v>3.3400000000000012</v>
      </c>
      <c r="C86" s="47">
        <f t="shared" si="28"/>
        <v>2.5399999999999983</v>
      </c>
      <c r="D86" s="47">
        <f t="shared" si="28"/>
        <v>-11.760000000000002</v>
      </c>
      <c r="E86" s="47">
        <f t="shared" si="28"/>
        <v>-9.0799999999999947</v>
      </c>
      <c r="F86" s="47">
        <f t="shared" si="28"/>
        <v>-7.2600000000000007</v>
      </c>
      <c r="G86" s="47">
        <f t="shared" si="28"/>
        <v>-5.5600000000000023</v>
      </c>
      <c r="H86" s="47">
        <f t="shared" si="28"/>
        <v>2.3400000000000007</v>
      </c>
      <c r="I86" s="47">
        <f t="shared" si="28"/>
        <v>1.8400000000000003</v>
      </c>
      <c r="J86" s="47">
        <f t="shared" si="28"/>
        <v>0</v>
      </c>
      <c r="K86" s="47">
        <f t="shared" si="28"/>
        <v>0</v>
      </c>
      <c r="L86" s="47">
        <f t="shared" si="28"/>
        <v>2.2639999999999998</v>
      </c>
      <c r="M86" s="47">
        <f t="shared" si="28"/>
        <v>1.7779999999999994</v>
      </c>
      <c r="N86" s="47">
        <f t="shared" si="28"/>
        <v>0</v>
      </c>
      <c r="O86" s="47">
        <f t="shared" si="28"/>
        <v>0</v>
      </c>
      <c r="Q86" s="36">
        <v>617.39999999999964</v>
      </c>
      <c r="R86" s="36">
        <v>559.39999999999964</v>
      </c>
      <c r="S86" s="36">
        <f t="shared" si="29"/>
        <v>19.739999999999998</v>
      </c>
      <c r="T86" s="36">
        <f t="shared" si="30"/>
        <v>18.939999999999998</v>
      </c>
      <c r="U86" s="36">
        <f t="shared" si="31"/>
        <v>965.34559999999999</v>
      </c>
      <c r="V86" s="36">
        <f t="shared" si="32"/>
        <v>994.66480000000001</v>
      </c>
      <c r="W86" s="36">
        <f t="shared" si="33"/>
        <v>68.720339999999993</v>
      </c>
      <c r="X86" s="36">
        <f t="shared" si="34"/>
        <v>69.980039999999988</v>
      </c>
      <c r="Y86" s="36">
        <f t="shared" si="35"/>
        <v>21.64</v>
      </c>
      <c r="Z86" s="36">
        <f t="shared" si="36"/>
        <v>21.14</v>
      </c>
      <c r="AA86" s="53"/>
      <c r="AB86" s="53"/>
      <c r="AC86" s="36">
        <f t="shared" si="37"/>
        <v>23.763999999999999</v>
      </c>
      <c r="AD86" s="36">
        <f t="shared" si="38"/>
        <v>23.277999999999999</v>
      </c>
      <c r="AE86" s="53"/>
      <c r="AF86" s="53"/>
      <c r="CD86" s="69">
        <v>2058</v>
      </c>
      <c r="CE86" s="54">
        <f t="shared" si="14"/>
        <v>19.739999999999998</v>
      </c>
      <c r="CF86" s="54">
        <f t="shared" si="15"/>
        <v>68.720339999999993</v>
      </c>
      <c r="CG86" s="69">
        <f t="shared" si="16"/>
        <v>617.39999999999964</v>
      </c>
      <c r="CH86" s="54">
        <f t="shared" si="17"/>
        <v>18.939999999999998</v>
      </c>
      <c r="CI86" s="54">
        <f t="shared" si="19"/>
        <v>69.980039999999988</v>
      </c>
      <c r="CJ86" s="69">
        <f t="shared" si="18"/>
        <v>559.39999999999964</v>
      </c>
    </row>
    <row r="87" spans="1:100">
      <c r="A87" s="35">
        <v>2059</v>
      </c>
      <c r="B87" s="47">
        <f t="shared" si="28"/>
        <v>3.3950000000000014</v>
      </c>
      <c r="C87" s="47">
        <f t="shared" si="28"/>
        <v>2.5699999999999981</v>
      </c>
      <c r="D87" s="47">
        <f t="shared" si="28"/>
        <v>-11.955000000000002</v>
      </c>
      <c r="E87" s="47">
        <f t="shared" si="28"/>
        <v>-9.1899999999999942</v>
      </c>
      <c r="F87" s="47">
        <f t="shared" si="28"/>
        <v>-7.3800000000000008</v>
      </c>
      <c r="G87" s="47">
        <f t="shared" si="28"/>
        <v>-5.6300000000000026</v>
      </c>
      <c r="H87" s="47">
        <f t="shared" si="28"/>
        <v>2.3950000000000009</v>
      </c>
      <c r="I87" s="47">
        <f t="shared" si="28"/>
        <v>1.8700000000000003</v>
      </c>
      <c r="J87" s="47">
        <f t="shared" si="28"/>
        <v>0</v>
      </c>
      <c r="K87" s="47">
        <f t="shared" si="28"/>
        <v>0</v>
      </c>
      <c r="L87" s="47">
        <f t="shared" si="28"/>
        <v>2.3194999999999997</v>
      </c>
      <c r="M87" s="47">
        <f t="shared" si="28"/>
        <v>1.8089999999999993</v>
      </c>
      <c r="N87" s="47">
        <f t="shared" si="28"/>
        <v>0</v>
      </c>
      <c r="O87" s="47">
        <f t="shared" si="28"/>
        <v>0</v>
      </c>
      <c r="Q87" s="36">
        <v>624.44999999999959</v>
      </c>
      <c r="R87" s="36">
        <v>563.44999999999959</v>
      </c>
      <c r="S87" s="36">
        <f t="shared" si="29"/>
        <v>19.795000000000002</v>
      </c>
      <c r="T87" s="36">
        <f t="shared" si="30"/>
        <v>18.969999999999995</v>
      </c>
      <c r="U87" s="36">
        <f t="shared" si="31"/>
        <v>963.21229999999991</v>
      </c>
      <c r="V87" s="36">
        <f t="shared" si="32"/>
        <v>993.46140000000003</v>
      </c>
      <c r="W87" s="36">
        <f t="shared" si="33"/>
        <v>68.631419999999991</v>
      </c>
      <c r="X87" s="36">
        <f t="shared" si="34"/>
        <v>69.928169999999994</v>
      </c>
      <c r="Y87" s="36">
        <f t="shared" si="35"/>
        <v>21.695</v>
      </c>
      <c r="Z87" s="36">
        <f t="shared" si="36"/>
        <v>21.17</v>
      </c>
      <c r="AA87" s="53"/>
      <c r="AB87" s="53"/>
      <c r="AC87" s="36">
        <f t="shared" si="37"/>
        <v>23.819499999999998</v>
      </c>
      <c r="AD87" s="36">
        <f t="shared" si="38"/>
        <v>23.308999999999997</v>
      </c>
      <c r="AE87" s="53"/>
      <c r="AF87" s="53"/>
      <c r="CD87" s="69">
        <v>2059</v>
      </c>
      <c r="CE87" s="54">
        <f t="shared" si="14"/>
        <v>19.795000000000002</v>
      </c>
      <c r="CF87" s="54">
        <f t="shared" si="15"/>
        <v>68.631419999999991</v>
      </c>
      <c r="CG87" s="69">
        <f t="shared" si="16"/>
        <v>624.44999999999959</v>
      </c>
      <c r="CH87" s="54">
        <f t="shared" si="17"/>
        <v>18.969999999999995</v>
      </c>
      <c r="CI87" s="54">
        <f t="shared" si="19"/>
        <v>69.928169999999994</v>
      </c>
      <c r="CJ87" s="69">
        <f t="shared" si="18"/>
        <v>563.44999999999959</v>
      </c>
    </row>
    <row r="88" spans="1:100">
      <c r="A88" s="35">
        <v>2060</v>
      </c>
      <c r="B88" s="47">
        <f t="shared" si="28"/>
        <v>3.4500000000000015</v>
      </c>
      <c r="C88" s="47">
        <f t="shared" si="28"/>
        <v>2.5999999999999979</v>
      </c>
      <c r="D88" s="47">
        <f t="shared" si="28"/>
        <v>-12.150000000000002</v>
      </c>
      <c r="E88" s="47">
        <f t="shared" si="28"/>
        <v>-9.2999999999999936</v>
      </c>
      <c r="F88" s="47">
        <f t="shared" si="28"/>
        <v>-7.5000000000000009</v>
      </c>
      <c r="G88" s="47">
        <f t="shared" si="28"/>
        <v>-5.7000000000000028</v>
      </c>
      <c r="H88" s="47">
        <f t="shared" si="28"/>
        <v>2.4500000000000011</v>
      </c>
      <c r="I88" s="47">
        <f t="shared" si="28"/>
        <v>1.9000000000000004</v>
      </c>
      <c r="J88" s="47">
        <f t="shared" si="28"/>
        <v>0</v>
      </c>
      <c r="K88" s="47">
        <f t="shared" si="28"/>
        <v>0</v>
      </c>
      <c r="L88" s="47">
        <f t="shared" si="28"/>
        <v>2.3749999999999996</v>
      </c>
      <c r="M88" s="47">
        <f t="shared" si="28"/>
        <v>1.8399999999999992</v>
      </c>
      <c r="N88" s="47">
        <f t="shared" si="28"/>
        <v>0</v>
      </c>
      <c r="O88" s="47">
        <f t="shared" si="28"/>
        <v>0</v>
      </c>
      <c r="Q88" s="36">
        <v>631.5</v>
      </c>
      <c r="R88" s="36">
        <v>567.5</v>
      </c>
      <c r="S88" s="36">
        <f t="shared" si="29"/>
        <v>19.850000000000001</v>
      </c>
      <c r="T88" s="36">
        <f t="shared" si="30"/>
        <v>18.999999999999996</v>
      </c>
      <c r="U88" s="36">
        <f t="shared" si="31"/>
        <v>961.07899999999995</v>
      </c>
      <c r="V88" s="36">
        <f t="shared" si="32"/>
        <v>992.25800000000004</v>
      </c>
      <c r="W88" s="36">
        <f t="shared" si="33"/>
        <v>68.54249999999999</v>
      </c>
      <c r="X88" s="36">
        <f t="shared" si="34"/>
        <v>69.876299999999986</v>
      </c>
      <c r="Y88" s="36">
        <f t="shared" si="35"/>
        <v>21.75</v>
      </c>
      <c r="Z88" s="36">
        <f t="shared" si="36"/>
        <v>21.200000000000003</v>
      </c>
      <c r="AA88" s="53"/>
      <c r="AB88" s="53"/>
      <c r="AC88" s="36">
        <f t="shared" si="37"/>
        <v>23.875</v>
      </c>
      <c r="AD88" s="36">
        <f t="shared" si="38"/>
        <v>23.34</v>
      </c>
      <c r="AE88" s="53"/>
      <c r="AF88" s="53"/>
      <c r="CD88" s="69">
        <v>2060</v>
      </c>
      <c r="CE88" s="54">
        <f t="shared" si="14"/>
        <v>19.850000000000001</v>
      </c>
      <c r="CF88" s="54">
        <f t="shared" si="15"/>
        <v>68.54249999999999</v>
      </c>
      <c r="CG88" s="69">
        <f t="shared" si="16"/>
        <v>631.5</v>
      </c>
      <c r="CH88" s="54">
        <f t="shared" si="17"/>
        <v>18.999999999999996</v>
      </c>
      <c r="CI88" s="54">
        <f t="shared" si="19"/>
        <v>69.876299999999986</v>
      </c>
      <c r="CJ88" s="69">
        <f t="shared" si="18"/>
        <v>567.5</v>
      </c>
      <c r="CS88" s="43"/>
      <c r="CT88" s="43"/>
      <c r="CU88" s="43"/>
      <c r="CV88" s="43"/>
    </row>
    <row r="89" spans="1:100">
      <c r="A89" s="35">
        <v>2061</v>
      </c>
      <c r="B89" s="47">
        <f t="shared" si="28"/>
        <v>3.5050000000000017</v>
      </c>
      <c r="C89" s="47">
        <f t="shared" si="28"/>
        <v>2.6299999999999977</v>
      </c>
      <c r="D89" s="47">
        <f t="shared" si="28"/>
        <v>-12.345000000000002</v>
      </c>
      <c r="E89" s="47">
        <f t="shared" si="28"/>
        <v>-9.409999999999993</v>
      </c>
      <c r="F89" s="47">
        <f t="shared" si="28"/>
        <v>-7.620000000000001</v>
      </c>
      <c r="G89" s="47">
        <f t="shared" si="28"/>
        <v>-5.7700000000000031</v>
      </c>
      <c r="H89" s="47">
        <f t="shared" si="28"/>
        <v>2.5050000000000012</v>
      </c>
      <c r="I89" s="47">
        <f t="shared" si="28"/>
        <v>1.9300000000000004</v>
      </c>
      <c r="J89" s="47">
        <f t="shared" si="28"/>
        <v>0</v>
      </c>
      <c r="K89" s="47">
        <f t="shared" si="28"/>
        <v>0</v>
      </c>
      <c r="L89" s="47">
        <f t="shared" si="28"/>
        <v>2.4304999999999994</v>
      </c>
      <c r="M89" s="47">
        <f t="shared" si="28"/>
        <v>1.8709999999999991</v>
      </c>
      <c r="N89" s="47">
        <f t="shared" si="28"/>
        <v>0</v>
      </c>
      <c r="O89" s="47">
        <f t="shared" si="28"/>
        <v>0</v>
      </c>
      <c r="Q89" s="36">
        <v>639.25</v>
      </c>
      <c r="R89" s="36">
        <v>571.35</v>
      </c>
      <c r="S89" s="36">
        <f t="shared" si="29"/>
        <v>19.905000000000001</v>
      </c>
      <c r="T89" s="36">
        <f t="shared" si="30"/>
        <v>19.029999999999998</v>
      </c>
      <c r="U89" s="36">
        <f t="shared" si="31"/>
        <v>958.94569999999999</v>
      </c>
      <c r="V89" s="36">
        <f t="shared" si="32"/>
        <v>991.05460000000005</v>
      </c>
      <c r="W89" s="36">
        <f t="shared" si="33"/>
        <v>68.453579999999988</v>
      </c>
      <c r="X89" s="36">
        <f t="shared" si="34"/>
        <v>69.824429999999992</v>
      </c>
      <c r="Y89" s="36">
        <f t="shared" si="35"/>
        <v>21.805000000000003</v>
      </c>
      <c r="Z89" s="36">
        <f t="shared" si="36"/>
        <v>21.23</v>
      </c>
      <c r="AA89" s="53"/>
      <c r="AB89" s="53"/>
      <c r="AC89" s="36">
        <f t="shared" si="37"/>
        <v>23.930499999999999</v>
      </c>
      <c r="AD89" s="36">
        <f t="shared" si="38"/>
        <v>23.370999999999999</v>
      </c>
      <c r="AE89" s="53"/>
      <c r="AF89" s="53"/>
      <c r="CD89" s="69">
        <v>2061</v>
      </c>
      <c r="CE89" s="54">
        <f t="shared" si="14"/>
        <v>19.905000000000001</v>
      </c>
      <c r="CF89" s="54">
        <f t="shared" si="15"/>
        <v>68.453579999999988</v>
      </c>
      <c r="CG89" s="69">
        <f t="shared" si="16"/>
        <v>639.25</v>
      </c>
      <c r="CH89" s="54">
        <f t="shared" si="17"/>
        <v>19.029999999999998</v>
      </c>
      <c r="CI89" s="54">
        <f t="shared" si="19"/>
        <v>69.824429999999992</v>
      </c>
      <c r="CJ89" s="69">
        <f t="shared" si="18"/>
        <v>571.35</v>
      </c>
    </row>
    <row r="90" spans="1:100">
      <c r="A90" s="35">
        <v>2062</v>
      </c>
      <c r="B90" s="47">
        <f t="shared" si="28"/>
        <v>3.5600000000000018</v>
      </c>
      <c r="C90" s="47">
        <f t="shared" si="28"/>
        <v>2.6599999999999975</v>
      </c>
      <c r="D90" s="47">
        <f t="shared" si="28"/>
        <v>-12.540000000000003</v>
      </c>
      <c r="E90" s="47">
        <f t="shared" si="28"/>
        <v>-9.5199999999999925</v>
      </c>
      <c r="F90" s="47">
        <f t="shared" si="28"/>
        <v>-7.7400000000000011</v>
      </c>
      <c r="G90" s="47">
        <f t="shared" si="28"/>
        <v>-5.8400000000000034</v>
      </c>
      <c r="H90" s="47">
        <f t="shared" si="28"/>
        <v>2.5600000000000014</v>
      </c>
      <c r="I90" s="47">
        <f t="shared" si="28"/>
        <v>1.9600000000000004</v>
      </c>
      <c r="J90" s="47">
        <f t="shared" si="28"/>
        <v>0</v>
      </c>
      <c r="K90" s="47">
        <f t="shared" si="28"/>
        <v>0</v>
      </c>
      <c r="L90" s="47">
        <f t="shared" si="28"/>
        <v>2.4859999999999993</v>
      </c>
      <c r="M90" s="47">
        <f t="shared" si="28"/>
        <v>1.901999999999999</v>
      </c>
      <c r="N90" s="47">
        <f t="shared" si="28"/>
        <v>0</v>
      </c>
      <c r="O90" s="47">
        <f t="shared" si="28"/>
        <v>0</v>
      </c>
      <c r="Q90" s="36">
        <v>647</v>
      </c>
      <c r="R90" s="36">
        <v>575.20000000000005</v>
      </c>
      <c r="S90" s="36">
        <f t="shared" si="29"/>
        <v>19.96</v>
      </c>
      <c r="T90" s="36">
        <f t="shared" si="30"/>
        <v>19.059999999999995</v>
      </c>
      <c r="U90" s="36">
        <f t="shared" si="31"/>
        <v>956.81240000000003</v>
      </c>
      <c r="V90" s="36">
        <f t="shared" si="32"/>
        <v>989.85120000000006</v>
      </c>
      <c r="W90" s="36">
        <f t="shared" si="33"/>
        <v>68.364660000000001</v>
      </c>
      <c r="X90" s="36">
        <f t="shared" si="34"/>
        <v>69.772559999999999</v>
      </c>
      <c r="Y90" s="36">
        <f t="shared" si="35"/>
        <v>21.860000000000003</v>
      </c>
      <c r="Z90" s="36">
        <f t="shared" si="36"/>
        <v>21.26</v>
      </c>
      <c r="AA90" s="53"/>
      <c r="AB90" s="53"/>
      <c r="AC90" s="36">
        <f t="shared" si="37"/>
        <v>23.986000000000001</v>
      </c>
      <c r="AD90" s="36">
        <f t="shared" si="38"/>
        <v>23.401999999999997</v>
      </c>
      <c r="AE90" s="53"/>
      <c r="AF90" s="53"/>
      <c r="CD90" s="69">
        <v>2062</v>
      </c>
      <c r="CE90" s="54">
        <f t="shared" si="14"/>
        <v>19.96</v>
      </c>
      <c r="CF90" s="54">
        <f t="shared" si="15"/>
        <v>68.364660000000001</v>
      </c>
      <c r="CG90" s="69">
        <f t="shared" si="16"/>
        <v>647</v>
      </c>
      <c r="CH90" s="54">
        <f t="shared" si="17"/>
        <v>19.059999999999995</v>
      </c>
      <c r="CI90" s="54">
        <f t="shared" si="19"/>
        <v>69.772559999999999</v>
      </c>
      <c r="CJ90" s="69">
        <f t="shared" si="18"/>
        <v>575.20000000000005</v>
      </c>
    </row>
    <row r="91" spans="1:100">
      <c r="A91" s="35">
        <v>2063</v>
      </c>
      <c r="B91" s="47">
        <f t="shared" si="28"/>
        <v>3.615000000000002</v>
      </c>
      <c r="C91" s="47">
        <f t="shared" si="28"/>
        <v>2.6899999999999973</v>
      </c>
      <c r="D91" s="47">
        <f t="shared" si="28"/>
        <v>-12.735000000000003</v>
      </c>
      <c r="E91" s="47">
        <f t="shared" si="28"/>
        <v>-9.6299999999999919</v>
      </c>
      <c r="F91" s="47">
        <f t="shared" si="28"/>
        <v>-7.8600000000000012</v>
      </c>
      <c r="G91" s="47">
        <f t="shared" si="28"/>
        <v>-5.9100000000000037</v>
      </c>
      <c r="H91" s="47">
        <f t="shared" si="28"/>
        <v>2.6150000000000015</v>
      </c>
      <c r="I91" s="47">
        <f t="shared" si="28"/>
        <v>1.9900000000000004</v>
      </c>
      <c r="J91" s="47">
        <f t="shared" si="28"/>
        <v>0</v>
      </c>
      <c r="K91" s="47">
        <f t="shared" si="28"/>
        <v>0</v>
      </c>
      <c r="L91" s="47">
        <f t="shared" si="28"/>
        <v>2.5414999999999992</v>
      </c>
      <c r="M91" s="47">
        <f t="shared" si="28"/>
        <v>1.9329999999999989</v>
      </c>
      <c r="N91" s="47">
        <f t="shared" si="28"/>
        <v>0</v>
      </c>
      <c r="O91" s="47">
        <f t="shared" si="28"/>
        <v>0</v>
      </c>
      <c r="Q91" s="36">
        <v>654.75</v>
      </c>
      <c r="R91" s="36">
        <v>579.05000000000007</v>
      </c>
      <c r="S91" s="36">
        <f t="shared" si="29"/>
        <v>20.015000000000001</v>
      </c>
      <c r="T91" s="36">
        <f t="shared" si="30"/>
        <v>19.089999999999996</v>
      </c>
      <c r="U91" s="36">
        <f t="shared" si="31"/>
        <v>954.67909999999995</v>
      </c>
      <c r="V91" s="36">
        <f t="shared" si="32"/>
        <v>988.64780000000007</v>
      </c>
      <c r="W91" s="36">
        <f t="shared" si="33"/>
        <v>68.275739999999999</v>
      </c>
      <c r="X91" s="36">
        <f t="shared" si="34"/>
        <v>69.720689999999991</v>
      </c>
      <c r="Y91" s="36">
        <f t="shared" si="35"/>
        <v>21.915000000000003</v>
      </c>
      <c r="Z91" s="36">
        <f t="shared" si="36"/>
        <v>21.290000000000003</v>
      </c>
      <c r="AA91" s="53"/>
      <c r="AB91" s="53"/>
      <c r="AC91" s="36">
        <f t="shared" si="37"/>
        <v>24.041499999999999</v>
      </c>
      <c r="AD91" s="36">
        <f t="shared" si="38"/>
        <v>23.433</v>
      </c>
      <c r="AE91" s="53"/>
      <c r="AF91" s="53"/>
      <c r="CD91" s="69">
        <v>2063</v>
      </c>
      <c r="CE91" s="54">
        <f t="shared" si="14"/>
        <v>20.015000000000001</v>
      </c>
      <c r="CF91" s="54">
        <f t="shared" si="15"/>
        <v>68.275739999999999</v>
      </c>
      <c r="CG91" s="69">
        <f t="shared" si="16"/>
        <v>654.75</v>
      </c>
      <c r="CH91" s="54">
        <f t="shared" si="17"/>
        <v>19.089999999999996</v>
      </c>
      <c r="CI91" s="54">
        <f t="shared" si="19"/>
        <v>69.720689999999991</v>
      </c>
      <c r="CJ91" s="69">
        <f t="shared" si="18"/>
        <v>579.05000000000007</v>
      </c>
    </row>
    <row r="92" spans="1:100">
      <c r="A92" s="35">
        <v>2064</v>
      </c>
      <c r="B92" s="47">
        <f t="shared" si="28"/>
        <v>3.6700000000000021</v>
      </c>
      <c r="C92" s="47">
        <f t="shared" si="28"/>
        <v>2.7199999999999971</v>
      </c>
      <c r="D92" s="47">
        <f t="shared" si="28"/>
        <v>-12.930000000000003</v>
      </c>
      <c r="E92" s="47">
        <f t="shared" si="28"/>
        <v>-9.7399999999999913</v>
      </c>
      <c r="F92" s="47">
        <f t="shared" si="28"/>
        <v>-7.9800000000000013</v>
      </c>
      <c r="G92" s="47">
        <f t="shared" si="28"/>
        <v>-5.980000000000004</v>
      </c>
      <c r="H92" s="47">
        <f t="shared" si="28"/>
        <v>2.6700000000000017</v>
      </c>
      <c r="I92" s="47">
        <f t="shared" si="28"/>
        <v>2.0200000000000005</v>
      </c>
      <c r="J92" s="47">
        <f t="shared" si="28"/>
        <v>0</v>
      </c>
      <c r="K92" s="47">
        <f t="shared" si="28"/>
        <v>0</v>
      </c>
      <c r="L92" s="47">
        <f t="shared" si="28"/>
        <v>2.5969999999999991</v>
      </c>
      <c r="M92" s="47">
        <f t="shared" si="28"/>
        <v>1.9639999999999989</v>
      </c>
      <c r="N92" s="47">
        <f t="shared" si="28"/>
        <v>0</v>
      </c>
      <c r="O92" s="47">
        <f t="shared" si="28"/>
        <v>0</v>
      </c>
      <c r="Q92" s="36">
        <v>662.5</v>
      </c>
      <c r="R92" s="36">
        <v>582.90000000000009</v>
      </c>
      <c r="S92" s="36">
        <f t="shared" si="29"/>
        <v>20.07</v>
      </c>
      <c r="T92" s="36">
        <f t="shared" si="30"/>
        <v>19.119999999999997</v>
      </c>
      <c r="U92" s="36">
        <f t="shared" si="31"/>
        <v>952.54579999999999</v>
      </c>
      <c r="V92" s="36">
        <f t="shared" si="32"/>
        <v>987.44440000000009</v>
      </c>
      <c r="W92" s="36">
        <f t="shared" si="33"/>
        <v>68.186819999999997</v>
      </c>
      <c r="X92" s="36">
        <f t="shared" si="34"/>
        <v>69.668819999999997</v>
      </c>
      <c r="Y92" s="36">
        <f t="shared" si="35"/>
        <v>21.970000000000002</v>
      </c>
      <c r="Z92" s="36">
        <f t="shared" si="36"/>
        <v>21.32</v>
      </c>
      <c r="AA92" s="53"/>
      <c r="AB92" s="53"/>
      <c r="AC92" s="36">
        <f t="shared" si="37"/>
        <v>24.096999999999998</v>
      </c>
      <c r="AD92" s="36">
        <f t="shared" si="38"/>
        <v>23.463999999999999</v>
      </c>
      <c r="AE92" s="53"/>
      <c r="AF92" s="53"/>
      <c r="CD92" s="69">
        <v>2064</v>
      </c>
      <c r="CE92" s="54">
        <f t="shared" ref="CE92:CE98" si="39">S92</f>
        <v>20.07</v>
      </c>
      <c r="CF92" s="54">
        <f t="shared" ref="CF92:CF98" si="40">W92</f>
        <v>68.186819999999997</v>
      </c>
      <c r="CG92" s="69">
        <f t="shared" ref="CG92:CG98" si="41">Q92</f>
        <v>662.5</v>
      </c>
      <c r="CH92" s="54">
        <f t="shared" ref="CH92:CH98" si="42">T92</f>
        <v>19.119999999999997</v>
      </c>
      <c r="CI92" s="54">
        <f t="shared" si="19"/>
        <v>69.668819999999997</v>
      </c>
      <c r="CJ92" s="69">
        <f t="shared" ref="CJ92:CJ98" si="43">R92</f>
        <v>582.90000000000009</v>
      </c>
    </row>
    <row r="93" spans="1:100">
      <c r="A93" s="35">
        <v>2065</v>
      </c>
      <c r="B93" s="47">
        <f t="shared" si="28"/>
        <v>3.7250000000000023</v>
      </c>
      <c r="C93" s="47">
        <f t="shared" si="28"/>
        <v>2.7499999999999969</v>
      </c>
      <c r="D93" s="47">
        <f t="shared" si="28"/>
        <v>-13.125000000000004</v>
      </c>
      <c r="E93" s="47">
        <f t="shared" si="28"/>
        <v>-9.8499999999999908</v>
      </c>
      <c r="F93" s="47">
        <f t="shared" si="28"/>
        <v>-8.1000000000000014</v>
      </c>
      <c r="G93" s="47">
        <f t="shared" si="28"/>
        <v>-6.0500000000000043</v>
      </c>
      <c r="H93" s="47">
        <f t="shared" si="28"/>
        <v>2.7250000000000019</v>
      </c>
      <c r="I93" s="47">
        <f t="shared" si="28"/>
        <v>2.0500000000000003</v>
      </c>
      <c r="J93" s="47">
        <f t="shared" si="28"/>
        <v>0</v>
      </c>
      <c r="K93" s="47">
        <f t="shared" si="28"/>
        <v>0</v>
      </c>
      <c r="L93" s="47">
        <f t="shared" si="28"/>
        <v>2.652499999999999</v>
      </c>
      <c r="M93" s="47">
        <f t="shared" si="28"/>
        <v>1.9949999999999988</v>
      </c>
      <c r="N93" s="47">
        <f t="shared" si="28"/>
        <v>0</v>
      </c>
      <c r="O93" s="47">
        <f t="shared" si="28"/>
        <v>0</v>
      </c>
      <c r="Q93" s="36">
        <v>670.25</v>
      </c>
      <c r="R93" s="36">
        <v>586.75000000000011</v>
      </c>
      <c r="S93" s="36">
        <f t="shared" si="29"/>
        <v>20.125</v>
      </c>
      <c r="T93" s="36">
        <f t="shared" si="30"/>
        <v>19.149999999999995</v>
      </c>
      <c r="U93" s="36">
        <f t="shared" si="31"/>
        <v>950.41249999999991</v>
      </c>
      <c r="V93" s="36">
        <f t="shared" si="32"/>
        <v>986.2410000000001</v>
      </c>
      <c r="W93" s="36">
        <f t="shared" si="33"/>
        <v>68.097899999999996</v>
      </c>
      <c r="X93" s="36">
        <f t="shared" si="34"/>
        <v>69.616949999999989</v>
      </c>
      <c r="Y93" s="36">
        <f t="shared" si="35"/>
        <v>22.025000000000002</v>
      </c>
      <c r="Z93" s="36">
        <f t="shared" si="36"/>
        <v>21.35</v>
      </c>
      <c r="AA93" s="53"/>
      <c r="AB93" s="53"/>
      <c r="AC93" s="36">
        <f t="shared" si="37"/>
        <v>24.1525</v>
      </c>
      <c r="AD93" s="36">
        <f t="shared" si="38"/>
        <v>23.494999999999997</v>
      </c>
      <c r="AE93" s="53"/>
      <c r="AF93" s="53"/>
      <c r="CD93" s="69">
        <v>2065</v>
      </c>
      <c r="CE93" s="54">
        <f t="shared" si="39"/>
        <v>20.125</v>
      </c>
      <c r="CF93" s="54">
        <f t="shared" si="40"/>
        <v>68.097899999999996</v>
      </c>
      <c r="CG93" s="69">
        <f t="shared" si="41"/>
        <v>670.25</v>
      </c>
      <c r="CH93" s="54">
        <f t="shared" si="42"/>
        <v>19.149999999999995</v>
      </c>
      <c r="CI93" s="54">
        <f t="shared" ref="CI93:CI98" si="44">X93</f>
        <v>69.616949999999989</v>
      </c>
      <c r="CJ93" s="69">
        <f t="shared" si="43"/>
        <v>586.75000000000011</v>
      </c>
    </row>
    <row r="94" spans="1:100">
      <c r="A94" s="35">
        <v>2066</v>
      </c>
      <c r="B94" s="47">
        <f t="shared" si="28"/>
        <v>3.7800000000000025</v>
      </c>
      <c r="C94" s="47">
        <f t="shared" si="28"/>
        <v>2.7799999999999967</v>
      </c>
      <c r="D94" s="47">
        <f t="shared" si="28"/>
        <v>-13.320000000000004</v>
      </c>
      <c r="E94" s="47">
        <f t="shared" si="28"/>
        <v>-9.9599999999999902</v>
      </c>
      <c r="F94" s="47">
        <f t="shared" si="28"/>
        <v>-8.2200000000000006</v>
      </c>
      <c r="G94" s="47">
        <f t="shared" si="28"/>
        <v>-6.1200000000000045</v>
      </c>
      <c r="H94" s="47">
        <f t="shared" si="28"/>
        <v>2.780000000000002</v>
      </c>
      <c r="I94" s="47">
        <f t="shared" si="28"/>
        <v>2.08</v>
      </c>
      <c r="J94" s="47">
        <f t="shared" si="28"/>
        <v>0</v>
      </c>
      <c r="K94" s="47">
        <f t="shared" si="28"/>
        <v>0</v>
      </c>
      <c r="L94" s="47">
        <f t="shared" si="28"/>
        <v>2.7079999999999989</v>
      </c>
      <c r="M94" s="47">
        <f t="shared" si="28"/>
        <v>2.0259999999999989</v>
      </c>
      <c r="N94" s="47">
        <f t="shared" si="28"/>
        <v>0</v>
      </c>
      <c r="O94" s="47">
        <f t="shared" si="28"/>
        <v>0</v>
      </c>
      <c r="Q94" s="36">
        <v>678</v>
      </c>
      <c r="R94" s="36">
        <v>590.60000000000014</v>
      </c>
      <c r="S94" s="36">
        <f t="shared" si="29"/>
        <v>20.18</v>
      </c>
      <c r="T94" s="36">
        <f t="shared" si="30"/>
        <v>19.179999999999996</v>
      </c>
      <c r="U94" s="36">
        <f t="shared" si="31"/>
        <v>948.27919999999995</v>
      </c>
      <c r="V94" s="36">
        <f t="shared" si="32"/>
        <v>985.03760000000011</v>
      </c>
      <c r="W94" s="36">
        <f t="shared" si="33"/>
        <v>68.008979999999994</v>
      </c>
      <c r="X94" s="36">
        <f t="shared" si="34"/>
        <v>69.565079999999995</v>
      </c>
      <c r="Y94" s="36">
        <f t="shared" si="35"/>
        <v>22.080000000000002</v>
      </c>
      <c r="Z94" s="36">
        <f t="shared" si="36"/>
        <v>21.380000000000003</v>
      </c>
      <c r="AA94" s="53"/>
      <c r="AB94" s="53"/>
      <c r="AC94" s="36">
        <f t="shared" si="37"/>
        <v>24.207999999999998</v>
      </c>
      <c r="AD94" s="36">
        <f t="shared" si="38"/>
        <v>23.526</v>
      </c>
      <c r="AE94" s="53"/>
      <c r="AF94" s="53"/>
      <c r="CD94" s="69">
        <v>2066</v>
      </c>
      <c r="CE94" s="54">
        <f t="shared" si="39"/>
        <v>20.18</v>
      </c>
      <c r="CF94" s="54">
        <f t="shared" si="40"/>
        <v>68.008979999999994</v>
      </c>
      <c r="CG94" s="69">
        <f t="shared" si="41"/>
        <v>678</v>
      </c>
      <c r="CH94" s="54">
        <f t="shared" si="42"/>
        <v>19.179999999999996</v>
      </c>
      <c r="CI94" s="54">
        <f t="shared" si="44"/>
        <v>69.565079999999995</v>
      </c>
      <c r="CJ94" s="69">
        <f t="shared" si="43"/>
        <v>590.60000000000014</v>
      </c>
    </row>
    <row r="95" spans="1:100">
      <c r="A95" s="35">
        <v>2067</v>
      </c>
      <c r="B95" s="47">
        <f t="shared" ref="B95:O97" si="45">(B$9-B$8)/COUNT($A$78:$A$97)+B94</f>
        <v>3.8350000000000026</v>
      </c>
      <c r="C95" s="47">
        <f t="shared" si="45"/>
        <v>2.8099999999999965</v>
      </c>
      <c r="D95" s="47">
        <f t="shared" si="45"/>
        <v>-13.515000000000004</v>
      </c>
      <c r="E95" s="47">
        <f t="shared" si="45"/>
        <v>-10.06999999999999</v>
      </c>
      <c r="F95" s="47">
        <f t="shared" si="45"/>
        <v>-8.34</v>
      </c>
      <c r="G95" s="47">
        <f t="shared" si="45"/>
        <v>-6.1900000000000048</v>
      </c>
      <c r="H95" s="47">
        <f t="shared" si="45"/>
        <v>2.8350000000000022</v>
      </c>
      <c r="I95" s="47">
        <f t="shared" si="45"/>
        <v>2.11</v>
      </c>
      <c r="J95" s="47">
        <f t="shared" si="45"/>
        <v>0</v>
      </c>
      <c r="K95" s="47">
        <f t="shared" si="45"/>
        <v>0</v>
      </c>
      <c r="L95" s="47">
        <f t="shared" si="45"/>
        <v>2.7634999999999987</v>
      </c>
      <c r="M95" s="47">
        <f t="shared" si="45"/>
        <v>2.0569999999999991</v>
      </c>
      <c r="N95" s="47">
        <f t="shared" si="45"/>
        <v>0</v>
      </c>
      <c r="O95" s="47">
        <f t="shared" si="45"/>
        <v>0</v>
      </c>
      <c r="Q95" s="36">
        <v>685.75</v>
      </c>
      <c r="R95" s="36">
        <v>594.45000000000016</v>
      </c>
      <c r="S95" s="36">
        <f t="shared" si="29"/>
        <v>20.234999999999999</v>
      </c>
      <c r="T95" s="36">
        <f t="shared" si="30"/>
        <v>19.209999999999994</v>
      </c>
      <c r="U95" s="36">
        <f t="shared" si="31"/>
        <v>946.14589999999998</v>
      </c>
      <c r="V95" s="36">
        <f t="shared" si="32"/>
        <v>983.83420000000012</v>
      </c>
      <c r="W95" s="36">
        <f t="shared" si="33"/>
        <v>67.920059999999992</v>
      </c>
      <c r="X95" s="36">
        <f t="shared" si="34"/>
        <v>69.513209999999987</v>
      </c>
      <c r="Y95" s="36">
        <f t="shared" si="35"/>
        <v>22.135000000000002</v>
      </c>
      <c r="Z95" s="36">
        <f t="shared" si="36"/>
        <v>21.41</v>
      </c>
      <c r="AA95" s="53"/>
      <c r="AB95" s="53"/>
      <c r="AC95" s="36">
        <f t="shared" si="37"/>
        <v>24.263500000000001</v>
      </c>
      <c r="AD95" s="36">
        <f t="shared" si="38"/>
        <v>23.556999999999999</v>
      </c>
      <c r="AE95" s="53"/>
      <c r="AF95" s="53"/>
      <c r="CD95" s="69">
        <v>2067</v>
      </c>
      <c r="CE95" s="54">
        <f t="shared" si="39"/>
        <v>20.234999999999999</v>
      </c>
      <c r="CF95" s="54">
        <f t="shared" si="40"/>
        <v>67.920059999999992</v>
      </c>
      <c r="CG95" s="69">
        <f t="shared" si="41"/>
        <v>685.75</v>
      </c>
      <c r="CH95" s="54">
        <f t="shared" si="42"/>
        <v>19.209999999999994</v>
      </c>
      <c r="CI95" s="54">
        <f t="shared" si="44"/>
        <v>69.513209999999987</v>
      </c>
      <c r="CJ95" s="69">
        <f t="shared" si="43"/>
        <v>594.45000000000016</v>
      </c>
    </row>
    <row r="96" spans="1:100">
      <c r="A96" s="35">
        <v>2068</v>
      </c>
      <c r="B96" s="47">
        <f t="shared" si="45"/>
        <v>3.8900000000000028</v>
      </c>
      <c r="C96" s="47">
        <f t="shared" si="45"/>
        <v>2.8399999999999963</v>
      </c>
      <c r="D96" s="47">
        <f t="shared" si="45"/>
        <v>-13.710000000000004</v>
      </c>
      <c r="E96" s="47">
        <f t="shared" si="45"/>
        <v>-10.179999999999989</v>
      </c>
      <c r="F96" s="47">
        <f t="shared" si="45"/>
        <v>-8.4599999999999991</v>
      </c>
      <c r="G96" s="47">
        <f t="shared" si="45"/>
        <v>-6.2600000000000051</v>
      </c>
      <c r="H96" s="47">
        <f t="shared" si="45"/>
        <v>2.8900000000000023</v>
      </c>
      <c r="I96" s="47">
        <f t="shared" si="45"/>
        <v>2.1399999999999997</v>
      </c>
      <c r="J96" s="47">
        <f t="shared" si="45"/>
        <v>0</v>
      </c>
      <c r="K96" s="47">
        <f t="shared" si="45"/>
        <v>0</v>
      </c>
      <c r="L96" s="47">
        <f t="shared" si="45"/>
        <v>2.8189999999999986</v>
      </c>
      <c r="M96" s="47">
        <f t="shared" si="45"/>
        <v>2.0879999999999992</v>
      </c>
      <c r="N96" s="47">
        <f t="shared" si="45"/>
        <v>0</v>
      </c>
      <c r="O96" s="47">
        <f t="shared" si="45"/>
        <v>0</v>
      </c>
      <c r="Q96" s="36">
        <v>693.5</v>
      </c>
      <c r="R96" s="36">
        <v>598.30000000000018</v>
      </c>
      <c r="S96" s="36">
        <f t="shared" si="29"/>
        <v>20.290000000000003</v>
      </c>
      <c r="T96" s="36">
        <f t="shared" si="30"/>
        <v>19.239999999999995</v>
      </c>
      <c r="U96" s="36">
        <f t="shared" si="31"/>
        <v>944.01259999999991</v>
      </c>
      <c r="V96" s="36">
        <f t="shared" si="32"/>
        <v>982.63080000000014</v>
      </c>
      <c r="W96" s="36">
        <f t="shared" si="33"/>
        <v>67.831139999999991</v>
      </c>
      <c r="X96" s="36">
        <f t="shared" si="34"/>
        <v>69.461339999999993</v>
      </c>
      <c r="Y96" s="36">
        <f t="shared" si="35"/>
        <v>22.190000000000005</v>
      </c>
      <c r="Z96" s="36">
        <f t="shared" si="36"/>
        <v>21.44</v>
      </c>
      <c r="AA96" s="53"/>
      <c r="AB96" s="53"/>
      <c r="AC96" s="36">
        <f t="shared" si="37"/>
        <v>24.318999999999999</v>
      </c>
      <c r="AD96" s="36">
        <f t="shared" si="38"/>
        <v>23.588000000000001</v>
      </c>
      <c r="AE96" s="53"/>
      <c r="AF96" s="53"/>
      <c r="CD96" s="69">
        <v>2068</v>
      </c>
      <c r="CE96" s="54">
        <f t="shared" si="39"/>
        <v>20.290000000000003</v>
      </c>
      <c r="CF96" s="54">
        <f t="shared" si="40"/>
        <v>67.831139999999991</v>
      </c>
      <c r="CG96" s="69">
        <f t="shared" si="41"/>
        <v>693.5</v>
      </c>
      <c r="CH96" s="54">
        <f t="shared" si="42"/>
        <v>19.239999999999995</v>
      </c>
      <c r="CI96" s="54">
        <f t="shared" si="44"/>
        <v>69.461339999999993</v>
      </c>
      <c r="CJ96" s="69">
        <f t="shared" si="43"/>
        <v>598.30000000000018</v>
      </c>
    </row>
    <row r="97" spans="1:100">
      <c r="A97" s="35">
        <v>2069</v>
      </c>
      <c r="B97" s="47">
        <f t="shared" si="45"/>
        <v>3.9450000000000029</v>
      </c>
      <c r="C97" s="47">
        <f t="shared" si="45"/>
        <v>2.8699999999999961</v>
      </c>
      <c r="D97" s="47">
        <f t="shared" si="45"/>
        <v>-13.905000000000005</v>
      </c>
      <c r="E97" s="47">
        <f t="shared" si="45"/>
        <v>-10.289999999999988</v>
      </c>
      <c r="F97" s="47">
        <f t="shared" si="45"/>
        <v>-8.5799999999999983</v>
      </c>
      <c r="G97" s="47">
        <f t="shared" si="45"/>
        <v>-6.3300000000000054</v>
      </c>
      <c r="H97" s="47">
        <f t="shared" si="45"/>
        <v>2.9450000000000025</v>
      </c>
      <c r="I97" s="47">
        <f t="shared" si="45"/>
        <v>2.1699999999999995</v>
      </c>
      <c r="J97" s="47">
        <f t="shared" si="45"/>
        <v>0</v>
      </c>
      <c r="K97" s="47">
        <f t="shared" si="45"/>
        <v>0</v>
      </c>
      <c r="L97" s="47">
        <f t="shared" si="45"/>
        <v>2.8744999999999985</v>
      </c>
      <c r="M97" s="47">
        <f t="shared" si="45"/>
        <v>2.1189999999999993</v>
      </c>
      <c r="N97" s="47">
        <f t="shared" si="45"/>
        <v>0</v>
      </c>
      <c r="O97" s="47">
        <f t="shared" si="45"/>
        <v>0</v>
      </c>
      <c r="Q97" s="36">
        <v>701.25</v>
      </c>
      <c r="R97" s="36">
        <v>602.1500000000002</v>
      </c>
      <c r="S97" s="36">
        <f t="shared" si="29"/>
        <v>20.345000000000002</v>
      </c>
      <c r="T97" s="36">
        <f t="shared" si="30"/>
        <v>19.269999999999996</v>
      </c>
      <c r="U97" s="36">
        <f t="shared" si="31"/>
        <v>941.87929999999994</v>
      </c>
      <c r="V97" s="36">
        <f t="shared" si="32"/>
        <v>981.42740000000015</v>
      </c>
      <c r="W97" s="36">
        <f t="shared" si="33"/>
        <v>67.742220000000003</v>
      </c>
      <c r="X97" s="36">
        <f t="shared" si="34"/>
        <v>69.409469999999985</v>
      </c>
      <c r="Y97" s="36">
        <f t="shared" si="35"/>
        <v>22.245000000000005</v>
      </c>
      <c r="Z97" s="36">
        <f t="shared" si="36"/>
        <v>21.47</v>
      </c>
      <c r="AA97" s="53"/>
      <c r="AB97" s="53"/>
      <c r="AC97" s="36">
        <f t="shared" si="37"/>
        <v>24.374499999999998</v>
      </c>
      <c r="AD97" s="36">
        <f t="shared" si="38"/>
        <v>23.619</v>
      </c>
      <c r="AE97" s="53"/>
      <c r="AF97" s="53"/>
      <c r="CD97" s="69">
        <v>2069</v>
      </c>
      <c r="CE97" s="54">
        <f t="shared" si="39"/>
        <v>20.345000000000002</v>
      </c>
      <c r="CF97" s="54">
        <f t="shared" si="40"/>
        <v>67.742220000000003</v>
      </c>
      <c r="CG97" s="69">
        <f t="shared" si="41"/>
        <v>701.25</v>
      </c>
      <c r="CH97" s="54">
        <f t="shared" si="42"/>
        <v>19.269999999999996</v>
      </c>
      <c r="CI97" s="54">
        <f t="shared" si="44"/>
        <v>69.409469999999985</v>
      </c>
      <c r="CJ97" s="69">
        <f t="shared" si="43"/>
        <v>602.1500000000002</v>
      </c>
    </row>
    <row r="98" spans="1:100">
      <c r="A98" s="35">
        <v>2070</v>
      </c>
      <c r="B98" s="47">
        <f t="shared" ref="B98:O98" si="46">B$9</f>
        <v>4</v>
      </c>
      <c r="C98" s="47">
        <f t="shared" si="46"/>
        <v>2.9</v>
      </c>
      <c r="D98" s="47">
        <f t="shared" si="46"/>
        <v>-14.1</v>
      </c>
      <c r="E98" s="47">
        <f t="shared" si="46"/>
        <v>-10.4</v>
      </c>
      <c r="F98" s="47">
        <f t="shared" si="46"/>
        <v>-8.6999999999999993</v>
      </c>
      <c r="G98" s="47">
        <f t="shared" si="46"/>
        <v>-6.4</v>
      </c>
      <c r="H98" s="47">
        <f t="shared" si="46"/>
        <v>3</v>
      </c>
      <c r="I98" s="47">
        <f t="shared" si="46"/>
        <v>2.2000000000000002</v>
      </c>
      <c r="J98" s="47">
        <f t="shared" si="46"/>
        <v>0</v>
      </c>
      <c r="K98" s="47">
        <f t="shared" si="46"/>
        <v>0</v>
      </c>
      <c r="L98" s="47">
        <f t="shared" si="46"/>
        <v>2.93</v>
      </c>
      <c r="M98" s="47">
        <f t="shared" si="46"/>
        <v>2.15</v>
      </c>
      <c r="N98" s="47">
        <f t="shared" si="46"/>
        <v>0</v>
      </c>
      <c r="O98" s="47">
        <f t="shared" si="46"/>
        <v>0</v>
      </c>
      <c r="Q98" s="36">
        <v>709</v>
      </c>
      <c r="R98" s="36">
        <v>606</v>
      </c>
      <c r="S98" s="36">
        <f t="shared" si="29"/>
        <v>20.399999999999999</v>
      </c>
      <c r="T98" s="36">
        <f t="shared" si="30"/>
        <v>19.299999999999997</v>
      </c>
      <c r="U98" s="36">
        <f t="shared" si="31"/>
        <v>939.74599999999998</v>
      </c>
      <c r="V98" s="36">
        <f t="shared" si="32"/>
        <v>980.22399999999993</v>
      </c>
      <c r="W98" s="36">
        <f t="shared" si="33"/>
        <v>67.653300000000002</v>
      </c>
      <c r="X98" s="36">
        <f t="shared" si="34"/>
        <v>69.357599999999991</v>
      </c>
      <c r="Y98" s="36">
        <f t="shared" si="35"/>
        <v>22.3</v>
      </c>
      <c r="Z98" s="36">
        <f t="shared" si="36"/>
        <v>21.5</v>
      </c>
      <c r="AA98" s="53"/>
      <c r="AB98" s="53"/>
      <c r="AC98" s="36">
        <f t="shared" si="37"/>
        <v>24.43</v>
      </c>
      <c r="AD98" s="36">
        <f t="shared" si="38"/>
        <v>23.65</v>
      </c>
      <c r="AE98" s="53"/>
      <c r="AF98" s="53"/>
      <c r="CD98" s="69">
        <v>2070</v>
      </c>
      <c r="CE98" s="54">
        <f t="shared" si="39"/>
        <v>20.399999999999999</v>
      </c>
      <c r="CF98" s="54">
        <f t="shared" si="40"/>
        <v>67.653300000000002</v>
      </c>
      <c r="CG98" s="69">
        <f t="shared" si="41"/>
        <v>709</v>
      </c>
      <c r="CH98" s="54">
        <f t="shared" si="42"/>
        <v>19.299999999999997</v>
      </c>
      <c r="CI98" s="54">
        <f t="shared" si="44"/>
        <v>69.357599999999991</v>
      </c>
      <c r="CJ98" s="69">
        <f t="shared" si="43"/>
        <v>606</v>
      </c>
    </row>
    <row r="99" spans="1:100" s="43" customFormat="1">
      <c r="A99" s="56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69"/>
      <c r="O99" s="69"/>
      <c r="P99" s="69"/>
      <c r="Q99" s="35"/>
      <c r="R99" s="35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</row>
    <row r="100" spans="1:100" s="43" customFormat="1">
      <c r="A100" s="56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69"/>
      <c r="O100" s="69"/>
      <c r="P100" s="69"/>
      <c r="Q100" s="35"/>
      <c r="R100" s="35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  <c r="CT100" s="69"/>
      <c r="CU100" s="69"/>
      <c r="CV100" s="69"/>
    </row>
    <row r="101" spans="1:100" s="43" customFormat="1">
      <c r="A101" s="56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69"/>
      <c r="O101" s="69"/>
      <c r="P101" s="69"/>
      <c r="Q101" s="35"/>
      <c r="R101" s="35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  <c r="CT101" s="69"/>
      <c r="CU101" s="69"/>
      <c r="CV101" s="69"/>
    </row>
    <row r="102" spans="1:100" s="43" customFormat="1">
      <c r="A102" s="56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69"/>
      <c r="O102" s="69"/>
      <c r="P102" s="69"/>
      <c r="Q102" s="35"/>
      <c r="R102" s="35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</row>
    <row r="103" spans="1:100" s="43" customFormat="1">
      <c r="A103" s="56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69"/>
      <c r="O103" s="69"/>
      <c r="P103" s="69"/>
      <c r="Q103" s="35"/>
      <c r="R103" s="35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</row>
    <row r="104" spans="1:100" s="43" customFormat="1">
      <c r="A104" s="56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69"/>
      <c r="O104" s="69"/>
      <c r="P104" s="69"/>
      <c r="Q104" s="35"/>
      <c r="R104" s="35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  <c r="CT104" s="69"/>
      <c r="CU104" s="69"/>
      <c r="CV104" s="69"/>
    </row>
    <row r="105" spans="1:100" s="43" customFormat="1">
      <c r="A105" s="56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69"/>
      <c r="O105" s="69"/>
      <c r="P105" s="69"/>
      <c r="Q105" s="35"/>
      <c r="R105" s="35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  <c r="BY105" s="69"/>
      <c r="BZ105" s="69"/>
      <c r="CA105" s="69"/>
      <c r="CB105" s="69"/>
      <c r="CC105" s="69"/>
      <c r="CD105" s="69"/>
      <c r="CE105" s="69"/>
      <c r="CF105" s="69"/>
      <c r="CG105" s="69"/>
      <c r="CH105" s="69"/>
      <c r="CI105" s="69"/>
      <c r="CJ105" s="69"/>
      <c r="CK105" s="69"/>
      <c r="CL105" s="69"/>
      <c r="CM105" s="69"/>
      <c r="CN105" s="69"/>
      <c r="CO105" s="69"/>
      <c r="CP105" s="69"/>
      <c r="CQ105" s="69"/>
      <c r="CR105" s="69"/>
      <c r="CS105" s="69"/>
      <c r="CT105" s="69"/>
      <c r="CU105" s="69"/>
      <c r="CV105" s="69"/>
    </row>
    <row r="106" spans="1:100" s="43" customFormat="1">
      <c r="A106" s="56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69"/>
      <c r="O106" s="69"/>
      <c r="P106" s="69"/>
      <c r="Q106" s="35"/>
      <c r="R106" s="35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BN106" s="69"/>
      <c r="BO106" s="69"/>
      <c r="BP106" s="69"/>
      <c r="BQ106" s="69"/>
      <c r="BR106" s="69"/>
      <c r="BS106" s="69"/>
      <c r="BT106" s="69"/>
      <c r="BU106" s="69"/>
      <c r="BV106" s="69"/>
      <c r="BW106" s="69"/>
      <c r="BX106" s="69"/>
      <c r="BY106" s="69"/>
      <c r="BZ106" s="69"/>
      <c r="CA106" s="69"/>
      <c r="CB106" s="69"/>
      <c r="CC106" s="69"/>
      <c r="CD106" s="69"/>
      <c r="CE106" s="69"/>
      <c r="CF106" s="69"/>
      <c r="CG106" s="69"/>
      <c r="CH106" s="69"/>
      <c r="CI106" s="69"/>
      <c r="CJ106" s="69"/>
      <c r="CK106" s="69"/>
      <c r="CL106" s="69"/>
      <c r="CM106" s="69"/>
      <c r="CN106" s="69"/>
      <c r="CO106" s="69"/>
      <c r="CP106" s="69"/>
      <c r="CQ106" s="69"/>
      <c r="CR106" s="69"/>
      <c r="CS106" s="69"/>
      <c r="CT106" s="69"/>
      <c r="CU106" s="69"/>
      <c r="CV106" s="69"/>
    </row>
    <row r="107" spans="1:100" s="43" customFormat="1">
      <c r="A107" s="56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69"/>
      <c r="O107" s="69"/>
      <c r="P107" s="69"/>
      <c r="Q107" s="35"/>
      <c r="R107" s="35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BN107" s="69"/>
      <c r="BO107" s="69"/>
      <c r="BP107" s="69"/>
      <c r="BQ107" s="69"/>
      <c r="BR107" s="69"/>
      <c r="BS107" s="69"/>
      <c r="BT107" s="69"/>
      <c r="BU107" s="69"/>
      <c r="BV107" s="69"/>
      <c r="BW107" s="69"/>
      <c r="BX107" s="69"/>
      <c r="BY107" s="69"/>
      <c r="BZ107" s="69"/>
      <c r="CA107" s="69"/>
      <c r="CB107" s="69"/>
      <c r="CC107" s="69"/>
      <c r="CD107" s="69"/>
      <c r="CE107" s="69"/>
      <c r="CF107" s="69"/>
      <c r="CG107" s="69"/>
      <c r="CH107" s="69"/>
      <c r="CI107" s="69"/>
      <c r="CJ107" s="69"/>
      <c r="CK107" s="69"/>
      <c r="CL107" s="69"/>
      <c r="CM107" s="69"/>
      <c r="CN107" s="69"/>
      <c r="CO107" s="69"/>
      <c r="CP107" s="69"/>
      <c r="CQ107" s="69"/>
      <c r="CR107" s="69"/>
      <c r="CS107" s="69"/>
      <c r="CT107" s="69"/>
      <c r="CU107" s="69"/>
      <c r="CV107" s="69"/>
    </row>
    <row r="108" spans="1:100" s="43" customFormat="1">
      <c r="A108" s="56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69"/>
      <c r="O108" s="69"/>
      <c r="P108" s="69"/>
      <c r="Q108" s="35"/>
      <c r="R108" s="35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BN108" s="69"/>
      <c r="BO108" s="69"/>
      <c r="BP108" s="69"/>
      <c r="BQ108" s="69"/>
      <c r="BR108" s="69"/>
      <c r="BS108" s="69"/>
      <c r="BT108" s="69"/>
      <c r="BU108" s="69"/>
      <c r="BV108" s="69"/>
      <c r="BW108" s="69"/>
      <c r="BX108" s="69"/>
      <c r="BY108" s="69"/>
      <c r="BZ108" s="69"/>
      <c r="CA108" s="69"/>
      <c r="CB108" s="69"/>
      <c r="CC108" s="69"/>
      <c r="CD108" s="69"/>
      <c r="CE108" s="69"/>
      <c r="CF108" s="69"/>
      <c r="CG108" s="69"/>
      <c r="CH108" s="69"/>
      <c r="CI108" s="69"/>
      <c r="CJ108" s="69"/>
      <c r="CK108" s="69"/>
      <c r="CL108" s="69"/>
      <c r="CM108" s="69"/>
      <c r="CN108" s="69"/>
      <c r="CO108" s="69"/>
      <c r="CP108" s="69"/>
      <c r="CQ108" s="69"/>
      <c r="CR108" s="69"/>
      <c r="CS108" s="69"/>
      <c r="CT108" s="69"/>
      <c r="CU108" s="69"/>
      <c r="CV108" s="69"/>
    </row>
    <row r="109" spans="1:100" s="43" customFormat="1">
      <c r="A109" s="56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69"/>
      <c r="O109" s="69"/>
      <c r="P109" s="69"/>
      <c r="Q109" s="35"/>
      <c r="R109" s="35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CS109" s="69"/>
      <c r="CT109" s="69"/>
      <c r="CU109" s="69"/>
      <c r="CV109" s="69"/>
    </row>
    <row r="110" spans="1:100" s="43" customFormat="1">
      <c r="A110" s="56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69"/>
      <c r="O110" s="69"/>
      <c r="P110" s="69"/>
      <c r="Q110" s="35"/>
      <c r="R110" s="35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CS110" s="69"/>
      <c r="CT110" s="69"/>
      <c r="CU110" s="69"/>
      <c r="CV110" s="69"/>
    </row>
    <row r="111" spans="1:100" s="43" customFormat="1">
      <c r="A111" s="56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69"/>
      <c r="O111" s="69"/>
      <c r="P111" s="69"/>
      <c r="Q111" s="35"/>
      <c r="R111" s="35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CS111" s="69"/>
      <c r="CT111" s="69"/>
      <c r="CU111" s="69"/>
      <c r="CV111" s="69"/>
    </row>
    <row r="112" spans="1:100" s="43" customFormat="1">
      <c r="A112" s="56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69"/>
      <c r="O112" s="69"/>
      <c r="P112" s="69"/>
      <c r="Q112" s="35"/>
      <c r="R112" s="35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CS112" s="69"/>
      <c r="CT112" s="69"/>
      <c r="CU112" s="69"/>
      <c r="CV112" s="69"/>
    </row>
    <row r="113" spans="1:100" s="43" customFormat="1">
      <c r="A113" s="56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69"/>
      <c r="O113" s="69"/>
      <c r="P113" s="69"/>
      <c r="Q113" s="35"/>
      <c r="R113" s="35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CS113" s="69"/>
      <c r="CT113" s="69"/>
      <c r="CU113" s="69"/>
      <c r="CV113" s="69"/>
    </row>
    <row r="114" spans="1:100" s="43" customFormat="1">
      <c r="A114" s="56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69"/>
      <c r="O114" s="69"/>
      <c r="P114" s="69"/>
      <c r="Q114" s="35"/>
      <c r="R114" s="35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CS114" s="69"/>
      <c r="CT114" s="69"/>
      <c r="CU114" s="69"/>
      <c r="CV114" s="69"/>
    </row>
    <row r="115" spans="1:100" s="43" customFormat="1">
      <c r="A115" s="56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69"/>
      <c r="O115" s="69"/>
      <c r="P115" s="69"/>
      <c r="Q115" s="35"/>
      <c r="R115" s="35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CS115" s="69"/>
      <c r="CT115" s="69"/>
      <c r="CU115" s="69"/>
      <c r="CV115" s="69"/>
    </row>
    <row r="116" spans="1:100" s="43" customFormat="1">
      <c r="A116" s="56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69"/>
      <c r="O116" s="69"/>
      <c r="P116" s="69"/>
      <c r="Q116" s="35"/>
      <c r="R116" s="35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CS116" s="69"/>
      <c r="CT116" s="69"/>
      <c r="CU116" s="69"/>
      <c r="CV116" s="69"/>
    </row>
    <row r="117" spans="1:100" s="43" customFormat="1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69"/>
      <c r="O117" s="69"/>
      <c r="P117" s="69"/>
      <c r="Q117" s="35"/>
      <c r="R117" s="35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CS117" s="69"/>
      <c r="CT117" s="69"/>
      <c r="CU117" s="69"/>
      <c r="CV117" s="69"/>
    </row>
    <row r="118" spans="1:100" s="43" customFormat="1">
      <c r="A118" s="56"/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69"/>
      <c r="O118" s="69"/>
      <c r="P118" s="69"/>
      <c r="Q118" s="35"/>
      <c r="R118" s="35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CS118" s="69"/>
      <c r="CT118" s="69"/>
      <c r="CU118" s="69"/>
      <c r="CV118" s="69"/>
    </row>
    <row r="119" spans="1:100" s="43" customFormat="1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69"/>
      <c r="O119" s="69"/>
      <c r="P119" s="69"/>
      <c r="Q119" s="35"/>
      <c r="R119" s="35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CS119" s="69"/>
      <c r="CT119" s="69"/>
      <c r="CU119" s="69"/>
      <c r="CV119" s="69"/>
    </row>
    <row r="120" spans="1:100" s="43" customFormat="1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69"/>
      <c r="O120" s="69"/>
      <c r="P120" s="69"/>
      <c r="Q120" s="35"/>
      <c r="R120" s="35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CS120" s="69"/>
      <c r="CT120" s="69"/>
      <c r="CU120" s="69"/>
      <c r="CV120" s="69"/>
    </row>
    <row r="121" spans="1:100" s="43" customFormat="1">
      <c r="A121" s="56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69"/>
      <c r="O121" s="69"/>
      <c r="P121" s="69"/>
      <c r="Q121" s="35"/>
      <c r="R121" s="35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CS121" s="69"/>
      <c r="CT121" s="69"/>
      <c r="CU121" s="69"/>
      <c r="CV121" s="69"/>
    </row>
    <row r="122" spans="1:100" s="43" customFormat="1">
      <c r="A122" s="56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69"/>
      <c r="O122" s="69"/>
      <c r="P122" s="69"/>
      <c r="Q122" s="35"/>
      <c r="R122" s="35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CS122" s="69"/>
      <c r="CT122" s="69"/>
      <c r="CU122" s="69"/>
      <c r="CV122" s="69"/>
    </row>
    <row r="123" spans="1:100" s="43" customFormat="1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69"/>
      <c r="O123" s="69"/>
      <c r="P123" s="69"/>
      <c r="Q123" s="35"/>
      <c r="R123" s="35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CS123" s="69"/>
      <c r="CT123" s="69"/>
      <c r="CU123" s="69"/>
      <c r="CV123" s="69"/>
    </row>
    <row r="124" spans="1:100" s="43" customFormat="1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69"/>
      <c r="O124" s="69"/>
      <c r="P124" s="69"/>
      <c r="Q124" s="35"/>
      <c r="R124" s="35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CS124" s="69"/>
      <c r="CT124" s="69"/>
      <c r="CU124" s="69"/>
      <c r="CV124" s="69"/>
    </row>
    <row r="125" spans="1:100" s="43" customFormat="1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69"/>
      <c r="O125" s="69"/>
      <c r="P125" s="69"/>
      <c r="Q125" s="35"/>
      <c r="R125" s="35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CS125" s="69"/>
      <c r="CT125" s="69"/>
      <c r="CU125" s="69"/>
      <c r="CV125" s="69"/>
    </row>
    <row r="126" spans="1:100" s="43" customFormat="1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69"/>
      <c r="O126" s="69"/>
      <c r="P126" s="69"/>
      <c r="Q126" s="35"/>
      <c r="R126" s="35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CS126" s="69"/>
      <c r="CT126" s="69"/>
      <c r="CU126" s="69"/>
      <c r="CV126" s="69"/>
    </row>
    <row r="127" spans="1:100" s="43" customFormat="1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69"/>
      <c r="O127" s="69"/>
      <c r="P127" s="69"/>
      <c r="Q127" s="35"/>
      <c r="R127" s="35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CS127" s="69"/>
      <c r="CT127" s="69"/>
      <c r="CU127" s="69"/>
      <c r="CV127" s="69"/>
    </row>
    <row r="128" spans="1:100" s="43" customFormat="1">
      <c r="A128" s="56"/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69"/>
      <c r="O128" s="69"/>
      <c r="P128" s="69"/>
      <c r="Q128" s="35"/>
      <c r="R128" s="35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CS128" s="69"/>
      <c r="CT128" s="69"/>
      <c r="CU128" s="69"/>
      <c r="CV128" s="69"/>
    </row>
  </sheetData>
  <mergeCells count="39"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</mergeCells>
  <pageMargins left="0.7" right="0.7" top="0.75" bottom="0.75" header="0.3" footer="0.3"/>
  <pageSetup paperSize="8" scale="32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9">
    <pageSetUpPr fitToPage="1"/>
  </sheetPr>
  <dimension ref="A1:CV128"/>
  <sheetViews>
    <sheetView workbookViewId="0">
      <selection activeCell="AH2" sqref="AH2"/>
    </sheetView>
  </sheetViews>
  <sheetFormatPr defaultRowHeight="15" outlineLevelCol="1"/>
  <cols>
    <col min="1" max="1" width="9.140625" style="69"/>
    <col min="2" max="15" width="14.28515625" style="69" customWidth="1"/>
    <col min="16" max="16" width="10.7109375" style="69" customWidth="1"/>
    <col min="17" max="18" width="9.140625" style="69" customWidth="1"/>
    <col min="19" max="73" width="9.140625" style="69"/>
    <col min="74" max="74" width="9.140625" style="69" collapsed="1"/>
    <col min="75" max="81" width="9.140625" style="69"/>
    <col min="82" max="88" width="9.140625" style="69" hidden="1" customWidth="1" outlineLevel="1"/>
    <col min="89" max="89" width="9.140625" style="69" collapsed="1"/>
    <col min="90" max="16384" width="9.140625" style="69"/>
  </cols>
  <sheetData>
    <row r="1" spans="1:34">
      <c r="A1" s="69" t="s">
        <v>179</v>
      </c>
      <c r="B1" s="69" t="s">
        <v>197</v>
      </c>
    </row>
    <row r="2" spans="1:34">
      <c r="AH2" s="69" t="str">
        <f>Baseline!B1</f>
        <v>Port Kembla</v>
      </c>
    </row>
    <row r="3" spans="1:34" ht="18">
      <c r="B3" s="106" t="s">
        <v>180</v>
      </c>
      <c r="C3" s="106"/>
      <c r="D3" s="106" t="s">
        <v>181</v>
      </c>
      <c r="E3" s="106"/>
      <c r="F3" s="106" t="s">
        <v>182</v>
      </c>
      <c r="G3" s="106"/>
      <c r="H3" s="106" t="s">
        <v>183</v>
      </c>
      <c r="I3" s="106"/>
      <c r="J3" s="106" t="s">
        <v>184</v>
      </c>
      <c r="K3" s="106"/>
      <c r="L3" s="106" t="s">
        <v>185</v>
      </c>
      <c r="M3" s="106"/>
      <c r="N3" s="106" t="s">
        <v>186</v>
      </c>
      <c r="O3" s="106"/>
      <c r="Q3" s="41" t="s">
        <v>138</v>
      </c>
      <c r="R3" s="41"/>
      <c r="AH3" s="69" t="str">
        <f>"Cooler &amp; Wetter "&amp;(B1)</f>
        <v>Cooler &amp; Wetter MIROC-Medres</v>
      </c>
    </row>
    <row r="4" spans="1:34">
      <c r="B4" s="42" t="s">
        <v>91</v>
      </c>
      <c r="C4" s="42" t="s">
        <v>133</v>
      </c>
      <c r="D4" s="42" t="s">
        <v>91</v>
      </c>
      <c r="E4" s="42" t="s">
        <v>133</v>
      </c>
      <c r="F4" s="42" t="s">
        <v>91</v>
      </c>
      <c r="G4" s="42" t="s">
        <v>133</v>
      </c>
      <c r="H4" s="42" t="s">
        <v>91</v>
      </c>
      <c r="I4" s="42" t="s">
        <v>133</v>
      </c>
      <c r="J4" s="42" t="s">
        <v>91</v>
      </c>
      <c r="K4" s="42" t="s">
        <v>133</v>
      </c>
      <c r="L4" s="42" t="s">
        <v>91</v>
      </c>
      <c r="M4" s="42" t="s">
        <v>133</v>
      </c>
      <c r="N4" s="42" t="s">
        <v>91</v>
      </c>
      <c r="O4" s="42" t="s">
        <v>133</v>
      </c>
      <c r="Q4" s="42" t="s">
        <v>91</v>
      </c>
      <c r="R4" s="42" t="s">
        <v>133</v>
      </c>
    </row>
    <row r="5" spans="1:34">
      <c r="A5" s="69">
        <v>1990</v>
      </c>
      <c r="B5" s="54">
        <v>0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54">
        <v>0</v>
      </c>
      <c r="N5" s="54">
        <v>0</v>
      </c>
      <c r="O5" s="54">
        <v>0</v>
      </c>
      <c r="Q5" s="27">
        <v>352.5</v>
      </c>
      <c r="R5" s="27">
        <v>352.5</v>
      </c>
    </row>
    <row r="6" spans="1:34" s="43" customFormat="1">
      <c r="A6" s="70">
        <v>2010</v>
      </c>
      <c r="B6" s="71">
        <v>0.23333333333333331</v>
      </c>
      <c r="C6" s="71">
        <v>0.23333333333333331</v>
      </c>
      <c r="D6" s="71">
        <v>1.1333333333333333</v>
      </c>
      <c r="E6" s="71">
        <v>1.2</v>
      </c>
      <c r="F6" s="71">
        <v>0.26666666666666666</v>
      </c>
      <c r="G6" s="71">
        <v>0.26666666666666666</v>
      </c>
      <c r="H6" s="71">
        <v>0.33666666666666667</v>
      </c>
      <c r="I6" s="71">
        <v>0.35000000000000003</v>
      </c>
      <c r="J6" s="71">
        <v>1.6666666666666666E-2</v>
      </c>
      <c r="K6" s="71">
        <v>1.6666666666666666E-2</v>
      </c>
      <c r="L6" s="71">
        <v>0.31666666666666665</v>
      </c>
      <c r="M6" s="71">
        <v>0.32666666666666666</v>
      </c>
      <c r="N6" s="71">
        <v>6.6666666666666671E-3</v>
      </c>
      <c r="O6" s="71">
        <v>6.6666666666666671E-3</v>
      </c>
      <c r="P6" s="69"/>
      <c r="Q6" s="44">
        <v>387.5</v>
      </c>
      <c r="R6" s="44">
        <v>389.5</v>
      </c>
    </row>
    <row r="7" spans="1:34">
      <c r="A7" s="69">
        <v>2030</v>
      </c>
      <c r="B7" s="45">
        <v>0.7</v>
      </c>
      <c r="C7" s="45">
        <v>0.7</v>
      </c>
      <c r="D7" s="33">
        <v>3.4</v>
      </c>
      <c r="E7" s="33">
        <v>3.6</v>
      </c>
      <c r="F7" s="45">
        <v>0.8</v>
      </c>
      <c r="G7" s="45">
        <v>0.8</v>
      </c>
      <c r="H7" s="45">
        <v>1.01</v>
      </c>
      <c r="I7" s="45">
        <v>1.05</v>
      </c>
      <c r="J7" s="45">
        <v>0.05</v>
      </c>
      <c r="K7" s="45">
        <v>0.05</v>
      </c>
      <c r="L7" s="72">
        <v>0.95</v>
      </c>
      <c r="M7" s="72">
        <v>0.98</v>
      </c>
      <c r="N7" s="72">
        <v>0.02</v>
      </c>
      <c r="O7" s="72">
        <v>0.02</v>
      </c>
      <c r="Q7" s="27">
        <v>452</v>
      </c>
      <c r="R7" s="27">
        <v>450.5</v>
      </c>
    </row>
    <row r="8" spans="1:34">
      <c r="A8" s="69">
        <v>2050</v>
      </c>
      <c r="B8" s="45">
        <v>1.7</v>
      </c>
      <c r="C8" s="45">
        <v>1.4</v>
      </c>
      <c r="D8" s="33">
        <v>8.3000000000000007</v>
      </c>
      <c r="E8" s="33">
        <v>6.7</v>
      </c>
      <c r="F8" s="45">
        <v>1.8</v>
      </c>
      <c r="G8" s="33">
        <v>1.5</v>
      </c>
      <c r="H8" s="33">
        <v>2.1</v>
      </c>
      <c r="I8" s="33">
        <v>1.78</v>
      </c>
      <c r="J8" s="33">
        <v>0.1</v>
      </c>
      <c r="K8" s="33">
        <v>0.09</v>
      </c>
      <c r="L8" s="72">
        <v>1.98</v>
      </c>
      <c r="M8" s="72">
        <v>1.67</v>
      </c>
      <c r="N8" s="72">
        <v>0.04</v>
      </c>
      <c r="O8" s="72">
        <v>0.04</v>
      </c>
      <c r="Q8" s="27">
        <v>561</v>
      </c>
      <c r="R8" s="27">
        <v>527</v>
      </c>
    </row>
    <row r="9" spans="1:34">
      <c r="A9" s="69">
        <v>2070</v>
      </c>
      <c r="B9" s="45">
        <v>2.2999999999999998</v>
      </c>
      <c r="C9" s="45">
        <v>1.7</v>
      </c>
      <c r="D9" s="33">
        <v>11.5</v>
      </c>
      <c r="E9" s="33">
        <v>8.5</v>
      </c>
      <c r="F9" s="45">
        <v>2.5</v>
      </c>
      <c r="G9" s="45">
        <v>1.9</v>
      </c>
      <c r="H9" s="45">
        <v>3.38</v>
      </c>
      <c r="I9" s="45">
        <v>2.4900000000000002</v>
      </c>
      <c r="J9" s="45">
        <v>0.17</v>
      </c>
      <c r="K9" s="45">
        <v>0.12</v>
      </c>
      <c r="L9" s="72">
        <v>3.18</v>
      </c>
      <c r="M9" s="72">
        <v>2.33</v>
      </c>
      <c r="N9" s="72">
        <v>7.0000000000000007E-2</v>
      </c>
      <c r="O9" s="72">
        <v>0.05</v>
      </c>
      <c r="Q9" s="27">
        <v>709</v>
      </c>
      <c r="R9" s="27">
        <v>606</v>
      </c>
    </row>
    <row r="10" spans="1:34"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Q10" s="27">
        <v>878.5</v>
      </c>
      <c r="R10" s="27">
        <v>679.5</v>
      </c>
    </row>
    <row r="11" spans="1:34"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Q11" s="27">
        <v>964</v>
      </c>
      <c r="R11" s="27">
        <v>710</v>
      </c>
    </row>
    <row r="12" spans="1:34">
      <c r="B12" s="34"/>
      <c r="Q12" s="69" t="s">
        <v>139</v>
      </c>
    </row>
    <row r="13" spans="1:34">
      <c r="AE13" s="73"/>
      <c r="AF13" s="73"/>
    </row>
    <row r="14" spans="1:34">
      <c r="A14" s="102" t="s">
        <v>90</v>
      </c>
      <c r="B14" s="102" t="s">
        <v>136</v>
      </c>
      <c r="C14" s="102"/>
      <c r="D14" s="103" t="s">
        <v>187</v>
      </c>
      <c r="E14" s="104"/>
      <c r="F14" s="102" t="s">
        <v>137</v>
      </c>
      <c r="G14" s="102"/>
      <c r="H14" s="103" t="s">
        <v>188</v>
      </c>
      <c r="I14" s="104"/>
      <c r="J14" s="103" t="s">
        <v>189</v>
      </c>
      <c r="K14" s="104"/>
      <c r="L14" s="102" t="s">
        <v>190</v>
      </c>
      <c r="M14" s="102"/>
      <c r="N14" s="102" t="s">
        <v>191</v>
      </c>
      <c r="O14" s="102"/>
      <c r="Q14" s="105" t="s">
        <v>140</v>
      </c>
      <c r="R14" s="105"/>
      <c r="S14" s="105"/>
      <c r="T14" s="105"/>
      <c r="U14" s="105"/>
      <c r="V14" s="105"/>
      <c r="W14" s="105"/>
      <c r="X14" s="105"/>
      <c r="Y14" s="68"/>
      <c r="Z14" s="68"/>
      <c r="AA14" s="68"/>
      <c r="AB14" s="68"/>
      <c r="AC14" s="68"/>
      <c r="AD14" s="68"/>
      <c r="AE14" s="68"/>
      <c r="AF14" s="68"/>
    </row>
    <row r="15" spans="1:34" ht="18">
      <c r="A15" s="102"/>
      <c r="B15" s="102" t="s">
        <v>145</v>
      </c>
      <c r="C15" s="102"/>
      <c r="D15" s="102" t="s">
        <v>146</v>
      </c>
      <c r="E15" s="102"/>
      <c r="F15" s="102" t="s">
        <v>146</v>
      </c>
      <c r="G15" s="102"/>
      <c r="H15" s="102" t="s">
        <v>145</v>
      </c>
      <c r="I15" s="102"/>
      <c r="J15" s="102" t="s">
        <v>151</v>
      </c>
      <c r="K15" s="102"/>
      <c r="L15" s="102" t="s">
        <v>145</v>
      </c>
      <c r="M15" s="102"/>
      <c r="N15" s="102" t="s">
        <v>151</v>
      </c>
      <c r="O15" s="102"/>
      <c r="Q15" s="102" t="s">
        <v>141</v>
      </c>
      <c r="R15" s="102"/>
      <c r="S15" s="102" t="s">
        <v>142</v>
      </c>
      <c r="T15" s="102"/>
      <c r="U15" s="103" t="s">
        <v>192</v>
      </c>
      <c r="V15" s="104"/>
      <c r="W15" s="102" t="s">
        <v>143</v>
      </c>
      <c r="X15" s="102"/>
      <c r="Y15" s="102" t="s">
        <v>193</v>
      </c>
      <c r="Z15" s="102"/>
      <c r="AA15" s="102" t="s">
        <v>194</v>
      </c>
      <c r="AB15" s="102"/>
      <c r="AC15" s="102" t="s">
        <v>144</v>
      </c>
      <c r="AD15" s="102"/>
      <c r="AE15" s="102" t="s">
        <v>195</v>
      </c>
      <c r="AF15" s="102"/>
    </row>
    <row r="16" spans="1:34">
      <c r="A16" s="102"/>
      <c r="B16" s="74" t="s">
        <v>91</v>
      </c>
      <c r="C16" s="74" t="s">
        <v>133</v>
      </c>
      <c r="D16" s="74" t="s">
        <v>91</v>
      </c>
      <c r="E16" s="74" t="s">
        <v>133</v>
      </c>
      <c r="F16" s="74" t="s">
        <v>91</v>
      </c>
      <c r="G16" s="74" t="s">
        <v>133</v>
      </c>
      <c r="H16" s="74" t="s">
        <v>91</v>
      </c>
      <c r="I16" s="74" t="s">
        <v>133</v>
      </c>
      <c r="J16" s="74" t="s">
        <v>91</v>
      </c>
      <c r="K16" s="74" t="s">
        <v>133</v>
      </c>
      <c r="L16" s="74" t="s">
        <v>91</v>
      </c>
      <c r="M16" s="74" t="s">
        <v>133</v>
      </c>
      <c r="N16" s="74" t="s">
        <v>91</v>
      </c>
      <c r="O16" s="74" t="s">
        <v>133</v>
      </c>
      <c r="Q16" s="102" t="s">
        <v>147</v>
      </c>
      <c r="R16" s="102"/>
      <c r="S16" s="102" t="s">
        <v>145</v>
      </c>
      <c r="T16" s="102"/>
      <c r="U16" s="103" t="s">
        <v>196</v>
      </c>
      <c r="V16" s="104"/>
      <c r="W16" s="102" t="s">
        <v>146</v>
      </c>
      <c r="X16" s="102"/>
      <c r="Y16" s="102" t="s">
        <v>145</v>
      </c>
      <c r="Z16" s="102"/>
      <c r="AA16" s="102" t="s">
        <v>151</v>
      </c>
      <c r="AB16" s="102"/>
      <c r="AC16" s="102" t="s">
        <v>145</v>
      </c>
      <c r="AD16" s="102"/>
      <c r="AE16" s="102" t="s">
        <v>151</v>
      </c>
      <c r="AF16" s="102"/>
    </row>
    <row r="17" spans="1:88" ht="27" customHeight="1">
      <c r="A17" s="102"/>
      <c r="B17" s="67" t="str">
        <f>$B$1</f>
        <v>MIROC-Medres</v>
      </c>
      <c r="C17" s="67" t="str">
        <f>$B$1</f>
        <v>MIROC-Medres</v>
      </c>
      <c r="D17" s="67" t="str">
        <f t="shared" ref="D17:G17" si="0">$B$1</f>
        <v>MIROC-Medres</v>
      </c>
      <c r="E17" s="67" t="str">
        <f t="shared" si="0"/>
        <v>MIROC-Medres</v>
      </c>
      <c r="F17" s="67" t="str">
        <f t="shared" si="0"/>
        <v>MIROC-Medres</v>
      </c>
      <c r="G17" s="67" t="str">
        <f t="shared" si="0"/>
        <v>MIROC-Medres</v>
      </c>
      <c r="H17" s="67" t="s">
        <v>198</v>
      </c>
      <c r="I17" s="67" t="s">
        <v>198</v>
      </c>
      <c r="J17" s="67" t="s">
        <v>198</v>
      </c>
      <c r="K17" s="67" t="s">
        <v>198</v>
      </c>
      <c r="L17" s="67" t="s">
        <v>198</v>
      </c>
      <c r="M17" s="67" t="s">
        <v>198</v>
      </c>
      <c r="N17" s="67" t="s">
        <v>198</v>
      </c>
      <c r="O17" s="67" t="s">
        <v>198</v>
      </c>
      <c r="Q17" s="67" t="s">
        <v>91</v>
      </c>
      <c r="R17" s="67" t="s">
        <v>133</v>
      </c>
      <c r="S17" s="67" t="s">
        <v>91</v>
      </c>
      <c r="T17" s="67" t="s">
        <v>133</v>
      </c>
      <c r="U17" s="67" t="s">
        <v>91</v>
      </c>
      <c r="V17" s="67" t="s">
        <v>133</v>
      </c>
      <c r="W17" s="67" t="s">
        <v>91</v>
      </c>
      <c r="X17" s="67" t="s">
        <v>133</v>
      </c>
      <c r="Y17" s="67" t="s">
        <v>91</v>
      </c>
      <c r="Z17" s="67" t="s">
        <v>133</v>
      </c>
      <c r="AA17" s="67" t="s">
        <v>91</v>
      </c>
      <c r="AB17" s="67" t="s">
        <v>133</v>
      </c>
      <c r="AC17" s="67" t="s">
        <v>91</v>
      </c>
      <c r="AD17" s="67" t="s">
        <v>133</v>
      </c>
      <c r="AE17" s="67" t="s">
        <v>91</v>
      </c>
      <c r="AF17" s="67" t="s">
        <v>133</v>
      </c>
    </row>
    <row r="18" spans="1:88">
      <c r="A18" s="51">
        <v>1990</v>
      </c>
      <c r="B18" s="52">
        <f>B5</f>
        <v>0</v>
      </c>
      <c r="C18" s="52">
        <f>C5</f>
        <v>0</v>
      </c>
      <c r="D18" s="52">
        <f>D5</f>
        <v>0</v>
      </c>
      <c r="E18" s="52">
        <f>E5</f>
        <v>0</v>
      </c>
      <c r="F18" s="52">
        <f t="shared" ref="F18:O18" si="1">F5</f>
        <v>0</v>
      </c>
      <c r="G18" s="52">
        <f t="shared" si="1"/>
        <v>0</v>
      </c>
      <c r="H18" s="52">
        <f t="shared" si="1"/>
        <v>0</v>
      </c>
      <c r="I18" s="52">
        <f t="shared" si="1"/>
        <v>0</v>
      </c>
      <c r="J18" s="52">
        <f t="shared" si="1"/>
        <v>0</v>
      </c>
      <c r="K18" s="52">
        <f t="shared" si="1"/>
        <v>0</v>
      </c>
      <c r="L18" s="52">
        <f t="shared" si="1"/>
        <v>0</v>
      </c>
      <c r="M18" s="52">
        <f t="shared" si="1"/>
        <v>0</v>
      </c>
      <c r="N18" s="52">
        <f t="shared" si="1"/>
        <v>0</v>
      </c>
      <c r="O18" s="52">
        <f t="shared" si="1"/>
        <v>0</v>
      </c>
      <c r="P18" s="75"/>
      <c r="Q18" s="79">
        <v>352.5</v>
      </c>
      <c r="R18" s="79">
        <v>352.5</v>
      </c>
      <c r="S18" s="79">
        <f>Baseline!$B$5</f>
        <v>16.399999999999999</v>
      </c>
      <c r="T18" s="79">
        <f>Baseline!$B$5</f>
        <v>16.399999999999999</v>
      </c>
      <c r="U18" s="80">
        <f>Baseline!$B$6</f>
        <v>1094</v>
      </c>
      <c r="V18" s="80">
        <f>Baseline!$B$6</f>
        <v>1094</v>
      </c>
      <c r="W18" s="79">
        <f>Baseline!$B$7</f>
        <v>74.099999999999994</v>
      </c>
      <c r="X18" s="79">
        <f>Baseline!$B$7</f>
        <v>74.099999999999994</v>
      </c>
      <c r="Y18" s="79">
        <f>Baseline!$B$9</f>
        <v>19.3</v>
      </c>
      <c r="Z18" s="79">
        <f>Baseline!$B$9</f>
        <v>19.3</v>
      </c>
      <c r="AA18" s="79">
        <f>Baseline!$B$8</f>
        <v>35.5</v>
      </c>
      <c r="AB18" s="79">
        <f>Baseline!$B$8</f>
        <v>35.5</v>
      </c>
      <c r="AC18" s="79">
        <f>Baseline!$C$9</f>
        <v>21.5</v>
      </c>
      <c r="AD18" s="79">
        <f>Baseline!$C$9</f>
        <v>21.5</v>
      </c>
      <c r="AE18" s="79">
        <f>Baseline!$C$8</f>
        <v>35.5</v>
      </c>
      <c r="AF18" s="79">
        <f>Baseline!$C$8</f>
        <v>35.5</v>
      </c>
    </row>
    <row r="19" spans="1:88">
      <c r="A19" s="51">
        <v>1991</v>
      </c>
      <c r="B19" s="52">
        <f t="shared" ref="B19:O34" si="2">(B$6-B$5)/COUNT($A$18:$A$37)+B18</f>
        <v>1.1666666666666665E-2</v>
      </c>
      <c r="C19" s="52">
        <f t="shared" si="2"/>
        <v>1.1666666666666665E-2</v>
      </c>
      <c r="D19" s="52">
        <f t="shared" si="2"/>
        <v>5.6666666666666664E-2</v>
      </c>
      <c r="E19" s="52">
        <f t="shared" si="2"/>
        <v>0.06</v>
      </c>
      <c r="F19" s="52">
        <f t="shared" si="2"/>
        <v>1.3333333333333332E-2</v>
      </c>
      <c r="G19" s="52">
        <f t="shared" si="2"/>
        <v>1.3333333333333332E-2</v>
      </c>
      <c r="H19" s="52">
        <f t="shared" si="2"/>
        <v>1.6833333333333332E-2</v>
      </c>
      <c r="I19" s="52">
        <f t="shared" si="2"/>
        <v>1.7500000000000002E-2</v>
      </c>
      <c r="J19" s="52">
        <f t="shared" si="2"/>
        <v>8.3333333333333328E-4</v>
      </c>
      <c r="K19" s="52">
        <f t="shared" si="2"/>
        <v>8.3333333333333328E-4</v>
      </c>
      <c r="L19" s="52">
        <f t="shared" si="2"/>
        <v>1.5833333333333331E-2</v>
      </c>
      <c r="M19" s="52">
        <f t="shared" si="2"/>
        <v>1.6333333333333332E-2</v>
      </c>
      <c r="N19" s="52">
        <f t="shared" si="2"/>
        <v>3.3333333333333338E-4</v>
      </c>
      <c r="O19" s="52">
        <f t="shared" si="2"/>
        <v>3.3333333333333338E-4</v>
      </c>
      <c r="P19" s="75"/>
      <c r="Q19" s="53">
        <v>354.05</v>
      </c>
      <c r="R19" s="53">
        <v>354.05</v>
      </c>
      <c r="S19" s="53">
        <f>S$18+$B19</f>
        <v>16.411666666666665</v>
      </c>
      <c r="T19" s="53">
        <f>T$18+$C19</f>
        <v>16.411666666666665</v>
      </c>
      <c r="U19" s="53">
        <f>U$18+U$18*$D19/100</f>
        <v>1094.6199333333334</v>
      </c>
      <c r="V19" s="53">
        <f>V$18+V$18*E19/100</f>
        <v>1094.6564000000001</v>
      </c>
      <c r="W19" s="53">
        <f>W$18+W$18*$F19/100</f>
        <v>74.10987999999999</v>
      </c>
      <c r="X19" s="53">
        <f>X$18+X$18*$G19/100</f>
        <v>74.10987999999999</v>
      </c>
      <c r="Y19" s="53">
        <f>Y$18+$H19</f>
        <v>19.316833333333335</v>
      </c>
      <c r="Z19" s="53">
        <f>Z$18+$I19</f>
        <v>19.317499999999999</v>
      </c>
      <c r="AA19" s="53">
        <f>AA$18+$J19</f>
        <v>35.500833333333333</v>
      </c>
      <c r="AB19" s="53">
        <f>AB$18+$K19</f>
        <v>35.500833333333333</v>
      </c>
      <c r="AC19" s="53">
        <f>AC$18+$L19</f>
        <v>21.515833333333333</v>
      </c>
      <c r="AD19" s="53">
        <f>AD$18+$M19</f>
        <v>21.516333333333332</v>
      </c>
      <c r="AE19" s="53">
        <f>AE$18+$N19</f>
        <v>35.50033333333333</v>
      </c>
      <c r="AF19" s="53">
        <f>AF$18+$O19</f>
        <v>35.50033333333333</v>
      </c>
    </row>
    <row r="20" spans="1:88">
      <c r="A20" s="51">
        <v>1992</v>
      </c>
      <c r="B20" s="52">
        <f t="shared" si="2"/>
        <v>2.3333333333333331E-2</v>
      </c>
      <c r="C20" s="52">
        <f t="shared" si="2"/>
        <v>2.3333333333333331E-2</v>
      </c>
      <c r="D20" s="52">
        <f t="shared" si="2"/>
        <v>0.11333333333333333</v>
      </c>
      <c r="E20" s="52">
        <f t="shared" si="2"/>
        <v>0.12</v>
      </c>
      <c r="F20" s="52">
        <f t="shared" si="2"/>
        <v>2.6666666666666665E-2</v>
      </c>
      <c r="G20" s="52">
        <f t="shared" si="2"/>
        <v>2.6666666666666665E-2</v>
      </c>
      <c r="H20" s="52">
        <f t="shared" si="2"/>
        <v>3.3666666666666664E-2</v>
      </c>
      <c r="I20" s="52">
        <f t="shared" si="2"/>
        <v>3.5000000000000003E-2</v>
      </c>
      <c r="J20" s="52">
        <f t="shared" si="2"/>
        <v>1.6666666666666666E-3</v>
      </c>
      <c r="K20" s="52">
        <f t="shared" si="2"/>
        <v>1.6666666666666666E-3</v>
      </c>
      <c r="L20" s="52">
        <f t="shared" si="2"/>
        <v>3.1666666666666662E-2</v>
      </c>
      <c r="M20" s="52">
        <f t="shared" si="2"/>
        <v>3.2666666666666663E-2</v>
      </c>
      <c r="N20" s="52">
        <f t="shared" si="2"/>
        <v>6.6666666666666675E-4</v>
      </c>
      <c r="O20" s="52">
        <f t="shared" si="2"/>
        <v>6.6666666666666675E-4</v>
      </c>
      <c r="P20" s="75"/>
      <c r="Q20" s="53">
        <v>355.6</v>
      </c>
      <c r="R20" s="53">
        <v>355.6</v>
      </c>
      <c r="S20" s="53">
        <f t="shared" ref="S20:S83" si="3">S$18+$B20</f>
        <v>16.423333333333332</v>
      </c>
      <c r="T20" s="53">
        <f t="shared" ref="T20:T83" si="4">T$18+$C20</f>
        <v>16.423333333333332</v>
      </c>
      <c r="U20" s="53">
        <f t="shared" ref="U20:U83" si="5">U$18+U$18*$D20/100</f>
        <v>1095.2398666666666</v>
      </c>
      <c r="V20" s="53">
        <f t="shared" ref="V20:V83" si="6">V$18+V$18*E20/100</f>
        <v>1095.3127999999999</v>
      </c>
      <c r="W20" s="53">
        <f t="shared" ref="W20:W83" si="7">W$18+W$18*$F20/100</f>
        <v>74.119759999999999</v>
      </c>
      <c r="X20" s="53">
        <f t="shared" ref="X20:X83" si="8">X$18+X$18*$G20/100</f>
        <v>74.119759999999999</v>
      </c>
      <c r="Y20" s="53">
        <f t="shared" ref="Y20:Y83" si="9">Y$18+$H20</f>
        <v>19.333666666666666</v>
      </c>
      <c r="Z20" s="53">
        <f t="shared" ref="Z20:Z83" si="10">Z$18+$I20</f>
        <v>19.335000000000001</v>
      </c>
      <c r="AA20" s="53">
        <f t="shared" ref="AA20:AA83" si="11">AA$18+$J20</f>
        <v>35.501666666666665</v>
      </c>
      <c r="AB20" s="53">
        <f t="shared" ref="AB20:AB83" si="12">AB$18+$K20</f>
        <v>35.501666666666665</v>
      </c>
      <c r="AC20" s="53">
        <f t="shared" ref="AC20:AC83" si="13">AC$18+$L20</f>
        <v>21.531666666666666</v>
      </c>
      <c r="AD20" s="53">
        <f t="shared" ref="AD20:AD83" si="14">AD$18+$M20</f>
        <v>21.532666666666668</v>
      </c>
      <c r="AE20" s="53">
        <f t="shared" ref="AE20:AE83" si="15">AE$18+$N20</f>
        <v>35.500666666666667</v>
      </c>
      <c r="AF20" s="53">
        <f t="shared" ref="AF20:AF83" si="16">AF$18+$O20</f>
        <v>35.500666666666667</v>
      </c>
    </row>
    <row r="21" spans="1:88">
      <c r="A21" s="51">
        <v>1993</v>
      </c>
      <c r="B21" s="52">
        <f t="shared" si="2"/>
        <v>3.4999999999999996E-2</v>
      </c>
      <c r="C21" s="52">
        <f t="shared" si="2"/>
        <v>3.4999999999999996E-2</v>
      </c>
      <c r="D21" s="52">
        <f t="shared" si="2"/>
        <v>0.16999999999999998</v>
      </c>
      <c r="E21" s="52">
        <f t="shared" si="2"/>
        <v>0.18</v>
      </c>
      <c r="F21" s="52">
        <f t="shared" si="2"/>
        <v>3.9999999999999994E-2</v>
      </c>
      <c r="G21" s="52">
        <f t="shared" si="2"/>
        <v>3.9999999999999994E-2</v>
      </c>
      <c r="H21" s="52">
        <f t="shared" si="2"/>
        <v>5.0499999999999996E-2</v>
      </c>
      <c r="I21" s="52">
        <f t="shared" si="2"/>
        <v>5.2500000000000005E-2</v>
      </c>
      <c r="J21" s="52">
        <f t="shared" si="2"/>
        <v>2.4999999999999996E-3</v>
      </c>
      <c r="K21" s="52">
        <f t="shared" si="2"/>
        <v>2.4999999999999996E-3</v>
      </c>
      <c r="L21" s="52">
        <f t="shared" si="2"/>
        <v>4.7499999999999994E-2</v>
      </c>
      <c r="M21" s="52">
        <f t="shared" si="2"/>
        <v>4.8999999999999995E-2</v>
      </c>
      <c r="N21" s="52">
        <f t="shared" si="2"/>
        <v>1E-3</v>
      </c>
      <c r="O21" s="52">
        <f t="shared" si="2"/>
        <v>1E-3</v>
      </c>
      <c r="P21" s="75"/>
      <c r="Q21" s="53">
        <v>357.15000000000003</v>
      </c>
      <c r="R21" s="53">
        <v>357.15000000000003</v>
      </c>
      <c r="S21" s="53">
        <f t="shared" si="3"/>
        <v>16.434999999999999</v>
      </c>
      <c r="T21" s="53">
        <f t="shared" si="4"/>
        <v>16.434999999999999</v>
      </c>
      <c r="U21" s="53">
        <f t="shared" si="5"/>
        <v>1095.8598</v>
      </c>
      <c r="V21" s="53">
        <f t="shared" si="6"/>
        <v>1095.9692</v>
      </c>
      <c r="W21" s="53">
        <f t="shared" si="7"/>
        <v>74.129639999999995</v>
      </c>
      <c r="X21" s="53">
        <f t="shared" si="8"/>
        <v>74.129639999999995</v>
      </c>
      <c r="Y21" s="53">
        <f t="shared" si="9"/>
        <v>19.3505</v>
      </c>
      <c r="Z21" s="53">
        <f t="shared" si="10"/>
        <v>19.352499999999999</v>
      </c>
      <c r="AA21" s="53">
        <f t="shared" si="11"/>
        <v>35.502499999999998</v>
      </c>
      <c r="AB21" s="53">
        <f t="shared" si="12"/>
        <v>35.502499999999998</v>
      </c>
      <c r="AC21" s="53">
        <f t="shared" si="13"/>
        <v>21.547499999999999</v>
      </c>
      <c r="AD21" s="53">
        <f t="shared" si="14"/>
        <v>21.548999999999999</v>
      </c>
      <c r="AE21" s="53">
        <f t="shared" si="15"/>
        <v>35.500999999999998</v>
      </c>
      <c r="AF21" s="53">
        <f t="shared" si="16"/>
        <v>35.500999999999998</v>
      </c>
    </row>
    <row r="22" spans="1:88">
      <c r="A22" s="51">
        <v>1994</v>
      </c>
      <c r="B22" s="52">
        <f t="shared" si="2"/>
        <v>4.6666666666666662E-2</v>
      </c>
      <c r="C22" s="52">
        <f t="shared" si="2"/>
        <v>4.6666666666666662E-2</v>
      </c>
      <c r="D22" s="52">
        <f t="shared" si="2"/>
        <v>0.22666666666666666</v>
      </c>
      <c r="E22" s="52">
        <f t="shared" si="2"/>
        <v>0.24</v>
      </c>
      <c r="F22" s="52">
        <f t="shared" si="2"/>
        <v>5.333333333333333E-2</v>
      </c>
      <c r="G22" s="52">
        <f t="shared" si="2"/>
        <v>5.333333333333333E-2</v>
      </c>
      <c r="H22" s="52">
        <f t="shared" si="2"/>
        <v>6.7333333333333328E-2</v>
      </c>
      <c r="I22" s="52">
        <f t="shared" si="2"/>
        <v>7.0000000000000007E-2</v>
      </c>
      <c r="J22" s="52">
        <f t="shared" si="2"/>
        <v>3.3333333333333331E-3</v>
      </c>
      <c r="K22" s="52">
        <f t="shared" si="2"/>
        <v>3.3333333333333331E-3</v>
      </c>
      <c r="L22" s="52">
        <f t="shared" si="2"/>
        <v>6.3333333333333325E-2</v>
      </c>
      <c r="M22" s="52">
        <f t="shared" si="2"/>
        <v>6.5333333333333327E-2</v>
      </c>
      <c r="N22" s="52">
        <f t="shared" si="2"/>
        <v>1.3333333333333335E-3</v>
      </c>
      <c r="O22" s="52">
        <f t="shared" si="2"/>
        <v>1.3333333333333335E-3</v>
      </c>
      <c r="P22" s="75"/>
      <c r="Q22" s="53">
        <v>358.70000000000005</v>
      </c>
      <c r="R22" s="53">
        <v>358.70000000000005</v>
      </c>
      <c r="S22" s="53">
        <f t="shared" si="3"/>
        <v>16.446666666666665</v>
      </c>
      <c r="T22" s="53">
        <f t="shared" si="4"/>
        <v>16.446666666666665</v>
      </c>
      <c r="U22" s="53">
        <f t="shared" si="5"/>
        <v>1096.4797333333333</v>
      </c>
      <c r="V22" s="53">
        <f t="shared" si="6"/>
        <v>1096.6256000000001</v>
      </c>
      <c r="W22" s="53">
        <f t="shared" si="7"/>
        <v>74.13951999999999</v>
      </c>
      <c r="X22" s="53">
        <f t="shared" si="8"/>
        <v>74.13951999999999</v>
      </c>
      <c r="Y22" s="53">
        <f t="shared" si="9"/>
        <v>19.367333333333335</v>
      </c>
      <c r="Z22" s="53">
        <f t="shared" si="10"/>
        <v>19.37</v>
      </c>
      <c r="AA22" s="53">
        <f t="shared" si="11"/>
        <v>35.50333333333333</v>
      </c>
      <c r="AB22" s="53">
        <f t="shared" si="12"/>
        <v>35.50333333333333</v>
      </c>
      <c r="AC22" s="53">
        <f t="shared" si="13"/>
        <v>21.563333333333333</v>
      </c>
      <c r="AD22" s="53">
        <f t="shared" si="14"/>
        <v>21.565333333333335</v>
      </c>
      <c r="AE22" s="53">
        <f t="shared" si="15"/>
        <v>35.501333333333335</v>
      </c>
      <c r="AF22" s="53">
        <f t="shared" si="16"/>
        <v>35.501333333333335</v>
      </c>
    </row>
    <row r="23" spans="1:88">
      <c r="A23" s="51">
        <v>1995</v>
      </c>
      <c r="B23" s="52">
        <f t="shared" si="2"/>
        <v>5.8333333333333327E-2</v>
      </c>
      <c r="C23" s="52">
        <f t="shared" si="2"/>
        <v>5.8333333333333327E-2</v>
      </c>
      <c r="D23" s="52">
        <f t="shared" si="2"/>
        <v>0.28333333333333333</v>
      </c>
      <c r="E23" s="52">
        <f t="shared" si="2"/>
        <v>0.3</v>
      </c>
      <c r="F23" s="52">
        <f t="shared" si="2"/>
        <v>6.6666666666666666E-2</v>
      </c>
      <c r="G23" s="52">
        <f t="shared" si="2"/>
        <v>6.6666666666666666E-2</v>
      </c>
      <c r="H23" s="52">
        <f t="shared" si="2"/>
        <v>8.4166666666666667E-2</v>
      </c>
      <c r="I23" s="52">
        <f t="shared" si="2"/>
        <v>8.7500000000000008E-2</v>
      </c>
      <c r="J23" s="52">
        <f t="shared" si="2"/>
        <v>4.1666666666666666E-3</v>
      </c>
      <c r="K23" s="52">
        <f t="shared" si="2"/>
        <v>4.1666666666666666E-3</v>
      </c>
      <c r="L23" s="52">
        <f t="shared" si="2"/>
        <v>7.9166666666666663E-2</v>
      </c>
      <c r="M23" s="52">
        <f t="shared" si="2"/>
        <v>8.1666666666666665E-2</v>
      </c>
      <c r="N23" s="52">
        <f t="shared" si="2"/>
        <v>1.666666666666667E-3</v>
      </c>
      <c r="O23" s="52">
        <f t="shared" si="2"/>
        <v>1.666666666666667E-3</v>
      </c>
      <c r="P23" s="75"/>
      <c r="Q23" s="53">
        <v>360.25000000000006</v>
      </c>
      <c r="R23" s="53">
        <v>360.25000000000006</v>
      </c>
      <c r="S23" s="53">
        <f t="shared" si="3"/>
        <v>16.458333333333332</v>
      </c>
      <c r="T23" s="53">
        <f t="shared" si="4"/>
        <v>16.458333333333332</v>
      </c>
      <c r="U23" s="53">
        <f t="shared" si="5"/>
        <v>1097.0996666666667</v>
      </c>
      <c r="V23" s="53">
        <f t="shared" si="6"/>
        <v>1097.2819999999999</v>
      </c>
      <c r="W23" s="53">
        <f t="shared" si="7"/>
        <v>74.1494</v>
      </c>
      <c r="X23" s="53">
        <f t="shared" si="8"/>
        <v>74.1494</v>
      </c>
      <c r="Y23" s="53">
        <f t="shared" si="9"/>
        <v>19.384166666666669</v>
      </c>
      <c r="Z23" s="53">
        <f t="shared" si="10"/>
        <v>19.387499999999999</v>
      </c>
      <c r="AA23" s="53">
        <f t="shared" si="11"/>
        <v>35.50416666666667</v>
      </c>
      <c r="AB23" s="53">
        <f t="shared" si="12"/>
        <v>35.50416666666667</v>
      </c>
      <c r="AC23" s="53">
        <f t="shared" si="13"/>
        <v>21.579166666666666</v>
      </c>
      <c r="AD23" s="53">
        <f t="shared" si="14"/>
        <v>21.581666666666667</v>
      </c>
      <c r="AE23" s="53">
        <f t="shared" si="15"/>
        <v>35.501666666666665</v>
      </c>
      <c r="AF23" s="53">
        <f t="shared" si="16"/>
        <v>35.501666666666665</v>
      </c>
    </row>
    <row r="24" spans="1:88">
      <c r="A24" s="51">
        <v>1996</v>
      </c>
      <c r="B24" s="52">
        <f t="shared" si="2"/>
        <v>6.9999999999999993E-2</v>
      </c>
      <c r="C24" s="52">
        <f t="shared" si="2"/>
        <v>6.9999999999999993E-2</v>
      </c>
      <c r="D24" s="52">
        <f t="shared" si="2"/>
        <v>0.33999999999999997</v>
      </c>
      <c r="E24" s="52">
        <f t="shared" si="2"/>
        <v>0.36</v>
      </c>
      <c r="F24" s="52">
        <f t="shared" si="2"/>
        <v>0.08</v>
      </c>
      <c r="G24" s="52">
        <f t="shared" si="2"/>
        <v>0.08</v>
      </c>
      <c r="H24" s="52">
        <f t="shared" si="2"/>
        <v>0.10100000000000001</v>
      </c>
      <c r="I24" s="52">
        <f t="shared" si="2"/>
        <v>0.10500000000000001</v>
      </c>
      <c r="J24" s="52">
        <f t="shared" si="2"/>
        <v>5.0000000000000001E-3</v>
      </c>
      <c r="K24" s="52">
        <f t="shared" si="2"/>
        <v>5.0000000000000001E-3</v>
      </c>
      <c r="L24" s="52">
        <f t="shared" si="2"/>
        <v>9.5000000000000001E-2</v>
      </c>
      <c r="M24" s="52">
        <f t="shared" si="2"/>
        <v>9.8000000000000004E-2</v>
      </c>
      <c r="N24" s="52">
        <f t="shared" si="2"/>
        <v>2.0000000000000005E-3</v>
      </c>
      <c r="O24" s="52">
        <f t="shared" si="2"/>
        <v>2.0000000000000005E-3</v>
      </c>
      <c r="P24" s="75"/>
      <c r="Q24" s="53">
        <v>361.80000000000007</v>
      </c>
      <c r="R24" s="53">
        <v>361.80000000000007</v>
      </c>
      <c r="S24" s="53">
        <f t="shared" si="3"/>
        <v>16.47</v>
      </c>
      <c r="T24" s="53">
        <f t="shared" si="4"/>
        <v>16.47</v>
      </c>
      <c r="U24" s="53">
        <f t="shared" si="5"/>
        <v>1097.7195999999999</v>
      </c>
      <c r="V24" s="53">
        <f t="shared" si="6"/>
        <v>1097.9384</v>
      </c>
      <c r="W24" s="53">
        <f t="shared" si="7"/>
        <v>74.159279999999995</v>
      </c>
      <c r="X24" s="53">
        <f t="shared" si="8"/>
        <v>74.159279999999995</v>
      </c>
      <c r="Y24" s="53">
        <f t="shared" si="9"/>
        <v>19.401</v>
      </c>
      <c r="Z24" s="53">
        <f t="shared" si="10"/>
        <v>19.405000000000001</v>
      </c>
      <c r="AA24" s="53">
        <f t="shared" si="11"/>
        <v>35.505000000000003</v>
      </c>
      <c r="AB24" s="53">
        <f t="shared" si="12"/>
        <v>35.505000000000003</v>
      </c>
      <c r="AC24" s="53">
        <f t="shared" si="13"/>
        <v>21.594999999999999</v>
      </c>
      <c r="AD24" s="53">
        <f t="shared" si="14"/>
        <v>21.597999999999999</v>
      </c>
      <c r="AE24" s="53">
        <f t="shared" si="15"/>
        <v>35.502000000000002</v>
      </c>
      <c r="AF24" s="53">
        <f t="shared" si="16"/>
        <v>35.502000000000002</v>
      </c>
    </row>
    <row r="25" spans="1:88">
      <c r="A25" s="51">
        <v>1997</v>
      </c>
      <c r="B25" s="52">
        <f t="shared" si="2"/>
        <v>8.1666666666666665E-2</v>
      </c>
      <c r="C25" s="52">
        <f t="shared" si="2"/>
        <v>8.1666666666666665E-2</v>
      </c>
      <c r="D25" s="52">
        <f t="shared" si="2"/>
        <v>0.39666666666666661</v>
      </c>
      <c r="E25" s="52">
        <f t="shared" si="2"/>
        <v>0.42</v>
      </c>
      <c r="F25" s="52">
        <f t="shared" si="2"/>
        <v>9.3333333333333338E-2</v>
      </c>
      <c r="G25" s="52">
        <f t="shared" si="2"/>
        <v>9.3333333333333338E-2</v>
      </c>
      <c r="H25" s="52">
        <f t="shared" si="2"/>
        <v>0.11783333333333335</v>
      </c>
      <c r="I25" s="52">
        <f t="shared" si="2"/>
        <v>0.12250000000000001</v>
      </c>
      <c r="J25" s="52">
        <f t="shared" si="2"/>
        <v>5.8333333333333336E-3</v>
      </c>
      <c r="K25" s="52">
        <f t="shared" si="2"/>
        <v>5.8333333333333336E-3</v>
      </c>
      <c r="L25" s="52">
        <f t="shared" si="2"/>
        <v>0.11083333333333334</v>
      </c>
      <c r="M25" s="52">
        <f t="shared" si="2"/>
        <v>0.11433333333333334</v>
      </c>
      <c r="N25" s="52">
        <f t="shared" si="2"/>
        <v>2.333333333333334E-3</v>
      </c>
      <c r="O25" s="52">
        <f t="shared" si="2"/>
        <v>2.333333333333334E-3</v>
      </c>
      <c r="P25" s="75"/>
      <c r="Q25" s="53">
        <v>363.35000000000008</v>
      </c>
      <c r="R25" s="53">
        <v>363.35000000000008</v>
      </c>
      <c r="S25" s="53">
        <f t="shared" si="3"/>
        <v>16.481666666666666</v>
      </c>
      <c r="T25" s="53">
        <f t="shared" si="4"/>
        <v>16.481666666666666</v>
      </c>
      <c r="U25" s="53">
        <f t="shared" si="5"/>
        <v>1098.3395333333333</v>
      </c>
      <c r="V25" s="53">
        <f t="shared" si="6"/>
        <v>1098.5948000000001</v>
      </c>
      <c r="W25" s="53">
        <f t="shared" si="7"/>
        <v>74.169159999999991</v>
      </c>
      <c r="X25" s="53">
        <f t="shared" si="8"/>
        <v>74.169159999999991</v>
      </c>
      <c r="Y25" s="53">
        <f t="shared" si="9"/>
        <v>19.417833333333334</v>
      </c>
      <c r="Z25" s="53">
        <f t="shared" si="10"/>
        <v>19.422499999999999</v>
      </c>
      <c r="AA25" s="53">
        <f t="shared" si="11"/>
        <v>35.505833333333335</v>
      </c>
      <c r="AB25" s="53">
        <f t="shared" si="12"/>
        <v>35.505833333333335</v>
      </c>
      <c r="AC25" s="53">
        <f t="shared" si="13"/>
        <v>21.610833333333332</v>
      </c>
      <c r="AD25" s="53">
        <f t="shared" si="14"/>
        <v>21.614333333333335</v>
      </c>
      <c r="AE25" s="53">
        <f t="shared" si="15"/>
        <v>35.502333333333333</v>
      </c>
      <c r="AF25" s="53">
        <f t="shared" si="16"/>
        <v>35.502333333333333</v>
      </c>
    </row>
    <row r="26" spans="1:88">
      <c r="A26" s="51">
        <v>1998</v>
      </c>
      <c r="B26" s="52">
        <f t="shared" si="2"/>
        <v>9.3333333333333324E-2</v>
      </c>
      <c r="C26" s="52">
        <f t="shared" si="2"/>
        <v>9.3333333333333324E-2</v>
      </c>
      <c r="D26" s="52">
        <f t="shared" si="2"/>
        <v>0.45333333333333325</v>
      </c>
      <c r="E26" s="52">
        <f t="shared" si="2"/>
        <v>0.48</v>
      </c>
      <c r="F26" s="52">
        <f t="shared" si="2"/>
        <v>0.10666666666666667</v>
      </c>
      <c r="G26" s="52">
        <f t="shared" si="2"/>
        <v>0.10666666666666667</v>
      </c>
      <c r="H26" s="52">
        <f t="shared" si="2"/>
        <v>0.13466666666666668</v>
      </c>
      <c r="I26" s="52">
        <f t="shared" si="2"/>
        <v>0.14000000000000001</v>
      </c>
      <c r="J26" s="52">
        <f t="shared" si="2"/>
        <v>6.6666666666666671E-3</v>
      </c>
      <c r="K26" s="52">
        <f t="shared" si="2"/>
        <v>6.6666666666666671E-3</v>
      </c>
      <c r="L26" s="52">
        <f t="shared" si="2"/>
        <v>0.12666666666666668</v>
      </c>
      <c r="M26" s="52">
        <f t="shared" si="2"/>
        <v>0.13066666666666668</v>
      </c>
      <c r="N26" s="52">
        <f t="shared" si="2"/>
        <v>2.6666666666666674E-3</v>
      </c>
      <c r="O26" s="52">
        <f t="shared" si="2"/>
        <v>2.6666666666666674E-3</v>
      </c>
      <c r="P26" s="75"/>
      <c r="Q26" s="53">
        <v>364.90000000000009</v>
      </c>
      <c r="R26" s="53">
        <v>364.90000000000009</v>
      </c>
      <c r="S26" s="53">
        <f t="shared" si="3"/>
        <v>16.493333333333332</v>
      </c>
      <c r="T26" s="53">
        <f t="shared" si="4"/>
        <v>16.493333333333332</v>
      </c>
      <c r="U26" s="53">
        <f t="shared" si="5"/>
        <v>1098.9594666666667</v>
      </c>
      <c r="V26" s="53">
        <f t="shared" si="6"/>
        <v>1099.2511999999999</v>
      </c>
      <c r="W26" s="53">
        <f t="shared" si="7"/>
        <v>74.179040000000001</v>
      </c>
      <c r="X26" s="53">
        <f t="shared" si="8"/>
        <v>74.179040000000001</v>
      </c>
      <c r="Y26" s="53">
        <f t="shared" si="9"/>
        <v>19.434666666666669</v>
      </c>
      <c r="Z26" s="53">
        <f t="shared" si="10"/>
        <v>19.440000000000001</v>
      </c>
      <c r="AA26" s="53">
        <f t="shared" si="11"/>
        <v>35.506666666666668</v>
      </c>
      <c r="AB26" s="53">
        <f t="shared" si="12"/>
        <v>35.506666666666668</v>
      </c>
      <c r="AC26" s="53">
        <f t="shared" si="13"/>
        <v>21.626666666666665</v>
      </c>
      <c r="AD26" s="53">
        <f t="shared" si="14"/>
        <v>21.630666666666666</v>
      </c>
      <c r="AE26" s="53">
        <f t="shared" si="15"/>
        <v>35.50266666666667</v>
      </c>
      <c r="AF26" s="53">
        <f t="shared" si="16"/>
        <v>35.50266666666667</v>
      </c>
      <c r="CE26" s="69" t="s">
        <v>91</v>
      </c>
      <c r="CH26" s="69" t="s">
        <v>133</v>
      </c>
    </row>
    <row r="27" spans="1:88">
      <c r="A27" s="48">
        <v>1999</v>
      </c>
      <c r="B27" s="49">
        <f t="shared" si="2"/>
        <v>0.10499999999999998</v>
      </c>
      <c r="C27" s="49">
        <f t="shared" si="2"/>
        <v>0.10499999999999998</v>
      </c>
      <c r="D27" s="49">
        <f t="shared" si="2"/>
        <v>0.5099999999999999</v>
      </c>
      <c r="E27" s="49">
        <f t="shared" si="2"/>
        <v>0.54</v>
      </c>
      <c r="F27" s="49">
        <f t="shared" si="2"/>
        <v>0.12000000000000001</v>
      </c>
      <c r="G27" s="49">
        <f t="shared" si="2"/>
        <v>0.12000000000000001</v>
      </c>
      <c r="H27" s="49">
        <f t="shared" si="2"/>
        <v>0.15150000000000002</v>
      </c>
      <c r="I27" s="49">
        <f t="shared" si="2"/>
        <v>0.15750000000000003</v>
      </c>
      <c r="J27" s="49">
        <f t="shared" si="2"/>
        <v>7.5000000000000006E-3</v>
      </c>
      <c r="K27" s="49">
        <f t="shared" si="2"/>
        <v>7.5000000000000006E-3</v>
      </c>
      <c r="L27" s="49">
        <f t="shared" si="2"/>
        <v>0.14250000000000002</v>
      </c>
      <c r="M27" s="49">
        <f t="shared" si="2"/>
        <v>0.14700000000000002</v>
      </c>
      <c r="N27" s="49">
        <f t="shared" si="2"/>
        <v>3.0000000000000009E-3</v>
      </c>
      <c r="O27" s="49">
        <f t="shared" si="2"/>
        <v>3.0000000000000009E-3</v>
      </c>
      <c r="P27" s="76"/>
      <c r="Q27" s="50">
        <v>366.4500000000001</v>
      </c>
      <c r="R27" s="50">
        <v>366.4500000000001</v>
      </c>
      <c r="S27" s="50">
        <f t="shared" si="3"/>
        <v>16.504999999999999</v>
      </c>
      <c r="T27" s="50">
        <f t="shared" si="4"/>
        <v>16.504999999999999</v>
      </c>
      <c r="U27" s="50">
        <f t="shared" si="5"/>
        <v>1099.5794000000001</v>
      </c>
      <c r="V27" s="50">
        <f t="shared" si="6"/>
        <v>1099.9076</v>
      </c>
      <c r="W27" s="50">
        <f t="shared" si="7"/>
        <v>74.188919999999996</v>
      </c>
      <c r="X27" s="50">
        <f t="shared" si="8"/>
        <v>74.188919999999996</v>
      </c>
      <c r="Y27" s="50">
        <f t="shared" si="9"/>
        <v>19.451499999999999</v>
      </c>
      <c r="Z27" s="50">
        <f t="shared" si="10"/>
        <v>19.4575</v>
      </c>
      <c r="AA27" s="50">
        <f t="shared" si="11"/>
        <v>35.5075</v>
      </c>
      <c r="AB27" s="50">
        <f t="shared" si="12"/>
        <v>35.5075</v>
      </c>
      <c r="AC27" s="50">
        <f t="shared" si="13"/>
        <v>21.642499999999998</v>
      </c>
      <c r="AD27" s="50">
        <f t="shared" si="14"/>
        <v>21.646999999999998</v>
      </c>
      <c r="AE27" s="50">
        <f t="shared" si="15"/>
        <v>35.503</v>
      </c>
      <c r="AF27" s="50">
        <f t="shared" si="16"/>
        <v>35.503</v>
      </c>
      <c r="CE27" s="69" t="s">
        <v>148</v>
      </c>
      <c r="CF27" s="69" t="s">
        <v>149</v>
      </c>
      <c r="CG27" s="69" t="s">
        <v>150</v>
      </c>
      <c r="CH27" s="69" t="s">
        <v>148</v>
      </c>
      <c r="CI27" s="69" t="s">
        <v>149</v>
      </c>
      <c r="CJ27" s="69" t="s">
        <v>150</v>
      </c>
    </row>
    <row r="28" spans="1:88">
      <c r="A28" s="51">
        <v>2000</v>
      </c>
      <c r="B28" s="52">
        <f t="shared" si="2"/>
        <v>0.11666666666666664</v>
      </c>
      <c r="C28" s="52">
        <f t="shared" si="2"/>
        <v>0.11666666666666664</v>
      </c>
      <c r="D28" s="52">
        <f t="shared" si="2"/>
        <v>0.56666666666666654</v>
      </c>
      <c r="E28" s="52">
        <f t="shared" si="2"/>
        <v>0.60000000000000009</v>
      </c>
      <c r="F28" s="52">
        <f t="shared" si="2"/>
        <v>0.13333333333333333</v>
      </c>
      <c r="G28" s="52">
        <f t="shared" si="2"/>
        <v>0.13333333333333333</v>
      </c>
      <c r="H28" s="52">
        <f t="shared" si="2"/>
        <v>0.16833333333333336</v>
      </c>
      <c r="I28" s="52">
        <f t="shared" si="2"/>
        <v>0.17500000000000004</v>
      </c>
      <c r="J28" s="52">
        <f t="shared" si="2"/>
        <v>8.3333333333333332E-3</v>
      </c>
      <c r="K28" s="52">
        <f t="shared" si="2"/>
        <v>8.3333333333333332E-3</v>
      </c>
      <c r="L28" s="52">
        <f t="shared" si="2"/>
        <v>0.15833333333333335</v>
      </c>
      <c r="M28" s="52">
        <f t="shared" si="2"/>
        <v>0.16333333333333336</v>
      </c>
      <c r="N28" s="52">
        <f t="shared" si="2"/>
        <v>3.3333333333333344E-3</v>
      </c>
      <c r="O28" s="52">
        <f t="shared" si="2"/>
        <v>3.3333333333333344E-3</v>
      </c>
      <c r="Q28" s="53">
        <v>368</v>
      </c>
      <c r="R28" s="53">
        <v>368</v>
      </c>
      <c r="S28" s="53">
        <f t="shared" si="3"/>
        <v>16.516666666666666</v>
      </c>
      <c r="T28" s="53">
        <f t="shared" si="4"/>
        <v>16.516666666666666</v>
      </c>
      <c r="U28" s="36">
        <f t="shared" si="5"/>
        <v>1100.1993333333332</v>
      </c>
      <c r="V28" s="36">
        <f t="shared" si="6"/>
        <v>1100.5640000000001</v>
      </c>
      <c r="W28" s="53">
        <f t="shared" si="7"/>
        <v>74.198799999999991</v>
      </c>
      <c r="X28" s="53">
        <f t="shared" si="8"/>
        <v>74.198799999999991</v>
      </c>
      <c r="Y28" s="36">
        <f t="shared" si="9"/>
        <v>19.468333333333334</v>
      </c>
      <c r="Z28" s="36">
        <f t="shared" si="10"/>
        <v>19.475000000000001</v>
      </c>
      <c r="AA28" s="53">
        <f t="shared" si="11"/>
        <v>35.508333333333333</v>
      </c>
      <c r="AB28" s="53">
        <f t="shared" si="12"/>
        <v>35.508333333333333</v>
      </c>
      <c r="AC28" s="36">
        <f t="shared" si="13"/>
        <v>21.658333333333335</v>
      </c>
      <c r="AD28" s="36">
        <f t="shared" si="14"/>
        <v>21.663333333333334</v>
      </c>
      <c r="AE28" s="53">
        <f t="shared" si="15"/>
        <v>35.50333333333333</v>
      </c>
      <c r="AF28" s="53">
        <f t="shared" si="16"/>
        <v>35.50333333333333</v>
      </c>
      <c r="CD28" s="69">
        <v>2000</v>
      </c>
      <c r="CE28" s="54">
        <f t="shared" ref="CE28:CE91" si="17">S28</f>
        <v>16.516666666666666</v>
      </c>
      <c r="CF28" s="54">
        <f t="shared" ref="CF28:CF91" si="18">W28</f>
        <v>74.198799999999991</v>
      </c>
      <c r="CG28" s="69">
        <f t="shared" ref="CG28:CG91" si="19">Q28</f>
        <v>368</v>
      </c>
      <c r="CH28" s="54">
        <f t="shared" ref="CH28:CH91" si="20">T28</f>
        <v>16.516666666666666</v>
      </c>
      <c r="CI28" s="54">
        <f>X28</f>
        <v>74.198799999999991</v>
      </c>
      <c r="CJ28" s="69">
        <f t="shared" ref="CJ28:CJ91" si="21">R28</f>
        <v>368</v>
      </c>
    </row>
    <row r="29" spans="1:88">
      <c r="A29" s="35">
        <v>2001</v>
      </c>
      <c r="B29" s="47">
        <f t="shared" si="2"/>
        <v>0.1283333333333333</v>
      </c>
      <c r="C29" s="47">
        <f t="shared" si="2"/>
        <v>0.1283333333333333</v>
      </c>
      <c r="D29" s="47">
        <f t="shared" si="2"/>
        <v>0.62333333333333318</v>
      </c>
      <c r="E29" s="47">
        <f t="shared" si="2"/>
        <v>0.66000000000000014</v>
      </c>
      <c r="F29" s="47">
        <f t="shared" si="2"/>
        <v>0.14666666666666667</v>
      </c>
      <c r="G29" s="47">
        <f t="shared" si="2"/>
        <v>0.14666666666666667</v>
      </c>
      <c r="H29" s="47">
        <f t="shared" si="2"/>
        <v>0.1851666666666667</v>
      </c>
      <c r="I29" s="47">
        <f t="shared" si="2"/>
        <v>0.19250000000000006</v>
      </c>
      <c r="J29" s="47">
        <f t="shared" si="2"/>
        <v>9.1666666666666667E-3</v>
      </c>
      <c r="K29" s="47">
        <f t="shared" si="2"/>
        <v>9.1666666666666667E-3</v>
      </c>
      <c r="L29" s="47">
        <f t="shared" si="2"/>
        <v>0.17416666666666669</v>
      </c>
      <c r="M29" s="47">
        <f t="shared" si="2"/>
        <v>0.1796666666666667</v>
      </c>
      <c r="N29" s="47">
        <f t="shared" si="2"/>
        <v>3.6666666666666679E-3</v>
      </c>
      <c r="O29" s="47">
        <f t="shared" si="2"/>
        <v>3.6666666666666679E-3</v>
      </c>
      <c r="Q29" s="36">
        <v>369.95</v>
      </c>
      <c r="R29" s="36">
        <v>370.15</v>
      </c>
      <c r="S29" s="36">
        <f t="shared" si="3"/>
        <v>16.528333333333332</v>
      </c>
      <c r="T29" s="36">
        <f t="shared" si="4"/>
        <v>16.528333333333332</v>
      </c>
      <c r="U29" s="36">
        <f t="shared" si="5"/>
        <v>1100.8192666666666</v>
      </c>
      <c r="V29" s="36">
        <f t="shared" si="6"/>
        <v>1101.2203999999999</v>
      </c>
      <c r="W29" s="36">
        <f t="shared" si="7"/>
        <v>74.208680000000001</v>
      </c>
      <c r="X29" s="36">
        <f t="shared" si="8"/>
        <v>74.208680000000001</v>
      </c>
      <c r="Y29" s="36">
        <f t="shared" si="9"/>
        <v>19.485166666666668</v>
      </c>
      <c r="Z29" s="36">
        <f t="shared" si="10"/>
        <v>19.4925</v>
      </c>
      <c r="AA29" s="53">
        <f t="shared" si="11"/>
        <v>35.509166666666665</v>
      </c>
      <c r="AB29" s="53">
        <f t="shared" si="12"/>
        <v>35.509166666666665</v>
      </c>
      <c r="AC29" s="36">
        <f t="shared" si="13"/>
        <v>21.674166666666668</v>
      </c>
      <c r="AD29" s="36">
        <f t="shared" si="14"/>
        <v>21.679666666666666</v>
      </c>
      <c r="AE29" s="53">
        <f t="shared" si="15"/>
        <v>35.503666666666668</v>
      </c>
      <c r="AF29" s="53">
        <f t="shared" si="16"/>
        <v>35.503666666666668</v>
      </c>
      <c r="CD29" s="69">
        <v>2001</v>
      </c>
      <c r="CE29" s="54">
        <f t="shared" si="17"/>
        <v>16.528333333333332</v>
      </c>
      <c r="CF29" s="54">
        <f t="shared" si="18"/>
        <v>74.208680000000001</v>
      </c>
      <c r="CG29" s="69">
        <f t="shared" si="19"/>
        <v>369.95</v>
      </c>
      <c r="CH29" s="54">
        <f t="shared" si="20"/>
        <v>16.528333333333332</v>
      </c>
      <c r="CI29" s="54">
        <f t="shared" ref="CI29:CI92" si="22">X29</f>
        <v>74.208680000000001</v>
      </c>
      <c r="CJ29" s="69">
        <f t="shared" si="21"/>
        <v>370.15</v>
      </c>
    </row>
    <row r="30" spans="1:88">
      <c r="A30" s="35">
        <v>2002</v>
      </c>
      <c r="B30" s="47">
        <f t="shared" si="2"/>
        <v>0.13999999999999996</v>
      </c>
      <c r="C30" s="47">
        <f t="shared" si="2"/>
        <v>0.13999999999999996</v>
      </c>
      <c r="D30" s="47">
        <f t="shared" si="2"/>
        <v>0.67999999999999983</v>
      </c>
      <c r="E30" s="47">
        <f t="shared" si="2"/>
        <v>0.7200000000000002</v>
      </c>
      <c r="F30" s="47">
        <f t="shared" si="2"/>
        <v>0.16</v>
      </c>
      <c r="G30" s="47">
        <f t="shared" si="2"/>
        <v>0.16</v>
      </c>
      <c r="H30" s="47">
        <f t="shared" si="2"/>
        <v>0.20200000000000004</v>
      </c>
      <c r="I30" s="47">
        <f t="shared" si="2"/>
        <v>0.21000000000000008</v>
      </c>
      <c r="J30" s="47">
        <f t="shared" si="2"/>
        <v>0.01</v>
      </c>
      <c r="K30" s="47">
        <f t="shared" si="2"/>
        <v>0.01</v>
      </c>
      <c r="L30" s="47">
        <f t="shared" si="2"/>
        <v>0.19000000000000003</v>
      </c>
      <c r="M30" s="47">
        <f t="shared" si="2"/>
        <v>0.19600000000000004</v>
      </c>
      <c r="N30" s="47">
        <f t="shared" si="2"/>
        <v>4.000000000000001E-3</v>
      </c>
      <c r="O30" s="47">
        <f t="shared" si="2"/>
        <v>4.000000000000001E-3</v>
      </c>
      <c r="Q30" s="36">
        <v>371.9</v>
      </c>
      <c r="R30" s="36">
        <v>372.29999999999995</v>
      </c>
      <c r="S30" s="36">
        <f t="shared" si="3"/>
        <v>16.54</v>
      </c>
      <c r="T30" s="36">
        <f t="shared" si="4"/>
        <v>16.54</v>
      </c>
      <c r="U30" s="36">
        <f t="shared" si="5"/>
        <v>1101.4392</v>
      </c>
      <c r="V30" s="36">
        <f t="shared" si="6"/>
        <v>1101.8768</v>
      </c>
      <c r="W30" s="36">
        <f t="shared" si="7"/>
        <v>74.218559999999997</v>
      </c>
      <c r="X30" s="36">
        <f t="shared" si="8"/>
        <v>74.218559999999997</v>
      </c>
      <c r="Y30" s="36">
        <f t="shared" si="9"/>
        <v>19.502000000000002</v>
      </c>
      <c r="Z30" s="36">
        <f t="shared" si="10"/>
        <v>19.510000000000002</v>
      </c>
      <c r="AA30" s="53">
        <f t="shared" si="11"/>
        <v>35.51</v>
      </c>
      <c r="AB30" s="53">
        <f t="shared" si="12"/>
        <v>35.51</v>
      </c>
      <c r="AC30" s="36">
        <f t="shared" si="13"/>
        <v>21.69</v>
      </c>
      <c r="AD30" s="36">
        <f t="shared" si="14"/>
        <v>21.696000000000002</v>
      </c>
      <c r="AE30" s="53">
        <f t="shared" si="15"/>
        <v>35.503999999999998</v>
      </c>
      <c r="AF30" s="53">
        <f t="shared" si="16"/>
        <v>35.503999999999998</v>
      </c>
      <c r="CD30" s="69">
        <v>2002</v>
      </c>
      <c r="CE30" s="54">
        <f t="shared" si="17"/>
        <v>16.54</v>
      </c>
      <c r="CF30" s="54">
        <f t="shared" si="18"/>
        <v>74.218559999999997</v>
      </c>
      <c r="CG30" s="69">
        <f t="shared" si="19"/>
        <v>371.9</v>
      </c>
      <c r="CH30" s="54">
        <f t="shared" si="20"/>
        <v>16.54</v>
      </c>
      <c r="CI30" s="54">
        <f t="shared" si="22"/>
        <v>74.218559999999997</v>
      </c>
      <c r="CJ30" s="69">
        <f t="shared" si="21"/>
        <v>372.29999999999995</v>
      </c>
    </row>
    <row r="31" spans="1:88">
      <c r="A31" s="35">
        <v>2003</v>
      </c>
      <c r="B31" s="47">
        <f t="shared" si="2"/>
        <v>0.15166666666666662</v>
      </c>
      <c r="C31" s="47">
        <f t="shared" si="2"/>
        <v>0.15166666666666662</v>
      </c>
      <c r="D31" s="47">
        <f t="shared" si="2"/>
        <v>0.73666666666666647</v>
      </c>
      <c r="E31" s="47">
        <f t="shared" si="2"/>
        <v>0.78000000000000025</v>
      </c>
      <c r="F31" s="47">
        <f t="shared" si="2"/>
        <v>0.17333333333333334</v>
      </c>
      <c r="G31" s="47">
        <f t="shared" si="2"/>
        <v>0.17333333333333334</v>
      </c>
      <c r="H31" s="47">
        <f t="shared" si="2"/>
        <v>0.21883333333333338</v>
      </c>
      <c r="I31" s="47">
        <f t="shared" si="2"/>
        <v>0.22750000000000009</v>
      </c>
      <c r="J31" s="47">
        <f t="shared" si="2"/>
        <v>1.0833333333333334E-2</v>
      </c>
      <c r="K31" s="47">
        <f t="shared" si="2"/>
        <v>1.0833333333333334E-2</v>
      </c>
      <c r="L31" s="47">
        <f t="shared" si="2"/>
        <v>0.20583333333333337</v>
      </c>
      <c r="M31" s="47">
        <f t="shared" si="2"/>
        <v>0.21233333333333337</v>
      </c>
      <c r="N31" s="47">
        <f t="shared" si="2"/>
        <v>4.333333333333334E-3</v>
      </c>
      <c r="O31" s="47">
        <f t="shared" si="2"/>
        <v>4.333333333333334E-3</v>
      </c>
      <c r="Q31" s="36">
        <v>373.84999999999997</v>
      </c>
      <c r="R31" s="36">
        <v>374.44999999999993</v>
      </c>
      <c r="S31" s="36">
        <f t="shared" si="3"/>
        <v>16.551666666666666</v>
      </c>
      <c r="T31" s="36">
        <f t="shared" si="4"/>
        <v>16.551666666666666</v>
      </c>
      <c r="U31" s="36">
        <f t="shared" si="5"/>
        <v>1102.0591333333334</v>
      </c>
      <c r="V31" s="36">
        <f t="shared" si="6"/>
        <v>1102.5332000000001</v>
      </c>
      <c r="W31" s="36">
        <f t="shared" si="7"/>
        <v>74.228439999999992</v>
      </c>
      <c r="X31" s="36">
        <f t="shared" si="8"/>
        <v>74.228439999999992</v>
      </c>
      <c r="Y31" s="36">
        <f t="shared" si="9"/>
        <v>19.518833333333333</v>
      </c>
      <c r="Z31" s="36">
        <f t="shared" si="10"/>
        <v>19.5275</v>
      </c>
      <c r="AA31" s="53">
        <f t="shared" si="11"/>
        <v>35.510833333333331</v>
      </c>
      <c r="AB31" s="53">
        <f t="shared" si="12"/>
        <v>35.510833333333331</v>
      </c>
      <c r="AC31" s="36">
        <f t="shared" si="13"/>
        <v>21.705833333333334</v>
      </c>
      <c r="AD31" s="36">
        <f t="shared" si="14"/>
        <v>21.712333333333333</v>
      </c>
      <c r="AE31" s="53">
        <f t="shared" si="15"/>
        <v>35.504333333333335</v>
      </c>
      <c r="AF31" s="53">
        <f t="shared" si="16"/>
        <v>35.504333333333335</v>
      </c>
      <c r="CD31" s="69">
        <v>2003</v>
      </c>
      <c r="CE31" s="54">
        <f t="shared" si="17"/>
        <v>16.551666666666666</v>
      </c>
      <c r="CF31" s="54">
        <f t="shared" si="18"/>
        <v>74.228439999999992</v>
      </c>
      <c r="CG31" s="69">
        <f t="shared" si="19"/>
        <v>373.84999999999997</v>
      </c>
      <c r="CH31" s="54">
        <f t="shared" si="20"/>
        <v>16.551666666666666</v>
      </c>
      <c r="CI31" s="54">
        <f t="shared" si="22"/>
        <v>74.228439999999992</v>
      </c>
      <c r="CJ31" s="69">
        <f t="shared" si="21"/>
        <v>374.44999999999993</v>
      </c>
    </row>
    <row r="32" spans="1:88">
      <c r="A32" s="35">
        <v>2004</v>
      </c>
      <c r="B32" s="47">
        <f t="shared" si="2"/>
        <v>0.16333333333333327</v>
      </c>
      <c r="C32" s="47">
        <f t="shared" si="2"/>
        <v>0.16333333333333327</v>
      </c>
      <c r="D32" s="47">
        <f t="shared" si="2"/>
        <v>0.79333333333333311</v>
      </c>
      <c r="E32" s="47">
        <f t="shared" si="2"/>
        <v>0.8400000000000003</v>
      </c>
      <c r="F32" s="47">
        <f t="shared" si="2"/>
        <v>0.18666666666666668</v>
      </c>
      <c r="G32" s="47">
        <f t="shared" si="2"/>
        <v>0.18666666666666668</v>
      </c>
      <c r="H32" s="47">
        <f t="shared" si="2"/>
        <v>0.23566666666666672</v>
      </c>
      <c r="I32" s="47">
        <f t="shared" si="2"/>
        <v>0.24500000000000011</v>
      </c>
      <c r="J32" s="47">
        <f t="shared" si="2"/>
        <v>1.1666666666666667E-2</v>
      </c>
      <c r="K32" s="47">
        <f t="shared" si="2"/>
        <v>1.1666666666666667E-2</v>
      </c>
      <c r="L32" s="47">
        <f t="shared" si="2"/>
        <v>0.22166666666666671</v>
      </c>
      <c r="M32" s="47">
        <f t="shared" si="2"/>
        <v>0.22866666666666671</v>
      </c>
      <c r="N32" s="47">
        <f t="shared" si="2"/>
        <v>4.6666666666666671E-3</v>
      </c>
      <c r="O32" s="47">
        <f t="shared" si="2"/>
        <v>4.6666666666666671E-3</v>
      </c>
      <c r="Q32" s="36">
        <v>375.79999999999995</v>
      </c>
      <c r="R32" s="36">
        <v>376.59999999999991</v>
      </c>
      <c r="S32" s="36">
        <f t="shared" si="3"/>
        <v>16.563333333333333</v>
      </c>
      <c r="T32" s="36">
        <f t="shared" si="4"/>
        <v>16.563333333333333</v>
      </c>
      <c r="U32" s="36">
        <f t="shared" si="5"/>
        <v>1102.6790666666666</v>
      </c>
      <c r="V32" s="36">
        <f t="shared" si="6"/>
        <v>1103.1895999999999</v>
      </c>
      <c r="W32" s="36">
        <f t="shared" si="7"/>
        <v>74.238319999999987</v>
      </c>
      <c r="X32" s="36">
        <f t="shared" si="8"/>
        <v>74.238319999999987</v>
      </c>
      <c r="Y32" s="36">
        <f t="shared" si="9"/>
        <v>19.535666666666668</v>
      </c>
      <c r="Z32" s="36">
        <f t="shared" si="10"/>
        <v>19.545000000000002</v>
      </c>
      <c r="AA32" s="53">
        <f t="shared" si="11"/>
        <v>35.511666666666663</v>
      </c>
      <c r="AB32" s="53">
        <f t="shared" si="12"/>
        <v>35.511666666666663</v>
      </c>
      <c r="AC32" s="36">
        <f t="shared" si="13"/>
        <v>21.721666666666668</v>
      </c>
      <c r="AD32" s="36">
        <f t="shared" si="14"/>
        <v>21.728666666666665</v>
      </c>
      <c r="AE32" s="53">
        <f t="shared" si="15"/>
        <v>35.504666666666665</v>
      </c>
      <c r="AF32" s="53">
        <f t="shared" si="16"/>
        <v>35.504666666666665</v>
      </c>
      <c r="CD32" s="69">
        <v>2004</v>
      </c>
      <c r="CE32" s="54">
        <f t="shared" si="17"/>
        <v>16.563333333333333</v>
      </c>
      <c r="CF32" s="54">
        <f t="shared" si="18"/>
        <v>74.238319999999987</v>
      </c>
      <c r="CG32" s="69">
        <f t="shared" si="19"/>
        <v>375.79999999999995</v>
      </c>
      <c r="CH32" s="54">
        <f t="shared" si="20"/>
        <v>16.563333333333333</v>
      </c>
      <c r="CI32" s="54">
        <f t="shared" si="22"/>
        <v>74.238319999999987</v>
      </c>
      <c r="CJ32" s="69">
        <f t="shared" si="21"/>
        <v>376.59999999999991</v>
      </c>
    </row>
    <row r="33" spans="1:95">
      <c r="A33" s="35">
        <v>2005</v>
      </c>
      <c r="B33" s="47">
        <f t="shared" si="2"/>
        <v>0.17499999999999993</v>
      </c>
      <c r="C33" s="47">
        <f t="shared" si="2"/>
        <v>0.17499999999999993</v>
      </c>
      <c r="D33" s="47">
        <f t="shared" si="2"/>
        <v>0.84999999999999976</v>
      </c>
      <c r="E33" s="47">
        <f t="shared" si="2"/>
        <v>0.90000000000000036</v>
      </c>
      <c r="F33" s="47">
        <f t="shared" si="2"/>
        <v>0.2</v>
      </c>
      <c r="G33" s="47">
        <f t="shared" si="2"/>
        <v>0.2</v>
      </c>
      <c r="H33" s="47">
        <f t="shared" si="2"/>
        <v>0.25250000000000006</v>
      </c>
      <c r="I33" s="47">
        <f t="shared" si="2"/>
        <v>0.26250000000000012</v>
      </c>
      <c r="J33" s="47">
        <f t="shared" si="2"/>
        <v>1.2500000000000001E-2</v>
      </c>
      <c r="K33" s="47">
        <f t="shared" si="2"/>
        <v>1.2500000000000001E-2</v>
      </c>
      <c r="L33" s="47">
        <f t="shared" si="2"/>
        <v>0.23750000000000004</v>
      </c>
      <c r="M33" s="47">
        <f t="shared" si="2"/>
        <v>0.24500000000000005</v>
      </c>
      <c r="N33" s="47">
        <f t="shared" si="2"/>
        <v>5.0000000000000001E-3</v>
      </c>
      <c r="O33" s="47">
        <f t="shared" si="2"/>
        <v>5.0000000000000001E-3</v>
      </c>
      <c r="Q33" s="36">
        <v>377.74999999999994</v>
      </c>
      <c r="R33" s="36">
        <v>378.74999999999989</v>
      </c>
      <c r="S33" s="36">
        <f t="shared" si="3"/>
        <v>16.574999999999999</v>
      </c>
      <c r="T33" s="36">
        <f t="shared" si="4"/>
        <v>16.574999999999999</v>
      </c>
      <c r="U33" s="36">
        <f t="shared" si="5"/>
        <v>1103.299</v>
      </c>
      <c r="V33" s="36">
        <f t="shared" si="6"/>
        <v>1103.846</v>
      </c>
      <c r="W33" s="36">
        <f t="shared" si="7"/>
        <v>74.248199999999997</v>
      </c>
      <c r="X33" s="36">
        <f t="shared" si="8"/>
        <v>74.248199999999997</v>
      </c>
      <c r="Y33" s="36">
        <f t="shared" si="9"/>
        <v>19.552500000000002</v>
      </c>
      <c r="Z33" s="36">
        <f t="shared" si="10"/>
        <v>19.5625</v>
      </c>
      <c r="AA33" s="53">
        <f t="shared" si="11"/>
        <v>35.512500000000003</v>
      </c>
      <c r="AB33" s="53">
        <f t="shared" si="12"/>
        <v>35.512500000000003</v>
      </c>
      <c r="AC33" s="36">
        <f t="shared" si="13"/>
        <v>21.737500000000001</v>
      </c>
      <c r="AD33" s="36">
        <f t="shared" si="14"/>
        <v>21.745000000000001</v>
      </c>
      <c r="AE33" s="53">
        <f t="shared" si="15"/>
        <v>35.505000000000003</v>
      </c>
      <c r="AF33" s="53">
        <f t="shared" si="16"/>
        <v>35.505000000000003</v>
      </c>
      <c r="CD33" s="69">
        <v>2005</v>
      </c>
      <c r="CE33" s="54">
        <f t="shared" si="17"/>
        <v>16.574999999999999</v>
      </c>
      <c r="CF33" s="54">
        <f t="shared" si="18"/>
        <v>74.248199999999997</v>
      </c>
      <c r="CG33" s="69">
        <f t="shared" si="19"/>
        <v>377.74999999999994</v>
      </c>
      <c r="CH33" s="54">
        <f t="shared" si="20"/>
        <v>16.574999999999999</v>
      </c>
      <c r="CI33" s="54">
        <f t="shared" si="22"/>
        <v>74.248199999999997</v>
      </c>
      <c r="CJ33" s="69">
        <f t="shared" si="21"/>
        <v>378.74999999999989</v>
      </c>
    </row>
    <row r="34" spans="1:95">
      <c r="A34" s="35">
        <v>2006</v>
      </c>
      <c r="B34" s="47">
        <f t="shared" si="2"/>
        <v>0.18666666666666659</v>
      </c>
      <c r="C34" s="47">
        <f t="shared" si="2"/>
        <v>0.18666666666666659</v>
      </c>
      <c r="D34" s="47">
        <f t="shared" si="2"/>
        <v>0.9066666666666664</v>
      </c>
      <c r="E34" s="47">
        <f t="shared" si="2"/>
        <v>0.96000000000000041</v>
      </c>
      <c r="F34" s="47">
        <f t="shared" si="2"/>
        <v>0.21333333333333335</v>
      </c>
      <c r="G34" s="47">
        <f t="shared" si="2"/>
        <v>0.21333333333333335</v>
      </c>
      <c r="H34" s="47">
        <f t="shared" si="2"/>
        <v>0.26933333333333337</v>
      </c>
      <c r="I34" s="47">
        <f t="shared" si="2"/>
        <v>0.28000000000000014</v>
      </c>
      <c r="J34" s="47">
        <f t="shared" si="2"/>
        <v>1.3333333333333334E-2</v>
      </c>
      <c r="K34" s="47">
        <f t="shared" si="2"/>
        <v>1.3333333333333334E-2</v>
      </c>
      <c r="L34" s="47">
        <f t="shared" si="2"/>
        <v>0.25333333333333335</v>
      </c>
      <c r="M34" s="47">
        <f t="shared" si="2"/>
        <v>0.26133333333333336</v>
      </c>
      <c r="N34" s="47">
        <f t="shared" si="2"/>
        <v>5.3333333333333332E-3</v>
      </c>
      <c r="O34" s="47">
        <f t="shared" si="2"/>
        <v>5.3333333333333332E-3</v>
      </c>
      <c r="Q34" s="36">
        <v>379.69999999999993</v>
      </c>
      <c r="R34" s="36">
        <v>380.89999999999986</v>
      </c>
      <c r="S34" s="36">
        <f t="shared" si="3"/>
        <v>16.586666666666666</v>
      </c>
      <c r="T34" s="36">
        <f t="shared" si="4"/>
        <v>16.586666666666666</v>
      </c>
      <c r="U34" s="36">
        <f t="shared" si="5"/>
        <v>1103.9189333333334</v>
      </c>
      <c r="V34" s="36">
        <f t="shared" si="6"/>
        <v>1104.5024000000001</v>
      </c>
      <c r="W34" s="36">
        <f t="shared" si="7"/>
        <v>74.258079999999993</v>
      </c>
      <c r="X34" s="36">
        <f t="shared" si="8"/>
        <v>74.258079999999993</v>
      </c>
      <c r="Y34" s="36">
        <f t="shared" si="9"/>
        <v>19.569333333333333</v>
      </c>
      <c r="Z34" s="36">
        <f t="shared" si="10"/>
        <v>19.580000000000002</v>
      </c>
      <c r="AA34" s="53">
        <f t="shared" si="11"/>
        <v>35.513333333333335</v>
      </c>
      <c r="AB34" s="53">
        <f t="shared" si="12"/>
        <v>35.513333333333335</v>
      </c>
      <c r="AC34" s="36">
        <f t="shared" si="13"/>
        <v>21.753333333333334</v>
      </c>
      <c r="AD34" s="36">
        <f t="shared" si="14"/>
        <v>21.761333333333333</v>
      </c>
      <c r="AE34" s="53">
        <f t="shared" si="15"/>
        <v>35.505333333333333</v>
      </c>
      <c r="AF34" s="53">
        <f t="shared" si="16"/>
        <v>35.505333333333333</v>
      </c>
      <c r="CD34" s="69">
        <v>2006</v>
      </c>
      <c r="CE34" s="54">
        <f t="shared" si="17"/>
        <v>16.586666666666666</v>
      </c>
      <c r="CF34" s="54">
        <f t="shared" si="18"/>
        <v>74.258079999999993</v>
      </c>
      <c r="CG34" s="69">
        <f t="shared" si="19"/>
        <v>379.69999999999993</v>
      </c>
      <c r="CH34" s="54">
        <f t="shared" si="20"/>
        <v>16.586666666666666</v>
      </c>
      <c r="CI34" s="54">
        <f t="shared" si="22"/>
        <v>74.258079999999993</v>
      </c>
      <c r="CJ34" s="69">
        <f t="shared" si="21"/>
        <v>380.89999999999986</v>
      </c>
    </row>
    <row r="35" spans="1:95">
      <c r="A35" s="35">
        <v>2007</v>
      </c>
      <c r="B35" s="47">
        <f t="shared" ref="B35:O37" si="23">(B$6-B$5)/COUNT($A$18:$A$37)+B34</f>
        <v>0.19833333333333325</v>
      </c>
      <c r="C35" s="47">
        <f t="shared" si="23"/>
        <v>0.19833333333333325</v>
      </c>
      <c r="D35" s="47">
        <f t="shared" si="23"/>
        <v>0.96333333333333304</v>
      </c>
      <c r="E35" s="47">
        <f t="shared" si="23"/>
        <v>1.0200000000000005</v>
      </c>
      <c r="F35" s="47">
        <f t="shared" si="23"/>
        <v>0.22666666666666668</v>
      </c>
      <c r="G35" s="47">
        <f t="shared" si="23"/>
        <v>0.22666666666666668</v>
      </c>
      <c r="H35" s="47">
        <f t="shared" si="23"/>
        <v>0.28616666666666668</v>
      </c>
      <c r="I35" s="47">
        <f t="shared" si="23"/>
        <v>0.29750000000000015</v>
      </c>
      <c r="J35" s="47">
        <f t="shared" si="23"/>
        <v>1.4166666666666668E-2</v>
      </c>
      <c r="K35" s="47">
        <f t="shared" si="23"/>
        <v>1.4166666666666668E-2</v>
      </c>
      <c r="L35" s="47">
        <f t="shared" si="23"/>
        <v>0.26916666666666667</v>
      </c>
      <c r="M35" s="47">
        <f t="shared" si="23"/>
        <v>0.27766666666666667</v>
      </c>
      <c r="N35" s="47">
        <f t="shared" si="23"/>
        <v>5.6666666666666662E-3</v>
      </c>
      <c r="O35" s="47">
        <f t="shared" si="23"/>
        <v>5.6666666666666662E-3</v>
      </c>
      <c r="Q35" s="36">
        <v>381.64999999999992</v>
      </c>
      <c r="R35" s="36">
        <v>383.04999999999984</v>
      </c>
      <c r="S35" s="36">
        <f t="shared" si="3"/>
        <v>16.598333333333333</v>
      </c>
      <c r="T35" s="36">
        <f t="shared" si="4"/>
        <v>16.598333333333333</v>
      </c>
      <c r="U35" s="36">
        <f t="shared" si="5"/>
        <v>1104.5388666666668</v>
      </c>
      <c r="V35" s="36">
        <f t="shared" si="6"/>
        <v>1105.1587999999999</v>
      </c>
      <c r="W35" s="36">
        <f t="shared" si="7"/>
        <v>74.267959999999988</v>
      </c>
      <c r="X35" s="36">
        <f t="shared" si="8"/>
        <v>74.267959999999988</v>
      </c>
      <c r="Y35" s="36">
        <f t="shared" si="9"/>
        <v>19.586166666666667</v>
      </c>
      <c r="Z35" s="36">
        <f t="shared" si="10"/>
        <v>19.5975</v>
      </c>
      <c r="AA35" s="53">
        <f t="shared" si="11"/>
        <v>35.514166666666668</v>
      </c>
      <c r="AB35" s="53">
        <f t="shared" si="12"/>
        <v>35.514166666666668</v>
      </c>
      <c r="AC35" s="36">
        <f t="shared" si="13"/>
        <v>21.769166666666667</v>
      </c>
      <c r="AD35" s="36">
        <f t="shared" si="14"/>
        <v>21.777666666666665</v>
      </c>
      <c r="AE35" s="53">
        <f t="shared" si="15"/>
        <v>35.50566666666667</v>
      </c>
      <c r="AF35" s="53">
        <f t="shared" si="16"/>
        <v>35.50566666666667</v>
      </c>
      <c r="CD35" s="69">
        <v>2007</v>
      </c>
      <c r="CE35" s="54">
        <f t="shared" si="17"/>
        <v>16.598333333333333</v>
      </c>
      <c r="CF35" s="54">
        <f t="shared" si="18"/>
        <v>74.267959999999988</v>
      </c>
      <c r="CG35" s="69">
        <f t="shared" si="19"/>
        <v>381.64999999999992</v>
      </c>
      <c r="CH35" s="54">
        <f t="shared" si="20"/>
        <v>16.598333333333333</v>
      </c>
      <c r="CI35" s="54">
        <f t="shared" si="22"/>
        <v>74.267959999999988</v>
      </c>
      <c r="CJ35" s="69">
        <f t="shared" si="21"/>
        <v>383.04999999999984</v>
      </c>
    </row>
    <row r="36" spans="1:95">
      <c r="A36" s="35">
        <v>2008</v>
      </c>
      <c r="B36" s="47">
        <f t="shared" si="23"/>
        <v>0.20999999999999991</v>
      </c>
      <c r="C36" s="47">
        <f t="shared" si="23"/>
        <v>0.20999999999999991</v>
      </c>
      <c r="D36" s="47">
        <f t="shared" si="23"/>
        <v>1.0199999999999998</v>
      </c>
      <c r="E36" s="47">
        <f t="shared" si="23"/>
        <v>1.0800000000000005</v>
      </c>
      <c r="F36" s="47">
        <f t="shared" si="23"/>
        <v>0.24000000000000002</v>
      </c>
      <c r="G36" s="47">
        <f t="shared" si="23"/>
        <v>0.24000000000000002</v>
      </c>
      <c r="H36" s="47">
        <f t="shared" si="23"/>
        <v>0.30299999999999999</v>
      </c>
      <c r="I36" s="47">
        <f t="shared" si="23"/>
        <v>0.31500000000000017</v>
      </c>
      <c r="J36" s="47">
        <f t="shared" si="23"/>
        <v>1.5000000000000001E-2</v>
      </c>
      <c r="K36" s="47">
        <f t="shared" si="23"/>
        <v>1.5000000000000001E-2</v>
      </c>
      <c r="L36" s="47">
        <f t="shared" si="23"/>
        <v>0.28499999999999998</v>
      </c>
      <c r="M36" s="47">
        <f t="shared" si="23"/>
        <v>0.29399999999999998</v>
      </c>
      <c r="N36" s="47">
        <f t="shared" si="23"/>
        <v>5.9999999999999993E-3</v>
      </c>
      <c r="O36" s="47">
        <f t="shared" si="23"/>
        <v>5.9999999999999993E-3</v>
      </c>
      <c r="Q36" s="36">
        <v>383.59999999999991</v>
      </c>
      <c r="R36" s="36">
        <v>385.19999999999982</v>
      </c>
      <c r="S36" s="36">
        <f t="shared" si="3"/>
        <v>16.61</v>
      </c>
      <c r="T36" s="36">
        <f t="shared" si="4"/>
        <v>16.61</v>
      </c>
      <c r="U36" s="36">
        <f t="shared" si="5"/>
        <v>1105.1587999999999</v>
      </c>
      <c r="V36" s="36">
        <f t="shared" si="6"/>
        <v>1105.8152</v>
      </c>
      <c r="W36" s="36">
        <f t="shared" si="7"/>
        <v>74.277839999999998</v>
      </c>
      <c r="X36" s="36">
        <f t="shared" si="8"/>
        <v>74.277839999999998</v>
      </c>
      <c r="Y36" s="36">
        <f t="shared" si="9"/>
        <v>19.603000000000002</v>
      </c>
      <c r="Z36" s="36">
        <f t="shared" si="10"/>
        <v>19.615000000000002</v>
      </c>
      <c r="AA36" s="53">
        <f t="shared" si="11"/>
        <v>35.515000000000001</v>
      </c>
      <c r="AB36" s="53">
        <f t="shared" si="12"/>
        <v>35.515000000000001</v>
      </c>
      <c r="AC36" s="36">
        <f t="shared" si="13"/>
        <v>21.785</v>
      </c>
      <c r="AD36" s="36">
        <f t="shared" si="14"/>
        <v>21.794</v>
      </c>
      <c r="AE36" s="53">
        <f t="shared" si="15"/>
        <v>35.506</v>
      </c>
      <c r="AF36" s="53">
        <f t="shared" si="16"/>
        <v>35.506</v>
      </c>
      <c r="CD36" s="69">
        <v>2008</v>
      </c>
      <c r="CE36" s="54">
        <f t="shared" si="17"/>
        <v>16.61</v>
      </c>
      <c r="CF36" s="54">
        <f t="shared" si="18"/>
        <v>74.277839999999998</v>
      </c>
      <c r="CG36" s="69">
        <f t="shared" si="19"/>
        <v>383.59999999999991</v>
      </c>
      <c r="CH36" s="54">
        <f t="shared" si="20"/>
        <v>16.61</v>
      </c>
      <c r="CI36" s="54">
        <f t="shared" si="22"/>
        <v>74.277839999999998</v>
      </c>
      <c r="CJ36" s="69">
        <f t="shared" si="21"/>
        <v>385.19999999999982</v>
      </c>
    </row>
    <row r="37" spans="1:95">
      <c r="A37" s="35">
        <v>2009</v>
      </c>
      <c r="B37" s="47">
        <f t="shared" si="23"/>
        <v>0.22166666666666657</v>
      </c>
      <c r="C37" s="47">
        <f t="shared" si="23"/>
        <v>0.22166666666666657</v>
      </c>
      <c r="D37" s="47">
        <f t="shared" si="23"/>
        <v>1.0766666666666664</v>
      </c>
      <c r="E37" s="47">
        <f t="shared" si="23"/>
        <v>1.1400000000000006</v>
      </c>
      <c r="F37" s="47">
        <f t="shared" si="23"/>
        <v>0.25333333333333335</v>
      </c>
      <c r="G37" s="47">
        <f t="shared" si="23"/>
        <v>0.25333333333333335</v>
      </c>
      <c r="H37" s="47">
        <f t="shared" si="23"/>
        <v>0.3198333333333333</v>
      </c>
      <c r="I37" s="47">
        <f t="shared" si="23"/>
        <v>0.33250000000000018</v>
      </c>
      <c r="J37" s="47">
        <f t="shared" si="23"/>
        <v>1.5833333333333335E-2</v>
      </c>
      <c r="K37" s="47">
        <f t="shared" si="23"/>
        <v>1.5833333333333335E-2</v>
      </c>
      <c r="L37" s="47">
        <f t="shared" si="23"/>
        <v>0.30083333333333329</v>
      </c>
      <c r="M37" s="47">
        <f t="shared" si="23"/>
        <v>0.31033333333333329</v>
      </c>
      <c r="N37" s="47">
        <f t="shared" si="23"/>
        <v>6.3333333333333323E-3</v>
      </c>
      <c r="O37" s="47">
        <f t="shared" si="23"/>
        <v>6.3333333333333323E-3</v>
      </c>
      <c r="Q37" s="36">
        <v>385.5499999999999</v>
      </c>
      <c r="R37" s="36">
        <v>387.3499999999998</v>
      </c>
      <c r="S37" s="36">
        <f t="shared" si="3"/>
        <v>16.621666666666666</v>
      </c>
      <c r="T37" s="36">
        <f t="shared" si="4"/>
        <v>16.621666666666666</v>
      </c>
      <c r="U37" s="36">
        <f t="shared" si="5"/>
        <v>1105.7787333333333</v>
      </c>
      <c r="V37" s="36">
        <f t="shared" si="6"/>
        <v>1106.4716000000001</v>
      </c>
      <c r="W37" s="36">
        <f t="shared" si="7"/>
        <v>74.287719999999993</v>
      </c>
      <c r="X37" s="36">
        <f t="shared" si="8"/>
        <v>74.287719999999993</v>
      </c>
      <c r="Y37" s="36">
        <f t="shared" si="9"/>
        <v>19.619833333333332</v>
      </c>
      <c r="Z37" s="36">
        <f t="shared" si="10"/>
        <v>19.6325</v>
      </c>
      <c r="AA37" s="53">
        <f t="shared" si="11"/>
        <v>35.515833333333333</v>
      </c>
      <c r="AB37" s="53">
        <f t="shared" si="12"/>
        <v>35.515833333333333</v>
      </c>
      <c r="AC37" s="36">
        <f t="shared" si="13"/>
        <v>21.800833333333333</v>
      </c>
      <c r="AD37" s="36">
        <f t="shared" si="14"/>
        <v>21.810333333333332</v>
      </c>
      <c r="AE37" s="53">
        <f t="shared" si="15"/>
        <v>35.50633333333333</v>
      </c>
      <c r="AF37" s="53">
        <f t="shared" si="16"/>
        <v>35.50633333333333</v>
      </c>
      <c r="CD37" s="69">
        <v>2009</v>
      </c>
      <c r="CE37" s="54">
        <f t="shared" si="17"/>
        <v>16.621666666666666</v>
      </c>
      <c r="CF37" s="54">
        <f t="shared" si="18"/>
        <v>74.287719999999993</v>
      </c>
      <c r="CG37" s="69">
        <f t="shared" si="19"/>
        <v>385.5499999999999</v>
      </c>
      <c r="CH37" s="54">
        <f t="shared" si="20"/>
        <v>16.621666666666666</v>
      </c>
      <c r="CI37" s="54">
        <f t="shared" si="22"/>
        <v>74.287719999999993</v>
      </c>
      <c r="CJ37" s="69">
        <f t="shared" si="21"/>
        <v>387.3499999999998</v>
      </c>
    </row>
    <row r="38" spans="1:95">
      <c r="A38" s="35">
        <v>2010</v>
      </c>
      <c r="B38" s="47">
        <f>B6</f>
        <v>0.23333333333333331</v>
      </c>
      <c r="C38" s="47">
        <f>C6</f>
        <v>0.23333333333333331</v>
      </c>
      <c r="D38" s="47">
        <f>D6</f>
        <v>1.1333333333333333</v>
      </c>
      <c r="E38" s="47">
        <f>E6</f>
        <v>1.2</v>
      </c>
      <c r="F38" s="47">
        <f t="shared" ref="F38:N38" si="24">F6</f>
        <v>0.26666666666666666</v>
      </c>
      <c r="G38" s="47">
        <f t="shared" si="24"/>
        <v>0.26666666666666666</v>
      </c>
      <c r="H38" s="47">
        <f t="shared" si="24"/>
        <v>0.33666666666666667</v>
      </c>
      <c r="I38" s="47">
        <f t="shared" si="24"/>
        <v>0.35000000000000003</v>
      </c>
      <c r="J38" s="47">
        <f t="shared" si="24"/>
        <v>1.6666666666666666E-2</v>
      </c>
      <c r="K38" s="47">
        <f t="shared" si="24"/>
        <v>1.6666666666666666E-2</v>
      </c>
      <c r="L38" s="47">
        <f t="shared" si="24"/>
        <v>0.31666666666666665</v>
      </c>
      <c r="M38" s="47">
        <f t="shared" si="24"/>
        <v>0.32666666666666666</v>
      </c>
      <c r="N38" s="47">
        <f t="shared" si="24"/>
        <v>6.6666666666666671E-3</v>
      </c>
      <c r="O38" s="47">
        <f>O6</f>
        <v>6.6666666666666671E-3</v>
      </c>
      <c r="Q38" s="36">
        <v>387.5</v>
      </c>
      <c r="R38" s="36">
        <v>389.5</v>
      </c>
      <c r="S38" s="36">
        <f t="shared" si="3"/>
        <v>16.633333333333333</v>
      </c>
      <c r="T38" s="36">
        <f t="shared" si="4"/>
        <v>16.633333333333333</v>
      </c>
      <c r="U38" s="36">
        <f t="shared" si="5"/>
        <v>1106.3986666666667</v>
      </c>
      <c r="V38" s="36">
        <f t="shared" si="6"/>
        <v>1107.1279999999999</v>
      </c>
      <c r="W38" s="36">
        <f t="shared" si="7"/>
        <v>74.297599999999989</v>
      </c>
      <c r="X38" s="36">
        <f t="shared" si="8"/>
        <v>74.297599999999989</v>
      </c>
      <c r="Y38" s="36">
        <f t="shared" si="9"/>
        <v>19.636666666666667</v>
      </c>
      <c r="Z38" s="36">
        <f t="shared" si="10"/>
        <v>19.650000000000002</v>
      </c>
      <c r="AA38" s="53">
        <f t="shared" si="11"/>
        <v>35.516666666666666</v>
      </c>
      <c r="AB38" s="53">
        <f t="shared" si="12"/>
        <v>35.516666666666666</v>
      </c>
      <c r="AC38" s="36">
        <f t="shared" si="13"/>
        <v>21.816666666666666</v>
      </c>
      <c r="AD38" s="36">
        <f t="shared" si="14"/>
        <v>21.826666666666668</v>
      </c>
      <c r="AE38" s="53">
        <f t="shared" si="15"/>
        <v>35.506666666666668</v>
      </c>
      <c r="AF38" s="53">
        <f t="shared" si="16"/>
        <v>35.506666666666668</v>
      </c>
      <c r="CD38" s="69">
        <v>2010</v>
      </c>
      <c r="CE38" s="54">
        <f t="shared" si="17"/>
        <v>16.633333333333333</v>
      </c>
      <c r="CF38" s="54">
        <f t="shared" si="18"/>
        <v>74.297599999999989</v>
      </c>
      <c r="CG38" s="69">
        <f t="shared" si="19"/>
        <v>387.5</v>
      </c>
      <c r="CH38" s="54">
        <f t="shared" si="20"/>
        <v>16.633333333333333</v>
      </c>
      <c r="CI38" s="54">
        <f t="shared" si="22"/>
        <v>74.297599999999989</v>
      </c>
      <c r="CJ38" s="69">
        <f t="shared" si="21"/>
        <v>389.5</v>
      </c>
    </row>
    <row r="39" spans="1:95">
      <c r="A39" s="35">
        <v>2011</v>
      </c>
      <c r="B39" s="47">
        <f t="shared" ref="B39:O54" si="25">(B$7-B$6)/COUNT($A$38:$A$57)+B38</f>
        <v>0.25666666666666665</v>
      </c>
      <c r="C39" s="47">
        <f t="shared" si="25"/>
        <v>0.25666666666666665</v>
      </c>
      <c r="D39" s="47">
        <f t="shared" si="25"/>
        <v>1.2466666666666666</v>
      </c>
      <c r="E39" s="47">
        <f t="shared" si="25"/>
        <v>1.32</v>
      </c>
      <c r="F39" s="47">
        <f t="shared" si="25"/>
        <v>0.29333333333333333</v>
      </c>
      <c r="G39" s="47">
        <f t="shared" si="25"/>
        <v>0.29333333333333333</v>
      </c>
      <c r="H39" s="47">
        <f t="shared" si="25"/>
        <v>0.37033333333333335</v>
      </c>
      <c r="I39" s="47">
        <f t="shared" si="25"/>
        <v>0.38500000000000001</v>
      </c>
      <c r="J39" s="47">
        <f t="shared" si="25"/>
        <v>1.8333333333333333E-2</v>
      </c>
      <c r="K39" s="47">
        <f t="shared" si="25"/>
        <v>1.8333333333333333E-2</v>
      </c>
      <c r="L39" s="47">
        <f t="shared" si="25"/>
        <v>0.34833333333333333</v>
      </c>
      <c r="M39" s="47">
        <f t="shared" si="25"/>
        <v>0.35933333333333334</v>
      </c>
      <c r="N39" s="47">
        <f t="shared" si="25"/>
        <v>7.3333333333333341E-3</v>
      </c>
      <c r="O39" s="47">
        <f t="shared" si="25"/>
        <v>7.3333333333333341E-3</v>
      </c>
      <c r="Q39" s="36">
        <v>390.35</v>
      </c>
      <c r="R39" s="36">
        <v>392.45</v>
      </c>
      <c r="S39" s="36">
        <f t="shared" si="3"/>
        <v>16.656666666666666</v>
      </c>
      <c r="T39" s="36">
        <f t="shared" si="4"/>
        <v>16.656666666666666</v>
      </c>
      <c r="U39" s="36">
        <f t="shared" si="5"/>
        <v>1107.6385333333333</v>
      </c>
      <c r="V39" s="36">
        <f t="shared" si="6"/>
        <v>1108.4408000000001</v>
      </c>
      <c r="W39" s="36">
        <f t="shared" si="7"/>
        <v>74.317359999999994</v>
      </c>
      <c r="X39" s="36">
        <f t="shared" si="8"/>
        <v>74.317359999999994</v>
      </c>
      <c r="Y39" s="36">
        <f t="shared" si="9"/>
        <v>19.670333333333335</v>
      </c>
      <c r="Z39" s="36">
        <f t="shared" si="10"/>
        <v>19.685000000000002</v>
      </c>
      <c r="AA39" s="53">
        <f t="shared" si="11"/>
        <v>35.518333333333331</v>
      </c>
      <c r="AB39" s="53">
        <f t="shared" si="12"/>
        <v>35.518333333333331</v>
      </c>
      <c r="AC39" s="36">
        <f t="shared" si="13"/>
        <v>21.848333333333333</v>
      </c>
      <c r="AD39" s="36">
        <f t="shared" si="14"/>
        <v>21.859333333333332</v>
      </c>
      <c r="AE39" s="53">
        <f t="shared" si="15"/>
        <v>35.507333333333335</v>
      </c>
      <c r="AF39" s="53">
        <f t="shared" si="16"/>
        <v>35.507333333333335</v>
      </c>
      <c r="CD39" s="69">
        <v>2011</v>
      </c>
      <c r="CE39" s="54">
        <f t="shared" si="17"/>
        <v>16.656666666666666</v>
      </c>
      <c r="CF39" s="54">
        <f t="shared" si="18"/>
        <v>74.317359999999994</v>
      </c>
      <c r="CG39" s="69">
        <f t="shared" si="19"/>
        <v>390.35</v>
      </c>
      <c r="CH39" s="54">
        <f t="shared" si="20"/>
        <v>16.656666666666666</v>
      </c>
      <c r="CI39" s="54">
        <f t="shared" si="22"/>
        <v>74.317359999999994</v>
      </c>
      <c r="CJ39" s="69">
        <f t="shared" si="21"/>
        <v>392.45</v>
      </c>
    </row>
    <row r="40" spans="1:95">
      <c r="A40" s="35">
        <v>2012</v>
      </c>
      <c r="B40" s="47">
        <f t="shared" si="25"/>
        <v>0.27999999999999997</v>
      </c>
      <c r="C40" s="47">
        <f t="shared" si="25"/>
        <v>0.27999999999999997</v>
      </c>
      <c r="D40" s="47">
        <f t="shared" si="25"/>
        <v>1.3599999999999999</v>
      </c>
      <c r="E40" s="47">
        <f t="shared" si="25"/>
        <v>1.4400000000000002</v>
      </c>
      <c r="F40" s="47">
        <f t="shared" si="25"/>
        <v>0.32</v>
      </c>
      <c r="G40" s="47">
        <f t="shared" si="25"/>
        <v>0.32</v>
      </c>
      <c r="H40" s="47">
        <f t="shared" si="25"/>
        <v>0.40400000000000003</v>
      </c>
      <c r="I40" s="47">
        <f t="shared" si="25"/>
        <v>0.42</v>
      </c>
      <c r="J40" s="47">
        <f t="shared" si="25"/>
        <v>0.02</v>
      </c>
      <c r="K40" s="47">
        <f t="shared" si="25"/>
        <v>0.02</v>
      </c>
      <c r="L40" s="47">
        <f t="shared" si="25"/>
        <v>0.38</v>
      </c>
      <c r="M40" s="47">
        <f t="shared" si="25"/>
        <v>0.39200000000000002</v>
      </c>
      <c r="N40" s="47">
        <f t="shared" si="25"/>
        <v>8.0000000000000002E-3</v>
      </c>
      <c r="O40" s="47">
        <f t="shared" si="25"/>
        <v>8.0000000000000002E-3</v>
      </c>
      <c r="Q40" s="36">
        <v>393.20000000000005</v>
      </c>
      <c r="R40" s="36">
        <v>395.4</v>
      </c>
      <c r="S40" s="36">
        <f t="shared" si="3"/>
        <v>16.68</v>
      </c>
      <c r="T40" s="36">
        <f t="shared" si="4"/>
        <v>16.68</v>
      </c>
      <c r="U40" s="36">
        <f t="shared" si="5"/>
        <v>1108.8784000000001</v>
      </c>
      <c r="V40" s="36">
        <f t="shared" si="6"/>
        <v>1109.7536</v>
      </c>
      <c r="W40" s="36">
        <f t="shared" si="7"/>
        <v>74.337119999999999</v>
      </c>
      <c r="X40" s="36">
        <f t="shared" si="8"/>
        <v>74.337119999999999</v>
      </c>
      <c r="Y40" s="36">
        <f t="shared" si="9"/>
        <v>19.704000000000001</v>
      </c>
      <c r="Z40" s="36">
        <f t="shared" si="10"/>
        <v>19.720000000000002</v>
      </c>
      <c r="AA40" s="53">
        <f t="shared" si="11"/>
        <v>35.520000000000003</v>
      </c>
      <c r="AB40" s="53">
        <f t="shared" si="12"/>
        <v>35.520000000000003</v>
      </c>
      <c r="AC40" s="36">
        <f t="shared" si="13"/>
        <v>21.88</v>
      </c>
      <c r="AD40" s="36">
        <f t="shared" si="14"/>
        <v>21.891999999999999</v>
      </c>
      <c r="AE40" s="53">
        <f t="shared" si="15"/>
        <v>35.508000000000003</v>
      </c>
      <c r="AF40" s="53">
        <f t="shared" si="16"/>
        <v>35.508000000000003</v>
      </c>
      <c r="CD40" s="69">
        <v>2012</v>
      </c>
      <c r="CE40" s="54">
        <f t="shared" si="17"/>
        <v>16.68</v>
      </c>
      <c r="CF40" s="54">
        <f t="shared" si="18"/>
        <v>74.337119999999999</v>
      </c>
      <c r="CG40" s="69">
        <f t="shared" si="19"/>
        <v>393.20000000000005</v>
      </c>
      <c r="CH40" s="54">
        <f t="shared" si="20"/>
        <v>16.68</v>
      </c>
      <c r="CI40" s="54">
        <f t="shared" si="22"/>
        <v>74.337119999999999</v>
      </c>
      <c r="CJ40" s="69">
        <f t="shared" si="21"/>
        <v>395.4</v>
      </c>
    </row>
    <row r="41" spans="1:95">
      <c r="A41" s="35">
        <v>2013</v>
      </c>
      <c r="B41" s="47">
        <f t="shared" si="25"/>
        <v>0.30333333333333329</v>
      </c>
      <c r="C41" s="47">
        <f t="shared" si="25"/>
        <v>0.30333333333333329</v>
      </c>
      <c r="D41" s="47">
        <f t="shared" si="25"/>
        <v>1.4733333333333332</v>
      </c>
      <c r="E41" s="47">
        <f t="shared" si="25"/>
        <v>1.5600000000000003</v>
      </c>
      <c r="F41" s="47">
        <f t="shared" si="25"/>
        <v>0.34666666666666668</v>
      </c>
      <c r="G41" s="47">
        <f t="shared" si="25"/>
        <v>0.34666666666666668</v>
      </c>
      <c r="H41" s="47">
        <f t="shared" si="25"/>
        <v>0.4376666666666667</v>
      </c>
      <c r="I41" s="47">
        <f t="shared" si="25"/>
        <v>0.45499999999999996</v>
      </c>
      <c r="J41" s="47">
        <f t="shared" si="25"/>
        <v>2.1666666666666667E-2</v>
      </c>
      <c r="K41" s="47">
        <f t="shared" si="25"/>
        <v>2.1666666666666667E-2</v>
      </c>
      <c r="L41" s="47">
        <f t="shared" si="25"/>
        <v>0.41166666666666668</v>
      </c>
      <c r="M41" s="47">
        <f t="shared" si="25"/>
        <v>0.42466666666666669</v>
      </c>
      <c r="N41" s="47">
        <f t="shared" si="25"/>
        <v>8.6666666666666663E-3</v>
      </c>
      <c r="O41" s="47">
        <f t="shared" si="25"/>
        <v>8.6666666666666663E-3</v>
      </c>
      <c r="Q41" s="36">
        <v>396.05000000000007</v>
      </c>
      <c r="R41" s="36">
        <v>398.34999999999997</v>
      </c>
      <c r="S41" s="36">
        <f t="shared" si="3"/>
        <v>16.703333333333333</v>
      </c>
      <c r="T41" s="36">
        <f t="shared" si="4"/>
        <v>16.703333333333333</v>
      </c>
      <c r="U41" s="36">
        <f t="shared" si="5"/>
        <v>1110.1182666666666</v>
      </c>
      <c r="V41" s="36">
        <f t="shared" si="6"/>
        <v>1111.0663999999999</v>
      </c>
      <c r="W41" s="36">
        <f t="shared" si="7"/>
        <v>74.35687999999999</v>
      </c>
      <c r="X41" s="36">
        <f t="shared" si="8"/>
        <v>74.35687999999999</v>
      </c>
      <c r="Y41" s="36">
        <f t="shared" si="9"/>
        <v>19.737666666666666</v>
      </c>
      <c r="Z41" s="36">
        <f t="shared" si="10"/>
        <v>19.754999999999999</v>
      </c>
      <c r="AA41" s="53">
        <f t="shared" si="11"/>
        <v>35.521666666666668</v>
      </c>
      <c r="AB41" s="53">
        <f t="shared" si="12"/>
        <v>35.521666666666668</v>
      </c>
      <c r="AC41" s="36">
        <f t="shared" si="13"/>
        <v>21.911666666666665</v>
      </c>
      <c r="AD41" s="36">
        <f t="shared" si="14"/>
        <v>21.924666666666667</v>
      </c>
      <c r="AE41" s="53">
        <f t="shared" si="15"/>
        <v>35.50866666666667</v>
      </c>
      <c r="AF41" s="53">
        <f t="shared" si="16"/>
        <v>35.50866666666667</v>
      </c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N41" s="43"/>
      <c r="BO41" s="43"/>
      <c r="BP41" s="43"/>
      <c r="BQ41" s="43"/>
      <c r="BR41" s="43"/>
      <c r="BS41" s="43"/>
      <c r="BT41" s="43"/>
      <c r="BV41" s="43"/>
      <c r="BW41" s="43"/>
      <c r="BX41" s="43"/>
      <c r="BY41" s="43"/>
      <c r="BZ41" s="43"/>
      <c r="CA41" s="43"/>
      <c r="CB41" s="43"/>
      <c r="CD41" s="69">
        <v>2013</v>
      </c>
      <c r="CE41" s="54">
        <f t="shared" si="17"/>
        <v>16.703333333333333</v>
      </c>
      <c r="CF41" s="54">
        <f t="shared" si="18"/>
        <v>74.35687999999999</v>
      </c>
      <c r="CG41" s="69">
        <f t="shared" si="19"/>
        <v>396.05000000000007</v>
      </c>
      <c r="CH41" s="54">
        <f t="shared" si="20"/>
        <v>16.703333333333333</v>
      </c>
      <c r="CI41" s="54">
        <f t="shared" si="22"/>
        <v>74.35687999999999</v>
      </c>
      <c r="CJ41" s="69">
        <f t="shared" si="21"/>
        <v>398.34999999999997</v>
      </c>
      <c r="CK41" s="43"/>
      <c r="CL41" s="43"/>
      <c r="CM41" s="43"/>
      <c r="CN41" s="43"/>
      <c r="CO41" s="43"/>
      <c r="CP41" s="43"/>
      <c r="CQ41" s="43"/>
    </row>
    <row r="42" spans="1:95">
      <c r="A42" s="35">
        <v>2014</v>
      </c>
      <c r="B42" s="47">
        <f t="shared" si="25"/>
        <v>0.32666666666666661</v>
      </c>
      <c r="C42" s="47">
        <f t="shared" si="25"/>
        <v>0.32666666666666661</v>
      </c>
      <c r="D42" s="47">
        <f t="shared" si="25"/>
        <v>1.5866666666666664</v>
      </c>
      <c r="E42" s="47">
        <f t="shared" si="25"/>
        <v>1.6800000000000004</v>
      </c>
      <c r="F42" s="47">
        <f t="shared" si="25"/>
        <v>0.37333333333333335</v>
      </c>
      <c r="G42" s="47">
        <f t="shared" si="25"/>
        <v>0.37333333333333335</v>
      </c>
      <c r="H42" s="47">
        <f t="shared" si="25"/>
        <v>0.47133333333333338</v>
      </c>
      <c r="I42" s="47">
        <f t="shared" si="25"/>
        <v>0.48999999999999994</v>
      </c>
      <c r="J42" s="47">
        <f t="shared" si="25"/>
        <v>2.3333333333333334E-2</v>
      </c>
      <c r="K42" s="47">
        <f t="shared" si="25"/>
        <v>2.3333333333333334E-2</v>
      </c>
      <c r="L42" s="47">
        <f t="shared" si="25"/>
        <v>0.44333333333333336</v>
      </c>
      <c r="M42" s="47">
        <f t="shared" si="25"/>
        <v>0.45733333333333337</v>
      </c>
      <c r="N42" s="47">
        <f t="shared" si="25"/>
        <v>9.3333333333333324E-3</v>
      </c>
      <c r="O42" s="47">
        <f t="shared" si="25"/>
        <v>9.3333333333333324E-3</v>
      </c>
      <c r="Q42" s="36">
        <v>398.90000000000009</v>
      </c>
      <c r="R42" s="36">
        <v>401.29999999999995</v>
      </c>
      <c r="S42" s="36">
        <f t="shared" si="3"/>
        <v>16.726666666666667</v>
      </c>
      <c r="T42" s="36">
        <f t="shared" si="4"/>
        <v>16.726666666666667</v>
      </c>
      <c r="U42" s="36">
        <f t="shared" si="5"/>
        <v>1111.3581333333334</v>
      </c>
      <c r="V42" s="36">
        <f t="shared" si="6"/>
        <v>1112.3792000000001</v>
      </c>
      <c r="W42" s="36">
        <f t="shared" si="7"/>
        <v>74.376639999999995</v>
      </c>
      <c r="X42" s="36">
        <f t="shared" si="8"/>
        <v>74.376639999999995</v>
      </c>
      <c r="Y42" s="36">
        <f t="shared" si="9"/>
        <v>19.771333333333335</v>
      </c>
      <c r="Z42" s="36">
        <f t="shared" si="10"/>
        <v>19.79</v>
      </c>
      <c r="AA42" s="53">
        <f t="shared" si="11"/>
        <v>35.523333333333333</v>
      </c>
      <c r="AB42" s="53">
        <f t="shared" si="12"/>
        <v>35.523333333333333</v>
      </c>
      <c r="AC42" s="36">
        <f t="shared" si="13"/>
        <v>21.943333333333335</v>
      </c>
      <c r="AD42" s="36">
        <f t="shared" si="14"/>
        <v>21.957333333333334</v>
      </c>
      <c r="AE42" s="53">
        <f t="shared" si="15"/>
        <v>35.509333333333331</v>
      </c>
      <c r="AF42" s="53">
        <f t="shared" si="16"/>
        <v>35.509333333333331</v>
      </c>
      <c r="CD42" s="69">
        <v>2014</v>
      </c>
      <c r="CE42" s="54">
        <f t="shared" si="17"/>
        <v>16.726666666666667</v>
      </c>
      <c r="CF42" s="54">
        <f t="shared" si="18"/>
        <v>74.376639999999995</v>
      </c>
      <c r="CG42" s="69">
        <f t="shared" si="19"/>
        <v>398.90000000000009</v>
      </c>
      <c r="CH42" s="54">
        <f t="shared" si="20"/>
        <v>16.726666666666667</v>
      </c>
      <c r="CI42" s="54">
        <f t="shared" si="22"/>
        <v>74.376639999999995</v>
      </c>
      <c r="CJ42" s="69">
        <f t="shared" si="21"/>
        <v>401.29999999999995</v>
      </c>
    </row>
    <row r="43" spans="1:95">
      <c r="A43" s="35">
        <v>2015</v>
      </c>
      <c r="B43" s="47">
        <f t="shared" si="25"/>
        <v>0.34999999999999992</v>
      </c>
      <c r="C43" s="47">
        <f t="shared" si="25"/>
        <v>0.34999999999999992</v>
      </c>
      <c r="D43" s="47">
        <f t="shared" si="25"/>
        <v>1.6999999999999997</v>
      </c>
      <c r="E43" s="47">
        <f t="shared" si="25"/>
        <v>1.8000000000000005</v>
      </c>
      <c r="F43" s="47">
        <f t="shared" si="25"/>
        <v>0.4</v>
      </c>
      <c r="G43" s="47">
        <f t="shared" si="25"/>
        <v>0.4</v>
      </c>
      <c r="H43" s="47">
        <f t="shared" si="25"/>
        <v>0.505</v>
      </c>
      <c r="I43" s="47">
        <f t="shared" si="25"/>
        <v>0.52499999999999991</v>
      </c>
      <c r="J43" s="47">
        <f t="shared" si="25"/>
        <v>2.5000000000000001E-2</v>
      </c>
      <c r="K43" s="47">
        <f t="shared" si="25"/>
        <v>2.5000000000000001E-2</v>
      </c>
      <c r="L43" s="47">
        <f t="shared" si="25"/>
        <v>0.47500000000000003</v>
      </c>
      <c r="M43" s="47">
        <f t="shared" si="25"/>
        <v>0.49000000000000005</v>
      </c>
      <c r="N43" s="47">
        <f t="shared" si="25"/>
        <v>9.9999999999999985E-3</v>
      </c>
      <c r="O43" s="47">
        <f t="shared" si="25"/>
        <v>9.9999999999999985E-3</v>
      </c>
      <c r="Q43" s="36">
        <v>401.75000000000011</v>
      </c>
      <c r="R43" s="36">
        <v>404.24999999999994</v>
      </c>
      <c r="S43" s="36">
        <f t="shared" si="3"/>
        <v>16.75</v>
      </c>
      <c r="T43" s="36">
        <f t="shared" si="4"/>
        <v>16.75</v>
      </c>
      <c r="U43" s="36">
        <f t="shared" si="5"/>
        <v>1112.598</v>
      </c>
      <c r="V43" s="36">
        <f t="shared" si="6"/>
        <v>1113.692</v>
      </c>
      <c r="W43" s="36">
        <f t="shared" si="7"/>
        <v>74.3964</v>
      </c>
      <c r="X43" s="36">
        <f t="shared" si="8"/>
        <v>74.3964</v>
      </c>
      <c r="Y43" s="36">
        <f t="shared" si="9"/>
        <v>19.805</v>
      </c>
      <c r="Z43" s="36">
        <f t="shared" si="10"/>
        <v>19.824999999999999</v>
      </c>
      <c r="AA43" s="53">
        <f t="shared" si="11"/>
        <v>35.524999999999999</v>
      </c>
      <c r="AB43" s="53">
        <f t="shared" si="12"/>
        <v>35.524999999999999</v>
      </c>
      <c r="AC43" s="36">
        <f t="shared" si="13"/>
        <v>21.975000000000001</v>
      </c>
      <c r="AD43" s="36">
        <f t="shared" si="14"/>
        <v>21.99</v>
      </c>
      <c r="AE43" s="53">
        <f t="shared" si="15"/>
        <v>35.51</v>
      </c>
      <c r="AF43" s="53">
        <f t="shared" si="16"/>
        <v>35.51</v>
      </c>
      <c r="CD43" s="69">
        <v>2015</v>
      </c>
      <c r="CE43" s="54">
        <f t="shared" si="17"/>
        <v>16.75</v>
      </c>
      <c r="CF43" s="54">
        <f t="shared" si="18"/>
        <v>74.3964</v>
      </c>
      <c r="CG43" s="69">
        <f t="shared" si="19"/>
        <v>401.75000000000011</v>
      </c>
      <c r="CH43" s="54">
        <f t="shared" si="20"/>
        <v>16.75</v>
      </c>
      <c r="CI43" s="54">
        <f t="shared" si="22"/>
        <v>74.3964</v>
      </c>
      <c r="CJ43" s="69">
        <f t="shared" si="21"/>
        <v>404.24999999999994</v>
      </c>
    </row>
    <row r="44" spans="1:95">
      <c r="A44" s="35">
        <v>2016</v>
      </c>
      <c r="B44" s="47">
        <f t="shared" si="25"/>
        <v>0.37333333333333324</v>
      </c>
      <c r="C44" s="47">
        <f t="shared" si="25"/>
        <v>0.37333333333333324</v>
      </c>
      <c r="D44" s="47">
        <f t="shared" si="25"/>
        <v>1.813333333333333</v>
      </c>
      <c r="E44" s="47">
        <f t="shared" si="25"/>
        <v>1.9200000000000006</v>
      </c>
      <c r="F44" s="47">
        <f t="shared" si="25"/>
        <v>0.42666666666666669</v>
      </c>
      <c r="G44" s="47">
        <f t="shared" si="25"/>
        <v>0.42666666666666669</v>
      </c>
      <c r="H44" s="47">
        <f t="shared" si="25"/>
        <v>0.53866666666666663</v>
      </c>
      <c r="I44" s="47">
        <f t="shared" si="25"/>
        <v>0.55999999999999994</v>
      </c>
      <c r="J44" s="47">
        <f t="shared" si="25"/>
        <v>2.6666666666666668E-2</v>
      </c>
      <c r="K44" s="47">
        <f t="shared" si="25"/>
        <v>2.6666666666666668E-2</v>
      </c>
      <c r="L44" s="47">
        <f t="shared" si="25"/>
        <v>0.50666666666666671</v>
      </c>
      <c r="M44" s="47">
        <f t="shared" si="25"/>
        <v>0.52266666666666672</v>
      </c>
      <c r="N44" s="47">
        <f t="shared" si="25"/>
        <v>1.0666666666666665E-2</v>
      </c>
      <c r="O44" s="47">
        <f t="shared" si="25"/>
        <v>1.0666666666666665E-2</v>
      </c>
      <c r="Q44" s="36">
        <v>404.60000000000014</v>
      </c>
      <c r="R44" s="36">
        <v>407.19999999999993</v>
      </c>
      <c r="S44" s="36">
        <f t="shared" si="3"/>
        <v>16.773333333333333</v>
      </c>
      <c r="T44" s="36">
        <f t="shared" si="4"/>
        <v>16.773333333333333</v>
      </c>
      <c r="U44" s="36">
        <f t="shared" si="5"/>
        <v>1113.8378666666667</v>
      </c>
      <c r="V44" s="36">
        <f t="shared" si="6"/>
        <v>1115.0047999999999</v>
      </c>
      <c r="W44" s="36">
        <f t="shared" si="7"/>
        <v>74.416159999999991</v>
      </c>
      <c r="X44" s="36">
        <f t="shared" si="8"/>
        <v>74.416159999999991</v>
      </c>
      <c r="Y44" s="36">
        <f t="shared" si="9"/>
        <v>19.838666666666668</v>
      </c>
      <c r="Z44" s="36">
        <f t="shared" si="10"/>
        <v>19.86</v>
      </c>
      <c r="AA44" s="53">
        <f t="shared" si="11"/>
        <v>35.526666666666664</v>
      </c>
      <c r="AB44" s="53">
        <f t="shared" si="12"/>
        <v>35.526666666666664</v>
      </c>
      <c r="AC44" s="36">
        <f t="shared" si="13"/>
        <v>22.006666666666668</v>
      </c>
      <c r="AD44" s="36">
        <f t="shared" si="14"/>
        <v>22.022666666666666</v>
      </c>
      <c r="AE44" s="53">
        <f t="shared" si="15"/>
        <v>35.510666666666665</v>
      </c>
      <c r="AF44" s="53">
        <f t="shared" si="16"/>
        <v>35.510666666666665</v>
      </c>
      <c r="CD44" s="69">
        <v>2016</v>
      </c>
      <c r="CE44" s="54">
        <f t="shared" si="17"/>
        <v>16.773333333333333</v>
      </c>
      <c r="CF44" s="54">
        <f t="shared" si="18"/>
        <v>74.416159999999991</v>
      </c>
      <c r="CG44" s="69">
        <f t="shared" si="19"/>
        <v>404.60000000000014</v>
      </c>
      <c r="CH44" s="54">
        <f t="shared" si="20"/>
        <v>16.773333333333333</v>
      </c>
      <c r="CI44" s="54">
        <f t="shared" si="22"/>
        <v>74.416159999999991</v>
      </c>
      <c r="CJ44" s="69">
        <f t="shared" si="21"/>
        <v>407.19999999999993</v>
      </c>
    </row>
    <row r="45" spans="1:95">
      <c r="A45" s="35">
        <v>2017</v>
      </c>
      <c r="B45" s="47">
        <f t="shared" si="25"/>
        <v>0.39666666666666656</v>
      </c>
      <c r="C45" s="47">
        <f t="shared" si="25"/>
        <v>0.39666666666666656</v>
      </c>
      <c r="D45" s="47">
        <f t="shared" si="25"/>
        <v>1.9266666666666663</v>
      </c>
      <c r="E45" s="47">
        <f t="shared" si="25"/>
        <v>2.0400000000000005</v>
      </c>
      <c r="F45" s="47">
        <f t="shared" si="25"/>
        <v>0.45333333333333337</v>
      </c>
      <c r="G45" s="47">
        <f t="shared" si="25"/>
        <v>0.45333333333333337</v>
      </c>
      <c r="H45" s="47">
        <f t="shared" si="25"/>
        <v>0.57233333333333325</v>
      </c>
      <c r="I45" s="47">
        <f t="shared" si="25"/>
        <v>0.59499999999999997</v>
      </c>
      <c r="J45" s="47">
        <f t="shared" si="25"/>
        <v>2.8333333333333335E-2</v>
      </c>
      <c r="K45" s="47">
        <f t="shared" si="25"/>
        <v>2.8333333333333335E-2</v>
      </c>
      <c r="L45" s="47">
        <f t="shared" si="25"/>
        <v>0.53833333333333333</v>
      </c>
      <c r="M45" s="47">
        <f t="shared" si="25"/>
        <v>0.55533333333333335</v>
      </c>
      <c r="N45" s="47">
        <f t="shared" si="25"/>
        <v>1.1333333333333331E-2</v>
      </c>
      <c r="O45" s="47">
        <f t="shared" si="25"/>
        <v>1.1333333333333331E-2</v>
      </c>
      <c r="Q45" s="36">
        <v>407.45000000000016</v>
      </c>
      <c r="R45" s="36">
        <v>410.14999999999992</v>
      </c>
      <c r="S45" s="36">
        <f t="shared" si="3"/>
        <v>16.796666666666667</v>
      </c>
      <c r="T45" s="36">
        <f t="shared" si="4"/>
        <v>16.796666666666667</v>
      </c>
      <c r="U45" s="36">
        <f t="shared" si="5"/>
        <v>1115.0777333333333</v>
      </c>
      <c r="V45" s="36">
        <f t="shared" si="6"/>
        <v>1116.3176000000001</v>
      </c>
      <c r="W45" s="36">
        <f t="shared" si="7"/>
        <v>74.435919999999996</v>
      </c>
      <c r="X45" s="36">
        <f t="shared" si="8"/>
        <v>74.435919999999996</v>
      </c>
      <c r="Y45" s="36">
        <f t="shared" si="9"/>
        <v>19.872333333333334</v>
      </c>
      <c r="Z45" s="36">
        <f t="shared" si="10"/>
        <v>19.895</v>
      </c>
      <c r="AA45" s="53">
        <f t="shared" si="11"/>
        <v>35.528333333333336</v>
      </c>
      <c r="AB45" s="53">
        <f t="shared" si="12"/>
        <v>35.528333333333336</v>
      </c>
      <c r="AC45" s="36">
        <f t="shared" si="13"/>
        <v>22.038333333333334</v>
      </c>
      <c r="AD45" s="36">
        <f t="shared" si="14"/>
        <v>22.055333333333333</v>
      </c>
      <c r="AE45" s="53">
        <f t="shared" si="15"/>
        <v>35.511333333333333</v>
      </c>
      <c r="AF45" s="53">
        <f t="shared" si="16"/>
        <v>35.511333333333333</v>
      </c>
      <c r="CD45" s="69">
        <v>2017</v>
      </c>
      <c r="CE45" s="54">
        <f t="shared" si="17"/>
        <v>16.796666666666667</v>
      </c>
      <c r="CF45" s="54">
        <f t="shared" si="18"/>
        <v>74.435919999999996</v>
      </c>
      <c r="CG45" s="69">
        <f t="shared" si="19"/>
        <v>407.45000000000016</v>
      </c>
      <c r="CH45" s="54">
        <f t="shared" si="20"/>
        <v>16.796666666666667</v>
      </c>
      <c r="CI45" s="54">
        <f t="shared" si="22"/>
        <v>74.435919999999996</v>
      </c>
      <c r="CJ45" s="69">
        <f t="shared" si="21"/>
        <v>410.14999999999992</v>
      </c>
    </row>
    <row r="46" spans="1:95">
      <c r="A46" s="35">
        <v>2018</v>
      </c>
      <c r="B46" s="47">
        <f t="shared" si="25"/>
        <v>0.41999999999999987</v>
      </c>
      <c r="C46" s="47">
        <f t="shared" si="25"/>
        <v>0.41999999999999987</v>
      </c>
      <c r="D46" s="47">
        <f t="shared" si="25"/>
        <v>2.0399999999999996</v>
      </c>
      <c r="E46" s="47">
        <f t="shared" si="25"/>
        <v>2.1600000000000006</v>
      </c>
      <c r="F46" s="47">
        <f t="shared" si="25"/>
        <v>0.48000000000000004</v>
      </c>
      <c r="G46" s="47">
        <f t="shared" si="25"/>
        <v>0.48000000000000004</v>
      </c>
      <c r="H46" s="47">
        <f t="shared" si="25"/>
        <v>0.60599999999999987</v>
      </c>
      <c r="I46" s="47">
        <f t="shared" si="25"/>
        <v>0.63</v>
      </c>
      <c r="J46" s="47">
        <f t="shared" si="25"/>
        <v>3.0000000000000002E-2</v>
      </c>
      <c r="K46" s="47">
        <f t="shared" si="25"/>
        <v>3.0000000000000002E-2</v>
      </c>
      <c r="L46" s="47">
        <f t="shared" si="25"/>
        <v>0.56999999999999995</v>
      </c>
      <c r="M46" s="47">
        <f t="shared" si="25"/>
        <v>0.58799999999999997</v>
      </c>
      <c r="N46" s="47">
        <f t="shared" si="25"/>
        <v>1.1999999999999997E-2</v>
      </c>
      <c r="O46" s="47">
        <f t="shared" si="25"/>
        <v>1.1999999999999997E-2</v>
      </c>
      <c r="Q46" s="36">
        <v>410.30000000000018</v>
      </c>
      <c r="R46" s="36">
        <v>413.09999999999991</v>
      </c>
      <c r="S46" s="36">
        <f t="shared" si="3"/>
        <v>16.819999999999997</v>
      </c>
      <c r="T46" s="36">
        <f t="shared" si="4"/>
        <v>16.819999999999997</v>
      </c>
      <c r="U46" s="36">
        <f t="shared" si="5"/>
        <v>1116.3176000000001</v>
      </c>
      <c r="V46" s="36">
        <f t="shared" si="6"/>
        <v>1117.6304</v>
      </c>
      <c r="W46" s="36">
        <f t="shared" si="7"/>
        <v>74.455680000000001</v>
      </c>
      <c r="X46" s="36">
        <f t="shared" si="8"/>
        <v>74.455680000000001</v>
      </c>
      <c r="Y46" s="36">
        <f t="shared" si="9"/>
        <v>19.905999999999999</v>
      </c>
      <c r="Z46" s="36">
        <f t="shared" si="10"/>
        <v>19.93</v>
      </c>
      <c r="AA46" s="53">
        <f t="shared" si="11"/>
        <v>35.53</v>
      </c>
      <c r="AB46" s="53">
        <f t="shared" si="12"/>
        <v>35.53</v>
      </c>
      <c r="AC46" s="36">
        <f t="shared" si="13"/>
        <v>22.07</v>
      </c>
      <c r="AD46" s="36">
        <f t="shared" si="14"/>
        <v>22.088000000000001</v>
      </c>
      <c r="AE46" s="53">
        <f t="shared" si="15"/>
        <v>35.512</v>
      </c>
      <c r="AF46" s="53">
        <f t="shared" si="16"/>
        <v>35.512</v>
      </c>
      <c r="CD46" s="69">
        <v>2018</v>
      </c>
      <c r="CE46" s="54">
        <f t="shared" si="17"/>
        <v>16.819999999999997</v>
      </c>
      <c r="CF46" s="54">
        <f t="shared" si="18"/>
        <v>74.455680000000001</v>
      </c>
      <c r="CG46" s="69">
        <f t="shared" si="19"/>
        <v>410.30000000000018</v>
      </c>
      <c r="CH46" s="54">
        <f t="shared" si="20"/>
        <v>16.819999999999997</v>
      </c>
      <c r="CI46" s="54">
        <f t="shared" si="22"/>
        <v>74.455680000000001</v>
      </c>
      <c r="CJ46" s="69">
        <f t="shared" si="21"/>
        <v>413.09999999999991</v>
      </c>
    </row>
    <row r="47" spans="1:95">
      <c r="A47" s="35">
        <v>2019</v>
      </c>
      <c r="B47" s="47">
        <f t="shared" si="25"/>
        <v>0.44333333333333319</v>
      </c>
      <c r="C47" s="47">
        <f t="shared" si="25"/>
        <v>0.44333333333333319</v>
      </c>
      <c r="D47" s="47">
        <f t="shared" si="25"/>
        <v>2.1533333333333329</v>
      </c>
      <c r="E47" s="47">
        <f t="shared" si="25"/>
        <v>2.2800000000000007</v>
      </c>
      <c r="F47" s="47">
        <f t="shared" si="25"/>
        <v>0.50666666666666671</v>
      </c>
      <c r="G47" s="47">
        <f t="shared" si="25"/>
        <v>0.50666666666666671</v>
      </c>
      <c r="H47" s="47">
        <f t="shared" si="25"/>
        <v>0.63966666666666649</v>
      </c>
      <c r="I47" s="47">
        <f t="shared" si="25"/>
        <v>0.66500000000000004</v>
      </c>
      <c r="J47" s="47">
        <f t="shared" si="25"/>
        <v>3.1666666666666669E-2</v>
      </c>
      <c r="K47" s="47">
        <f t="shared" si="25"/>
        <v>3.1666666666666669E-2</v>
      </c>
      <c r="L47" s="47">
        <f t="shared" si="25"/>
        <v>0.60166666666666657</v>
      </c>
      <c r="M47" s="47">
        <f t="shared" si="25"/>
        <v>0.62066666666666659</v>
      </c>
      <c r="N47" s="47">
        <f t="shared" si="25"/>
        <v>1.2666666666666663E-2</v>
      </c>
      <c r="O47" s="47">
        <f t="shared" si="25"/>
        <v>1.2666666666666663E-2</v>
      </c>
      <c r="Q47" s="36">
        <v>413.1500000000002</v>
      </c>
      <c r="R47" s="36">
        <v>416.0499999999999</v>
      </c>
      <c r="S47" s="36">
        <f t="shared" si="3"/>
        <v>16.84333333333333</v>
      </c>
      <c r="T47" s="36">
        <f t="shared" si="4"/>
        <v>16.84333333333333</v>
      </c>
      <c r="U47" s="36">
        <f t="shared" si="5"/>
        <v>1117.5574666666666</v>
      </c>
      <c r="V47" s="36">
        <f t="shared" si="6"/>
        <v>1118.9431999999999</v>
      </c>
      <c r="W47" s="36">
        <f t="shared" si="7"/>
        <v>74.475439999999992</v>
      </c>
      <c r="X47" s="36">
        <f t="shared" si="8"/>
        <v>74.475439999999992</v>
      </c>
      <c r="Y47" s="36">
        <f t="shared" si="9"/>
        <v>19.939666666666668</v>
      </c>
      <c r="Z47" s="36">
        <f t="shared" si="10"/>
        <v>19.965</v>
      </c>
      <c r="AA47" s="53">
        <f t="shared" si="11"/>
        <v>35.531666666666666</v>
      </c>
      <c r="AB47" s="53">
        <f t="shared" si="12"/>
        <v>35.531666666666666</v>
      </c>
      <c r="AC47" s="36">
        <f t="shared" si="13"/>
        <v>22.101666666666667</v>
      </c>
      <c r="AD47" s="36">
        <f t="shared" si="14"/>
        <v>22.120666666666665</v>
      </c>
      <c r="AE47" s="53">
        <f t="shared" si="15"/>
        <v>35.512666666666668</v>
      </c>
      <c r="AF47" s="53">
        <f t="shared" si="16"/>
        <v>35.512666666666668</v>
      </c>
      <c r="CD47" s="69">
        <v>2019</v>
      </c>
      <c r="CE47" s="54">
        <f t="shared" si="17"/>
        <v>16.84333333333333</v>
      </c>
      <c r="CF47" s="54">
        <f t="shared" si="18"/>
        <v>74.475439999999992</v>
      </c>
      <c r="CG47" s="69">
        <f t="shared" si="19"/>
        <v>413.1500000000002</v>
      </c>
      <c r="CH47" s="54">
        <f t="shared" si="20"/>
        <v>16.84333333333333</v>
      </c>
      <c r="CI47" s="54">
        <f t="shared" si="22"/>
        <v>74.475439999999992</v>
      </c>
      <c r="CJ47" s="69">
        <f t="shared" si="21"/>
        <v>416.0499999999999</v>
      </c>
    </row>
    <row r="48" spans="1:95">
      <c r="A48" s="35">
        <v>2020</v>
      </c>
      <c r="B48" s="47">
        <f t="shared" si="25"/>
        <v>0.46666666666666651</v>
      </c>
      <c r="C48" s="47">
        <f t="shared" si="25"/>
        <v>0.46666666666666651</v>
      </c>
      <c r="D48" s="47">
        <f t="shared" si="25"/>
        <v>2.2666666666666662</v>
      </c>
      <c r="E48" s="47">
        <f t="shared" si="25"/>
        <v>2.4000000000000008</v>
      </c>
      <c r="F48" s="47">
        <f t="shared" si="25"/>
        <v>0.53333333333333344</v>
      </c>
      <c r="G48" s="47">
        <f t="shared" si="25"/>
        <v>0.53333333333333344</v>
      </c>
      <c r="H48" s="47">
        <f t="shared" si="25"/>
        <v>0.67333333333333312</v>
      </c>
      <c r="I48" s="47">
        <f t="shared" si="25"/>
        <v>0.70000000000000007</v>
      </c>
      <c r="J48" s="47">
        <f t="shared" si="25"/>
        <v>3.333333333333334E-2</v>
      </c>
      <c r="K48" s="47">
        <f t="shared" si="25"/>
        <v>3.333333333333334E-2</v>
      </c>
      <c r="L48" s="47">
        <f t="shared" si="25"/>
        <v>0.63333333333333319</v>
      </c>
      <c r="M48" s="47">
        <f t="shared" si="25"/>
        <v>0.65333333333333321</v>
      </c>
      <c r="N48" s="47">
        <f t="shared" si="25"/>
        <v>1.3333333333333329E-2</v>
      </c>
      <c r="O48" s="47">
        <f t="shared" si="25"/>
        <v>1.3333333333333329E-2</v>
      </c>
      <c r="Q48" s="36">
        <v>416</v>
      </c>
      <c r="R48" s="36">
        <v>419</v>
      </c>
      <c r="S48" s="36">
        <f t="shared" si="3"/>
        <v>16.866666666666664</v>
      </c>
      <c r="T48" s="36">
        <f t="shared" si="4"/>
        <v>16.866666666666664</v>
      </c>
      <c r="U48" s="36">
        <f t="shared" si="5"/>
        <v>1118.7973333333334</v>
      </c>
      <c r="V48" s="36">
        <f t="shared" si="6"/>
        <v>1120.2560000000001</v>
      </c>
      <c r="W48" s="36">
        <f t="shared" si="7"/>
        <v>74.495199999999997</v>
      </c>
      <c r="X48" s="36">
        <f t="shared" si="8"/>
        <v>74.495199999999997</v>
      </c>
      <c r="Y48" s="36">
        <f t="shared" si="9"/>
        <v>19.973333333333333</v>
      </c>
      <c r="Z48" s="36">
        <f t="shared" si="10"/>
        <v>20</v>
      </c>
      <c r="AA48" s="53">
        <f t="shared" si="11"/>
        <v>35.533333333333331</v>
      </c>
      <c r="AB48" s="53">
        <f t="shared" si="12"/>
        <v>35.533333333333331</v>
      </c>
      <c r="AC48" s="36">
        <f t="shared" si="13"/>
        <v>22.133333333333333</v>
      </c>
      <c r="AD48" s="36">
        <f t="shared" si="14"/>
        <v>22.153333333333332</v>
      </c>
      <c r="AE48" s="53">
        <f t="shared" si="15"/>
        <v>35.513333333333335</v>
      </c>
      <c r="AF48" s="53">
        <f t="shared" si="16"/>
        <v>35.513333333333335</v>
      </c>
      <c r="CD48" s="69">
        <v>2020</v>
      </c>
      <c r="CE48" s="54">
        <f t="shared" si="17"/>
        <v>16.866666666666664</v>
      </c>
      <c r="CF48" s="54">
        <f t="shared" si="18"/>
        <v>74.495199999999997</v>
      </c>
      <c r="CG48" s="69">
        <f t="shared" si="19"/>
        <v>416</v>
      </c>
      <c r="CH48" s="54">
        <f t="shared" si="20"/>
        <v>16.866666666666664</v>
      </c>
      <c r="CI48" s="54">
        <f t="shared" si="22"/>
        <v>74.495199999999997</v>
      </c>
      <c r="CJ48" s="69">
        <f t="shared" si="21"/>
        <v>419</v>
      </c>
    </row>
    <row r="49" spans="1:90">
      <c r="A49" s="35">
        <v>2021</v>
      </c>
      <c r="B49" s="47">
        <f t="shared" si="25"/>
        <v>0.48999999999999982</v>
      </c>
      <c r="C49" s="47">
        <f t="shared" si="25"/>
        <v>0.48999999999999982</v>
      </c>
      <c r="D49" s="47">
        <f t="shared" si="25"/>
        <v>2.3799999999999994</v>
      </c>
      <c r="E49" s="47">
        <f t="shared" si="25"/>
        <v>2.5200000000000009</v>
      </c>
      <c r="F49" s="47">
        <f t="shared" si="25"/>
        <v>0.56000000000000005</v>
      </c>
      <c r="G49" s="47">
        <f t="shared" si="25"/>
        <v>0.56000000000000005</v>
      </c>
      <c r="H49" s="47">
        <f t="shared" si="25"/>
        <v>0.70699999999999974</v>
      </c>
      <c r="I49" s="47">
        <f t="shared" si="25"/>
        <v>0.7350000000000001</v>
      </c>
      <c r="J49" s="47">
        <f t="shared" si="25"/>
        <v>3.5000000000000003E-2</v>
      </c>
      <c r="K49" s="47">
        <f t="shared" si="25"/>
        <v>3.5000000000000003E-2</v>
      </c>
      <c r="L49" s="47">
        <f t="shared" si="25"/>
        <v>0.66499999999999981</v>
      </c>
      <c r="M49" s="47">
        <f t="shared" si="25"/>
        <v>0.68599999999999983</v>
      </c>
      <c r="N49" s="47">
        <f t="shared" si="25"/>
        <v>1.3999999999999995E-2</v>
      </c>
      <c r="O49" s="47">
        <f t="shared" si="25"/>
        <v>1.3999999999999995E-2</v>
      </c>
      <c r="Q49" s="36">
        <v>419.6</v>
      </c>
      <c r="R49" s="36">
        <v>422.15</v>
      </c>
      <c r="S49" s="36">
        <f t="shared" si="3"/>
        <v>16.889999999999997</v>
      </c>
      <c r="T49" s="36">
        <f t="shared" si="4"/>
        <v>16.889999999999997</v>
      </c>
      <c r="U49" s="36">
        <f t="shared" si="5"/>
        <v>1120.0372</v>
      </c>
      <c r="V49" s="36">
        <f t="shared" si="6"/>
        <v>1121.5688</v>
      </c>
      <c r="W49" s="36">
        <f t="shared" si="7"/>
        <v>74.514959999999988</v>
      </c>
      <c r="X49" s="36">
        <f t="shared" si="8"/>
        <v>74.514959999999988</v>
      </c>
      <c r="Y49" s="36">
        <f t="shared" si="9"/>
        <v>20.007000000000001</v>
      </c>
      <c r="Z49" s="36">
        <f t="shared" si="10"/>
        <v>20.035</v>
      </c>
      <c r="AA49" s="53">
        <f t="shared" si="11"/>
        <v>35.534999999999997</v>
      </c>
      <c r="AB49" s="53">
        <f t="shared" si="12"/>
        <v>35.534999999999997</v>
      </c>
      <c r="AC49" s="36">
        <f t="shared" si="13"/>
        <v>22.164999999999999</v>
      </c>
      <c r="AD49" s="36">
        <f t="shared" si="14"/>
        <v>22.186</v>
      </c>
      <c r="AE49" s="53">
        <f t="shared" si="15"/>
        <v>35.514000000000003</v>
      </c>
      <c r="AF49" s="53">
        <f t="shared" si="16"/>
        <v>35.514000000000003</v>
      </c>
      <c r="CD49" s="69">
        <v>2021</v>
      </c>
      <c r="CE49" s="54">
        <f t="shared" si="17"/>
        <v>16.889999999999997</v>
      </c>
      <c r="CF49" s="54">
        <f t="shared" si="18"/>
        <v>74.514959999999988</v>
      </c>
      <c r="CG49" s="69">
        <f t="shared" si="19"/>
        <v>419.6</v>
      </c>
      <c r="CH49" s="54">
        <f t="shared" si="20"/>
        <v>16.889999999999997</v>
      </c>
      <c r="CI49" s="54">
        <f t="shared" si="22"/>
        <v>74.514959999999988</v>
      </c>
      <c r="CJ49" s="69">
        <f t="shared" si="21"/>
        <v>422.15</v>
      </c>
    </row>
    <row r="50" spans="1:90">
      <c r="A50" s="35">
        <v>2022</v>
      </c>
      <c r="B50" s="47">
        <f t="shared" si="25"/>
        <v>0.5133333333333332</v>
      </c>
      <c r="C50" s="47">
        <f t="shared" si="25"/>
        <v>0.5133333333333332</v>
      </c>
      <c r="D50" s="47">
        <f t="shared" si="25"/>
        <v>2.4933333333333327</v>
      </c>
      <c r="E50" s="47">
        <f t="shared" si="25"/>
        <v>2.640000000000001</v>
      </c>
      <c r="F50" s="47">
        <f t="shared" si="25"/>
        <v>0.58666666666666667</v>
      </c>
      <c r="G50" s="47">
        <f t="shared" si="25"/>
        <v>0.58666666666666667</v>
      </c>
      <c r="H50" s="47">
        <f t="shared" si="25"/>
        <v>0.74066666666666636</v>
      </c>
      <c r="I50" s="47">
        <f t="shared" si="25"/>
        <v>0.77000000000000013</v>
      </c>
      <c r="J50" s="47">
        <f t="shared" si="25"/>
        <v>3.6666666666666667E-2</v>
      </c>
      <c r="K50" s="47">
        <f t="shared" si="25"/>
        <v>3.6666666666666667E-2</v>
      </c>
      <c r="L50" s="47">
        <f t="shared" si="25"/>
        <v>0.69666666666666643</v>
      </c>
      <c r="M50" s="47">
        <f t="shared" si="25"/>
        <v>0.71866666666666645</v>
      </c>
      <c r="N50" s="47">
        <f t="shared" si="25"/>
        <v>1.4666666666666661E-2</v>
      </c>
      <c r="O50" s="47">
        <f t="shared" si="25"/>
        <v>1.4666666666666661E-2</v>
      </c>
      <c r="Q50" s="36">
        <v>423.20000000000005</v>
      </c>
      <c r="R50" s="36">
        <v>425.29999999999995</v>
      </c>
      <c r="S50" s="36">
        <f t="shared" si="3"/>
        <v>16.91333333333333</v>
      </c>
      <c r="T50" s="36">
        <f t="shared" si="4"/>
        <v>16.91333333333333</v>
      </c>
      <c r="U50" s="36">
        <f t="shared" si="5"/>
        <v>1121.2770666666668</v>
      </c>
      <c r="V50" s="36">
        <f t="shared" si="6"/>
        <v>1122.8815999999999</v>
      </c>
      <c r="W50" s="36">
        <f t="shared" si="7"/>
        <v>74.534719999999993</v>
      </c>
      <c r="X50" s="36">
        <f t="shared" si="8"/>
        <v>74.534719999999993</v>
      </c>
      <c r="Y50" s="36">
        <f t="shared" si="9"/>
        <v>20.040666666666667</v>
      </c>
      <c r="Z50" s="36">
        <f t="shared" si="10"/>
        <v>20.07</v>
      </c>
      <c r="AA50" s="53">
        <f t="shared" si="11"/>
        <v>35.536666666666669</v>
      </c>
      <c r="AB50" s="53">
        <f t="shared" si="12"/>
        <v>35.536666666666669</v>
      </c>
      <c r="AC50" s="36">
        <f t="shared" si="13"/>
        <v>22.196666666666665</v>
      </c>
      <c r="AD50" s="36">
        <f t="shared" si="14"/>
        <v>22.218666666666667</v>
      </c>
      <c r="AE50" s="53">
        <f t="shared" si="15"/>
        <v>35.514666666666663</v>
      </c>
      <c r="AF50" s="53">
        <f t="shared" si="16"/>
        <v>35.514666666666663</v>
      </c>
      <c r="CD50" s="69">
        <v>2022</v>
      </c>
      <c r="CE50" s="54">
        <f t="shared" si="17"/>
        <v>16.91333333333333</v>
      </c>
      <c r="CF50" s="54">
        <f t="shared" si="18"/>
        <v>74.534719999999993</v>
      </c>
      <c r="CG50" s="69">
        <f t="shared" si="19"/>
        <v>423.20000000000005</v>
      </c>
      <c r="CH50" s="54">
        <f t="shared" si="20"/>
        <v>16.91333333333333</v>
      </c>
      <c r="CI50" s="54">
        <f t="shared" si="22"/>
        <v>74.534719999999993</v>
      </c>
      <c r="CJ50" s="69">
        <f t="shared" si="21"/>
        <v>425.29999999999995</v>
      </c>
    </row>
    <row r="51" spans="1:90">
      <c r="A51" s="35">
        <v>2023</v>
      </c>
      <c r="B51" s="47">
        <f t="shared" si="25"/>
        <v>0.53666666666666651</v>
      </c>
      <c r="C51" s="47">
        <f t="shared" si="25"/>
        <v>0.53666666666666651</v>
      </c>
      <c r="D51" s="47">
        <f t="shared" si="25"/>
        <v>2.606666666666666</v>
      </c>
      <c r="E51" s="47">
        <f t="shared" si="25"/>
        <v>2.7600000000000011</v>
      </c>
      <c r="F51" s="47">
        <f t="shared" si="25"/>
        <v>0.61333333333333329</v>
      </c>
      <c r="G51" s="47">
        <f t="shared" si="25"/>
        <v>0.61333333333333329</v>
      </c>
      <c r="H51" s="47">
        <f t="shared" si="25"/>
        <v>0.77433333333333298</v>
      </c>
      <c r="I51" s="47">
        <f t="shared" si="25"/>
        <v>0.80500000000000016</v>
      </c>
      <c r="J51" s="47">
        <f t="shared" si="25"/>
        <v>3.833333333333333E-2</v>
      </c>
      <c r="K51" s="47">
        <f t="shared" si="25"/>
        <v>3.833333333333333E-2</v>
      </c>
      <c r="L51" s="47">
        <f t="shared" si="25"/>
        <v>0.72833333333333306</v>
      </c>
      <c r="M51" s="47">
        <f t="shared" si="25"/>
        <v>0.75133333333333308</v>
      </c>
      <c r="N51" s="47">
        <f t="shared" si="25"/>
        <v>1.5333333333333327E-2</v>
      </c>
      <c r="O51" s="47">
        <f t="shared" si="25"/>
        <v>1.5333333333333327E-2</v>
      </c>
      <c r="Q51" s="36">
        <v>426.80000000000007</v>
      </c>
      <c r="R51" s="36">
        <v>428.44999999999993</v>
      </c>
      <c r="S51" s="36">
        <f t="shared" si="3"/>
        <v>16.936666666666664</v>
      </c>
      <c r="T51" s="36">
        <f t="shared" si="4"/>
        <v>16.936666666666664</v>
      </c>
      <c r="U51" s="36">
        <f t="shared" si="5"/>
        <v>1122.5169333333333</v>
      </c>
      <c r="V51" s="36">
        <f t="shared" si="6"/>
        <v>1124.1944000000001</v>
      </c>
      <c r="W51" s="36">
        <f t="shared" si="7"/>
        <v>74.554479999999998</v>
      </c>
      <c r="X51" s="36">
        <f t="shared" si="8"/>
        <v>74.554479999999998</v>
      </c>
      <c r="Y51" s="36">
        <f t="shared" si="9"/>
        <v>20.074333333333335</v>
      </c>
      <c r="Z51" s="36">
        <f t="shared" si="10"/>
        <v>20.105</v>
      </c>
      <c r="AA51" s="53">
        <f t="shared" si="11"/>
        <v>35.538333333333334</v>
      </c>
      <c r="AB51" s="53">
        <f t="shared" si="12"/>
        <v>35.538333333333334</v>
      </c>
      <c r="AC51" s="36">
        <f t="shared" si="13"/>
        <v>22.228333333333332</v>
      </c>
      <c r="AD51" s="36">
        <f t="shared" si="14"/>
        <v>22.251333333333331</v>
      </c>
      <c r="AE51" s="53">
        <f t="shared" si="15"/>
        <v>35.515333333333331</v>
      </c>
      <c r="AF51" s="53">
        <f t="shared" si="16"/>
        <v>35.515333333333331</v>
      </c>
      <c r="CD51" s="69">
        <v>2023</v>
      </c>
      <c r="CE51" s="54">
        <f t="shared" si="17"/>
        <v>16.936666666666664</v>
      </c>
      <c r="CF51" s="54">
        <f t="shared" si="18"/>
        <v>74.554479999999998</v>
      </c>
      <c r="CG51" s="69">
        <f t="shared" si="19"/>
        <v>426.80000000000007</v>
      </c>
      <c r="CH51" s="54">
        <f t="shared" si="20"/>
        <v>16.936666666666664</v>
      </c>
      <c r="CI51" s="54">
        <f t="shared" si="22"/>
        <v>74.554479999999998</v>
      </c>
      <c r="CJ51" s="69">
        <f t="shared" si="21"/>
        <v>428.44999999999993</v>
      </c>
    </row>
    <row r="52" spans="1:90">
      <c r="A52" s="35">
        <v>2024</v>
      </c>
      <c r="B52" s="47">
        <f t="shared" si="25"/>
        <v>0.55999999999999983</v>
      </c>
      <c r="C52" s="47">
        <f t="shared" si="25"/>
        <v>0.55999999999999983</v>
      </c>
      <c r="D52" s="47">
        <f t="shared" si="25"/>
        <v>2.7199999999999993</v>
      </c>
      <c r="E52" s="47">
        <f t="shared" si="25"/>
        <v>2.8800000000000012</v>
      </c>
      <c r="F52" s="47">
        <f t="shared" si="25"/>
        <v>0.6399999999999999</v>
      </c>
      <c r="G52" s="47">
        <f t="shared" si="25"/>
        <v>0.6399999999999999</v>
      </c>
      <c r="H52" s="47">
        <f t="shared" si="25"/>
        <v>0.80799999999999961</v>
      </c>
      <c r="I52" s="47">
        <f t="shared" si="25"/>
        <v>0.84000000000000019</v>
      </c>
      <c r="J52" s="47">
        <f t="shared" si="25"/>
        <v>3.9999999999999994E-2</v>
      </c>
      <c r="K52" s="47">
        <f t="shared" si="25"/>
        <v>3.9999999999999994E-2</v>
      </c>
      <c r="L52" s="47">
        <f t="shared" si="25"/>
        <v>0.75999999999999968</v>
      </c>
      <c r="M52" s="47">
        <f t="shared" si="25"/>
        <v>0.7839999999999997</v>
      </c>
      <c r="N52" s="47">
        <f t="shared" si="25"/>
        <v>1.5999999999999993E-2</v>
      </c>
      <c r="O52" s="47">
        <f t="shared" si="25"/>
        <v>1.5999999999999993E-2</v>
      </c>
      <c r="Q52" s="36">
        <v>430.40000000000009</v>
      </c>
      <c r="R52" s="36">
        <v>431.59999999999991</v>
      </c>
      <c r="S52" s="36">
        <f t="shared" si="3"/>
        <v>16.959999999999997</v>
      </c>
      <c r="T52" s="36">
        <f t="shared" si="4"/>
        <v>16.959999999999997</v>
      </c>
      <c r="U52" s="36">
        <f t="shared" si="5"/>
        <v>1123.7567999999999</v>
      </c>
      <c r="V52" s="36">
        <f t="shared" si="6"/>
        <v>1125.5072</v>
      </c>
      <c r="W52" s="36">
        <f t="shared" si="7"/>
        <v>74.574239999999989</v>
      </c>
      <c r="X52" s="36">
        <f t="shared" si="8"/>
        <v>74.574239999999989</v>
      </c>
      <c r="Y52" s="36">
        <f t="shared" si="9"/>
        <v>20.108000000000001</v>
      </c>
      <c r="Z52" s="36">
        <f t="shared" si="10"/>
        <v>20.14</v>
      </c>
      <c r="AA52" s="53">
        <f t="shared" si="11"/>
        <v>35.54</v>
      </c>
      <c r="AB52" s="53">
        <f t="shared" si="12"/>
        <v>35.54</v>
      </c>
      <c r="AC52" s="36">
        <f t="shared" si="13"/>
        <v>22.259999999999998</v>
      </c>
      <c r="AD52" s="36">
        <f t="shared" si="14"/>
        <v>22.283999999999999</v>
      </c>
      <c r="AE52" s="53">
        <f t="shared" si="15"/>
        <v>35.515999999999998</v>
      </c>
      <c r="AF52" s="53">
        <f t="shared" si="16"/>
        <v>35.515999999999998</v>
      </c>
      <c r="AH52" s="43"/>
      <c r="CD52" s="69">
        <v>2024</v>
      </c>
      <c r="CE52" s="54">
        <f t="shared" si="17"/>
        <v>16.959999999999997</v>
      </c>
      <c r="CF52" s="54">
        <f t="shared" si="18"/>
        <v>74.574239999999989</v>
      </c>
      <c r="CG52" s="69">
        <f t="shared" si="19"/>
        <v>430.40000000000009</v>
      </c>
      <c r="CH52" s="54">
        <f t="shared" si="20"/>
        <v>16.959999999999997</v>
      </c>
      <c r="CI52" s="54">
        <f t="shared" si="22"/>
        <v>74.574239999999989</v>
      </c>
      <c r="CJ52" s="69">
        <f t="shared" si="21"/>
        <v>431.59999999999991</v>
      </c>
    </row>
    <row r="53" spans="1:90">
      <c r="A53" s="35">
        <v>2025</v>
      </c>
      <c r="B53" s="47">
        <f t="shared" si="25"/>
        <v>0.58333333333333315</v>
      </c>
      <c r="C53" s="47">
        <f t="shared" si="25"/>
        <v>0.58333333333333315</v>
      </c>
      <c r="D53" s="47">
        <f t="shared" si="25"/>
        <v>2.8333333333333326</v>
      </c>
      <c r="E53" s="47">
        <f t="shared" si="25"/>
        <v>3.0000000000000013</v>
      </c>
      <c r="F53" s="47">
        <f t="shared" si="25"/>
        <v>0.66666666666666652</v>
      </c>
      <c r="G53" s="47">
        <f t="shared" si="25"/>
        <v>0.66666666666666652</v>
      </c>
      <c r="H53" s="47">
        <f t="shared" si="25"/>
        <v>0.84166666666666623</v>
      </c>
      <c r="I53" s="47">
        <f t="shared" si="25"/>
        <v>0.87500000000000022</v>
      </c>
      <c r="J53" s="47">
        <f t="shared" si="25"/>
        <v>4.1666666666666657E-2</v>
      </c>
      <c r="K53" s="47">
        <f t="shared" si="25"/>
        <v>4.1666666666666657E-2</v>
      </c>
      <c r="L53" s="47">
        <f t="shared" si="25"/>
        <v>0.7916666666666663</v>
      </c>
      <c r="M53" s="47">
        <f t="shared" si="25"/>
        <v>0.81666666666666632</v>
      </c>
      <c r="N53" s="47">
        <f t="shared" si="25"/>
        <v>1.6666666666666659E-2</v>
      </c>
      <c r="O53" s="47">
        <f t="shared" si="25"/>
        <v>1.6666666666666659E-2</v>
      </c>
      <c r="Q53" s="36">
        <v>434.00000000000011</v>
      </c>
      <c r="R53" s="36">
        <v>434.74999999999989</v>
      </c>
      <c r="S53" s="36">
        <f t="shared" si="3"/>
        <v>16.983333333333331</v>
      </c>
      <c r="T53" s="36">
        <f t="shared" si="4"/>
        <v>16.983333333333331</v>
      </c>
      <c r="U53" s="36">
        <f t="shared" si="5"/>
        <v>1124.9966666666667</v>
      </c>
      <c r="V53" s="36">
        <f t="shared" si="6"/>
        <v>1126.82</v>
      </c>
      <c r="W53" s="36">
        <f t="shared" si="7"/>
        <v>74.593999999999994</v>
      </c>
      <c r="X53" s="36">
        <f t="shared" si="8"/>
        <v>74.593999999999994</v>
      </c>
      <c r="Y53" s="36">
        <f t="shared" si="9"/>
        <v>20.141666666666666</v>
      </c>
      <c r="Z53" s="36">
        <f t="shared" si="10"/>
        <v>20.175000000000001</v>
      </c>
      <c r="AA53" s="53">
        <f t="shared" si="11"/>
        <v>35.541666666666664</v>
      </c>
      <c r="AB53" s="53">
        <f t="shared" si="12"/>
        <v>35.541666666666664</v>
      </c>
      <c r="AC53" s="36">
        <f t="shared" si="13"/>
        <v>22.291666666666668</v>
      </c>
      <c r="AD53" s="36">
        <f t="shared" si="14"/>
        <v>22.316666666666666</v>
      </c>
      <c r="AE53" s="53">
        <f t="shared" si="15"/>
        <v>35.516666666666666</v>
      </c>
      <c r="AF53" s="53">
        <f t="shared" si="16"/>
        <v>35.516666666666666</v>
      </c>
      <c r="AH53" s="43"/>
      <c r="CD53" s="69">
        <v>2025</v>
      </c>
      <c r="CE53" s="54">
        <f t="shared" si="17"/>
        <v>16.983333333333331</v>
      </c>
      <c r="CF53" s="54">
        <f t="shared" si="18"/>
        <v>74.593999999999994</v>
      </c>
      <c r="CG53" s="69">
        <f t="shared" si="19"/>
        <v>434.00000000000011</v>
      </c>
      <c r="CH53" s="54">
        <f t="shared" si="20"/>
        <v>16.983333333333331</v>
      </c>
      <c r="CI53" s="54">
        <f t="shared" si="22"/>
        <v>74.593999999999994</v>
      </c>
      <c r="CJ53" s="69">
        <f t="shared" si="21"/>
        <v>434.74999999999989</v>
      </c>
    </row>
    <row r="54" spans="1:90">
      <c r="A54" s="35">
        <v>2026</v>
      </c>
      <c r="B54" s="47">
        <f t="shared" si="25"/>
        <v>0.60666666666666647</v>
      </c>
      <c r="C54" s="47">
        <f t="shared" si="25"/>
        <v>0.60666666666666647</v>
      </c>
      <c r="D54" s="47">
        <f t="shared" si="25"/>
        <v>2.9466666666666659</v>
      </c>
      <c r="E54" s="47">
        <f t="shared" si="25"/>
        <v>3.1200000000000014</v>
      </c>
      <c r="F54" s="47">
        <f t="shared" si="25"/>
        <v>0.69333333333333313</v>
      </c>
      <c r="G54" s="47">
        <f t="shared" si="25"/>
        <v>0.69333333333333313</v>
      </c>
      <c r="H54" s="47">
        <f t="shared" si="25"/>
        <v>0.87533333333333285</v>
      </c>
      <c r="I54" s="47">
        <f t="shared" si="25"/>
        <v>0.91000000000000025</v>
      </c>
      <c r="J54" s="47">
        <f t="shared" si="25"/>
        <v>4.3333333333333321E-2</v>
      </c>
      <c r="K54" s="47">
        <f t="shared" si="25"/>
        <v>4.3333333333333321E-2</v>
      </c>
      <c r="L54" s="47">
        <f t="shared" si="25"/>
        <v>0.82333333333333292</v>
      </c>
      <c r="M54" s="47">
        <f t="shared" si="25"/>
        <v>0.84933333333333294</v>
      </c>
      <c r="N54" s="47">
        <f t="shared" si="25"/>
        <v>1.7333333333333326E-2</v>
      </c>
      <c r="O54" s="47">
        <f t="shared" si="25"/>
        <v>1.7333333333333326E-2</v>
      </c>
      <c r="Q54" s="36">
        <v>437.60000000000014</v>
      </c>
      <c r="R54" s="36">
        <v>437.89999999999986</v>
      </c>
      <c r="S54" s="36">
        <f t="shared" si="3"/>
        <v>17.006666666666664</v>
      </c>
      <c r="T54" s="36">
        <f t="shared" si="4"/>
        <v>17.006666666666664</v>
      </c>
      <c r="U54" s="36">
        <f t="shared" si="5"/>
        <v>1126.2365333333332</v>
      </c>
      <c r="V54" s="36">
        <f t="shared" si="6"/>
        <v>1128.1328000000001</v>
      </c>
      <c r="W54" s="36">
        <f t="shared" si="7"/>
        <v>74.613759999999999</v>
      </c>
      <c r="X54" s="36">
        <f t="shared" si="8"/>
        <v>74.613759999999999</v>
      </c>
      <c r="Y54" s="36">
        <f t="shared" si="9"/>
        <v>20.175333333333334</v>
      </c>
      <c r="Z54" s="36">
        <f t="shared" si="10"/>
        <v>20.21</v>
      </c>
      <c r="AA54" s="53">
        <f t="shared" si="11"/>
        <v>35.543333333333337</v>
      </c>
      <c r="AB54" s="53">
        <f t="shared" si="12"/>
        <v>35.543333333333337</v>
      </c>
      <c r="AC54" s="36">
        <f t="shared" si="13"/>
        <v>22.323333333333334</v>
      </c>
      <c r="AD54" s="36">
        <f t="shared" si="14"/>
        <v>22.349333333333334</v>
      </c>
      <c r="AE54" s="53">
        <f t="shared" si="15"/>
        <v>35.517333333333333</v>
      </c>
      <c r="AF54" s="53">
        <f t="shared" si="16"/>
        <v>35.517333333333333</v>
      </c>
      <c r="AH54" s="43"/>
      <c r="CD54" s="69">
        <v>2026</v>
      </c>
      <c r="CE54" s="54">
        <f t="shared" si="17"/>
        <v>17.006666666666664</v>
      </c>
      <c r="CF54" s="54">
        <f t="shared" si="18"/>
        <v>74.613759999999999</v>
      </c>
      <c r="CG54" s="69">
        <f t="shared" si="19"/>
        <v>437.60000000000014</v>
      </c>
      <c r="CH54" s="54">
        <f t="shared" si="20"/>
        <v>17.006666666666664</v>
      </c>
      <c r="CI54" s="54">
        <f t="shared" si="22"/>
        <v>74.613759999999999</v>
      </c>
      <c r="CJ54" s="69">
        <f t="shared" si="21"/>
        <v>437.89999999999986</v>
      </c>
    </row>
    <row r="55" spans="1:90">
      <c r="A55" s="35">
        <v>2027</v>
      </c>
      <c r="B55" s="47">
        <f t="shared" ref="B55:O57" si="26">(B$7-B$6)/COUNT($A$38:$A$57)+B54</f>
        <v>0.62999999999999978</v>
      </c>
      <c r="C55" s="47">
        <f t="shared" si="26"/>
        <v>0.62999999999999978</v>
      </c>
      <c r="D55" s="47">
        <f t="shared" si="26"/>
        <v>3.0599999999999992</v>
      </c>
      <c r="E55" s="47">
        <f t="shared" si="26"/>
        <v>3.2400000000000015</v>
      </c>
      <c r="F55" s="47">
        <f t="shared" si="26"/>
        <v>0.71999999999999975</v>
      </c>
      <c r="G55" s="47">
        <f t="shared" si="26"/>
        <v>0.71999999999999975</v>
      </c>
      <c r="H55" s="47">
        <f t="shared" si="26"/>
        <v>0.90899999999999948</v>
      </c>
      <c r="I55" s="47">
        <f t="shared" si="26"/>
        <v>0.94500000000000028</v>
      </c>
      <c r="J55" s="47">
        <f t="shared" si="26"/>
        <v>4.4999999999999984E-2</v>
      </c>
      <c r="K55" s="47">
        <f t="shared" si="26"/>
        <v>4.4999999999999984E-2</v>
      </c>
      <c r="L55" s="47">
        <f t="shared" si="26"/>
        <v>0.85499999999999954</v>
      </c>
      <c r="M55" s="47">
        <f t="shared" si="26"/>
        <v>0.88199999999999956</v>
      </c>
      <c r="N55" s="47">
        <f t="shared" si="26"/>
        <v>1.7999999999999992E-2</v>
      </c>
      <c r="O55" s="47">
        <f t="shared" si="26"/>
        <v>1.7999999999999992E-2</v>
      </c>
      <c r="Q55" s="36">
        <v>441.20000000000016</v>
      </c>
      <c r="R55" s="36">
        <v>441.04999999999984</v>
      </c>
      <c r="S55" s="36">
        <f t="shared" si="3"/>
        <v>17.029999999999998</v>
      </c>
      <c r="T55" s="36">
        <f t="shared" si="4"/>
        <v>17.029999999999998</v>
      </c>
      <c r="U55" s="36">
        <f t="shared" si="5"/>
        <v>1127.4764</v>
      </c>
      <c r="V55" s="36">
        <f t="shared" si="6"/>
        <v>1129.4456</v>
      </c>
      <c r="W55" s="36">
        <f t="shared" si="7"/>
        <v>74.63351999999999</v>
      </c>
      <c r="X55" s="36">
        <f t="shared" si="8"/>
        <v>74.63351999999999</v>
      </c>
      <c r="Y55" s="36">
        <f t="shared" si="9"/>
        <v>20.209</v>
      </c>
      <c r="Z55" s="36">
        <f t="shared" si="10"/>
        <v>20.245000000000001</v>
      </c>
      <c r="AA55" s="53">
        <f t="shared" si="11"/>
        <v>35.545000000000002</v>
      </c>
      <c r="AB55" s="53">
        <f t="shared" si="12"/>
        <v>35.545000000000002</v>
      </c>
      <c r="AC55" s="36">
        <f t="shared" si="13"/>
        <v>22.355</v>
      </c>
      <c r="AD55" s="36">
        <f t="shared" si="14"/>
        <v>22.381999999999998</v>
      </c>
      <c r="AE55" s="53">
        <f t="shared" si="15"/>
        <v>35.518000000000001</v>
      </c>
      <c r="AF55" s="53">
        <f t="shared" si="16"/>
        <v>35.518000000000001</v>
      </c>
      <c r="AH55" s="43"/>
      <c r="CD55" s="69">
        <v>2027</v>
      </c>
      <c r="CE55" s="54">
        <f t="shared" si="17"/>
        <v>17.029999999999998</v>
      </c>
      <c r="CF55" s="54">
        <f t="shared" si="18"/>
        <v>74.63351999999999</v>
      </c>
      <c r="CG55" s="69">
        <f t="shared" si="19"/>
        <v>441.20000000000016</v>
      </c>
      <c r="CH55" s="54">
        <f t="shared" si="20"/>
        <v>17.029999999999998</v>
      </c>
      <c r="CI55" s="54">
        <f t="shared" si="22"/>
        <v>74.63351999999999</v>
      </c>
      <c r="CJ55" s="69">
        <f t="shared" si="21"/>
        <v>441.04999999999984</v>
      </c>
    </row>
    <row r="56" spans="1:90">
      <c r="A56" s="35">
        <v>2028</v>
      </c>
      <c r="B56" s="47">
        <f t="shared" si="26"/>
        <v>0.6533333333333331</v>
      </c>
      <c r="C56" s="47">
        <f t="shared" si="26"/>
        <v>0.6533333333333331</v>
      </c>
      <c r="D56" s="47">
        <f t="shared" si="26"/>
        <v>3.1733333333333325</v>
      </c>
      <c r="E56" s="47">
        <f t="shared" si="26"/>
        <v>3.3600000000000017</v>
      </c>
      <c r="F56" s="47">
        <f t="shared" si="26"/>
        <v>0.74666666666666637</v>
      </c>
      <c r="G56" s="47">
        <f t="shared" si="26"/>
        <v>0.74666666666666637</v>
      </c>
      <c r="H56" s="47">
        <f t="shared" si="26"/>
        <v>0.9426666666666661</v>
      </c>
      <c r="I56" s="47">
        <f t="shared" si="26"/>
        <v>0.98000000000000032</v>
      </c>
      <c r="J56" s="47">
        <f t="shared" si="26"/>
        <v>4.6666666666666648E-2</v>
      </c>
      <c r="K56" s="47">
        <f t="shared" si="26"/>
        <v>4.6666666666666648E-2</v>
      </c>
      <c r="L56" s="47">
        <f t="shared" si="26"/>
        <v>0.88666666666666616</v>
      </c>
      <c r="M56" s="47">
        <f t="shared" si="26"/>
        <v>0.91466666666666618</v>
      </c>
      <c r="N56" s="47">
        <f t="shared" si="26"/>
        <v>1.8666666666666658E-2</v>
      </c>
      <c r="O56" s="47">
        <f t="shared" si="26"/>
        <v>1.8666666666666658E-2</v>
      </c>
      <c r="Q56" s="36">
        <v>444.80000000000018</v>
      </c>
      <c r="R56" s="36">
        <v>444.19999999999982</v>
      </c>
      <c r="S56" s="36">
        <f t="shared" si="3"/>
        <v>17.053333333333331</v>
      </c>
      <c r="T56" s="36">
        <f t="shared" si="4"/>
        <v>17.053333333333331</v>
      </c>
      <c r="U56" s="36">
        <f t="shared" si="5"/>
        <v>1128.7162666666666</v>
      </c>
      <c r="V56" s="36">
        <f t="shared" si="6"/>
        <v>1130.7583999999999</v>
      </c>
      <c r="W56" s="36">
        <f t="shared" si="7"/>
        <v>74.653279999999995</v>
      </c>
      <c r="X56" s="36">
        <f t="shared" si="8"/>
        <v>74.653279999999995</v>
      </c>
      <c r="Y56" s="36">
        <f t="shared" si="9"/>
        <v>20.242666666666668</v>
      </c>
      <c r="Z56" s="36">
        <f t="shared" si="10"/>
        <v>20.28</v>
      </c>
      <c r="AA56" s="53">
        <f t="shared" si="11"/>
        <v>35.546666666666667</v>
      </c>
      <c r="AB56" s="53">
        <f t="shared" si="12"/>
        <v>35.546666666666667</v>
      </c>
      <c r="AC56" s="36">
        <f t="shared" si="13"/>
        <v>22.386666666666667</v>
      </c>
      <c r="AD56" s="36">
        <f t="shared" si="14"/>
        <v>22.414666666666665</v>
      </c>
      <c r="AE56" s="53">
        <f t="shared" si="15"/>
        <v>35.518666666666668</v>
      </c>
      <c r="AF56" s="53">
        <f t="shared" si="16"/>
        <v>35.518666666666668</v>
      </c>
      <c r="AH56" s="43"/>
      <c r="BG56" s="55"/>
      <c r="BO56" s="55"/>
      <c r="BW56" s="55"/>
      <c r="CD56" s="69">
        <v>2028</v>
      </c>
      <c r="CE56" s="54">
        <f t="shared" si="17"/>
        <v>17.053333333333331</v>
      </c>
      <c r="CF56" s="54">
        <f t="shared" si="18"/>
        <v>74.653279999999995</v>
      </c>
      <c r="CG56" s="69">
        <f t="shared" si="19"/>
        <v>444.80000000000018</v>
      </c>
      <c r="CH56" s="54">
        <f t="shared" si="20"/>
        <v>17.053333333333331</v>
      </c>
      <c r="CI56" s="54">
        <f t="shared" si="22"/>
        <v>74.653279999999995</v>
      </c>
      <c r="CJ56" s="69">
        <f t="shared" si="21"/>
        <v>444.19999999999982</v>
      </c>
      <c r="CL56" s="55"/>
    </row>
    <row r="57" spans="1:90">
      <c r="A57" s="35">
        <v>2029</v>
      </c>
      <c r="B57" s="47">
        <f t="shared" si="26"/>
        <v>0.67666666666666642</v>
      </c>
      <c r="C57" s="47">
        <f t="shared" si="26"/>
        <v>0.67666666666666642</v>
      </c>
      <c r="D57" s="47">
        <f t="shared" si="26"/>
        <v>3.2866666666666657</v>
      </c>
      <c r="E57" s="47">
        <f t="shared" si="26"/>
        <v>3.4800000000000018</v>
      </c>
      <c r="F57" s="47">
        <f t="shared" si="26"/>
        <v>0.77333333333333298</v>
      </c>
      <c r="G57" s="47">
        <f t="shared" si="26"/>
        <v>0.77333333333333298</v>
      </c>
      <c r="H57" s="47">
        <f t="shared" si="26"/>
        <v>0.97633333333333272</v>
      </c>
      <c r="I57" s="47">
        <f t="shared" si="26"/>
        <v>1.0150000000000003</v>
      </c>
      <c r="J57" s="47">
        <f t="shared" si="26"/>
        <v>4.8333333333333311E-2</v>
      </c>
      <c r="K57" s="47">
        <f t="shared" si="26"/>
        <v>4.8333333333333311E-2</v>
      </c>
      <c r="L57" s="47">
        <f t="shared" si="26"/>
        <v>0.91833333333333278</v>
      </c>
      <c r="M57" s="47">
        <f t="shared" si="26"/>
        <v>0.94733333333333281</v>
      </c>
      <c r="N57" s="47">
        <f t="shared" si="26"/>
        <v>1.9333333333333324E-2</v>
      </c>
      <c r="O57" s="47">
        <f t="shared" si="26"/>
        <v>1.9333333333333324E-2</v>
      </c>
      <c r="Q57" s="36">
        <v>448.4000000000002</v>
      </c>
      <c r="R57" s="36">
        <v>447.3499999999998</v>
      </c>
      <c r="S57" s="36">
        <f t="shared" si="3"/>
        <v>17.076666666666664</v>
      </c>
      <c r="T57" s="36">
        <f t="shared" si="4"/>
        <v>17.076666666666664</v>
      </c>
      <c r="U57" s="36">
        <f t="shared" si="5"/>
        <v>1129.9561333333334</v>
      </c>
      <c r="V57" s="36">
        <f t="shared" si="6"/>
        <v>1132.0712000000001</v>
      </c>
      <c r="W57" s="36">
        <f t="shared" si="7"/>
        <v>74.67304</v>
      </c>
      <c r="X57" s="36">
        <f t="shared" si="8"/>
        <v>74.67304</v>
      </c>
      <c r="Y57" s="36">
        <f t="shared" si="9"/>
        <v>20.276333333333334</v>
      </c>
      <c r="Z57" s="36">
        <f t="shared" si="10"/>
        <v>20.315000000000001</v>
      </c>
      <c r="AA57" s="53">
        <f t="shared" si="11"/>
        <v>35.548333333333332</v>
      </c>
      <c r="AB57" s="53">
        <f t="shared" si="12"/>
        <v>35.548333333333332</v>
      </c>
      <c r="AC57" s="36">
        <f t="shared" si="13"/>
        <v>22.418333333333333</v>
      </c>
      <c r="AD57" s="36">
        <f t="shared" si="14"/>
        <v>22.447333333333333</v>
      </c>
      <c r="AE57" s="53">
        <f t="shared" si="15"/>
        <v>35.519333333333336</v>
      </c>
      <c r="AF57" s="53">
        <f t="shared" si="16"/>
        <v>35.519333333333336</v>
      </c>
      <c r="AH57" s="43"/>
      <c r="CD57" s="69">
        <v>2029</v>
      </c>
      <c r="CE57" s="54">
        <f t="shared" si="17"/>
        <v>17.076666666666664</v>
      </c>
      <c r="CF57" s="54">
        <f t="shared" si="18"/>
        <v>74.67304</v>
      </c>
      <c r="CG57" s="69">
        <f t="shared" si="19"/>
        <v>448.4000000000002</v>
      </c>
      <c r="CH57" s="54">
        <f t="shared" si="20"/>
        <v>17.076666666666664</v>
      </c>
      <c r="CI57" s="54">
        <f t="shared" si="22"/>
        <v>74.67304</v>
      </c>
      <c r="CJ57" s="69">
        <f t="shared" si="21"/>
        <v>447.3499999999998</v>
      </c>
    </row>
    <row r="58" spans="1:90">
      <c r="A58" s="35">
        <v>2030</v>
      </c>
      <c r="B58" s="47">
        <f t="shared" ref="B58:O58" si="27">B$7</f>
        <v>0.7</v>
      </c>
      <c r="C58" s="47">
        <f t="shared" si="27"/>
        <v>0.7</v>
      </c>
      <c r="D58" s="47">
        <f t="shared" si="27"/>
        <v>3.4</v>
      </c>
      <c r="E58" s="47">
        <f t="shared" si="27"/>
        <v>3.6</v>
      </c>
      <c r="F58" s="47">
        <f t="shared" si="27"/>
        <v>0.8</v>
      </c>
      <c r="G58" s="47">
        <f t="shared" si="27"/>
        <v>0.8</v>
      </c>
      <c r="H58" s="47">
        <f t="shared" si="27"/>
        <v>1.01</v>
      </c>
      <c r="I58" s="47">
        <f t="shared" si="27"/>
        <v>1.05</v>
      </c>
      <c r="J58" s="47">
        <f t="shared" si="27"/>
        <v>0.05</v>
      </c>
      <c r="K58" s="47">
        <f t="shared" si="27"/>
        <v>0.05</v>
      </c>
      <c r="L58" s="47">
        <f t="shared" si="27"/>
        <v>0.95</v>
      </c>
      <c r="M58" s="47">
        <f t="shared" si="27"/>
        <v>0.98</v>
      </c>
      <c r="N58" s="47">
        <f t="shared" si="27"/>
        <v>0.02</v>
      </c>
      <c r="O58" s="47">
        <f t="shared" si="27"/>
        <v>0.02</v>
      </c>
      <c r="Q58" s="36">
        <v>452</v>
      </c>
      <c r="R58" s="36">
        <v>450.5</v>
      </c>
      <c r="S58" s="36">
        <f t="shared" si="3"/>
        <v>17.099999999999998</v>
      </c>
      <c r="T58" s="36">
        <f t="shared" si="4"/>
        <v>17.099999999999998</v>
      </c>
      <c r="U58" s="36">
        <f t="shared" si="5"/>
        <v>1131.1959999999999</v>
      </c>
      <c r="V58" s="36">
        <f t="shared" si="6"/>
        <v>1133.384</v>
      </c>
      <c r="W58" s="36">
        <f t="shared" si="7"/>
        <v>74.692799999999991</v>
      </c>
      <c r="X58" s="36">
        <f t="shared" si="8"/>
        <v>74.692799999999991</v>
      </c>
      <c r="Y58" s="36">
        <f t="shared" si="9"/>
        <v>20.310000000000002</v>
      </c>
      <c r="Z58" s="36">
        <f t="shared" si="10"/>
        <v>20.350000000000001</v>
      </c>
      <c r="AA58" s="53">
        <f t="shared" si="11"/>
        <v>35.549999999999997</v>
      </c>
      <c r="AB58" s="53">
        <f t="shared" si="12"/>
        <v>35.549999999999997</v>
      </c>
      <c r="AC58" s="36">
        <f t="shared" si="13"/>
        <v>22.45</v>
      </c>
      <c r="AD58" s="36">
        <f t="shared" si="14"/>
        <v>22.48</v>
      </c>
      <c r="AE58" s="53">
        <f t="shared" si="15"/>
        <v>35.520000000000003</v>
      </c>
      <c r="AF58" s="53">
        <f t="shared" si="16"/>
        <v>35.520000000000003</v>
      </c>
      <c r="AH58" s="43"/>
      <c r="CD58" s="69">
        <v>2030</v>
      </c>
      <c r="CE58" s="54">
        <f t="shared" si="17"/>
        <v>17.099999999999998</v>
      </c>
      <c r="CF58" s="54">
        <f t="shared" si="18"/>
        <v>74.692799999999991</v>
      </c>
      <c r="CG58" s="69">
        <f t="shared" si="19"/>
        <v>452</v>
      </c>
      <c r="CH58" s="54">
        <f t="shared" si="20"/>
        <v>17.099999999999998</v>
      </c>
      <c r="CI58" s="54">
        <f t="shared" si="22"/>
        <v>74.692799999999991</v>
      </c>
      <c r="CJ58" s="69">
        <f t="shared" si="21"/>
        <v>450.5</v>
      </c>
    </row>
    <row r="59" spans="1:90">
      <c r="A59" s="35">
        <v>2031</v>
      </c>
      <c r="B59" s="47">
        <f t="shared" ref="B59:O74" si="28">(B$8-B$7)/COUNT($A$58:$A$77)+B58</f>
        <v>0.75</v>
      </c>
      <c r="C59" s="47">
        <f t="shared" si="28"/>
        <v>0.73499999999999999</v>
      </c>
      <c r="D59" s="47">
        <f t="shared" si="28"/>
        <v>3.645</v>
      </c>
      <c r="E59" s="47">
        <f t="shared" si="28"/>
        <v>3.7549999999999999</v>
      </c>
      <c r="F59" s="47">
        <f t="shared" si="28"/>
        <v>0.85000000000000009</v>
      </c>
      <c r="G59" s="47">
        <f t="shared" si="28"/>
        <v>0.83500000000000008</v>
      </c>
      <c r="H59" s="47">
        <f t="shared" si="28"/>
        <v>1.0645</v>
      </c>
      <c r="I59" s="47">
        <f t="shared" si="28"/>
        <v>1.0865</v>
      </c>
      <c r="J59" s="47">
        <f t="shared" si="28"/>
        <v>5.2500000000000005E-2</v>
      </c>
      <c r="K59" s="47">
        <f t="shared" si="28"/>
        <v>5.2000000000000005E-2</v>
      </c>
      <c r="L59" s="47">
        <f t="shared" si="28"/>
        <v>1.0015000000000001</v>
      </c>
      <c r="M59" s="47">
        <f t="shared" si="28"/>
        <v>1.0145</v>
      </c>
      <c r="N59" s="47">
        <f t="shared" si="28"/>
        <v>2.1000000000000001E-2</v>
      </c>
      <c r="O59" s="47">
        <f t="shared" si="28"/>
        <v>2.1000000000000001E-2</v>
      </c>
      <c r="Q59" s="36">
        <v>456.75</v>
      </c>
      <c r="R59" s="36">
        <v>454.15</v>
      </c>
      <c r="S59" s="36">
        <f t="shared" si="3"/>
        <v>17.149999999999999</v>
      </c>
      <c r="T59" s="36">
        <f t="shared" si="4"/>
        <v>17.134999999999998</v>
      </c>
      <c r="U59" s="36">
        <f t="shared" si="5"/>
        <v>1133.8762999999999</v>
      </c>
      <c r="V59" s="36">
        <f t="shared" si="6"/>
        <v>1135.0797</v>
      </c>
      <c r="W59" s="36">
        <f t="shared" si="7"/>
        <v>74.729849999999999</v>
      </c>
      <c r="X59" s="36">
        <f t="shared" si="8"/>
        <v>74.718734999999995</v>
      </c>
      <c r="Y59" s="36">
        <f t="shared" si="9"/>
        <v>20.3645</v>
      </c>
      <c r="Z59" s="36">
        <f t="shared" si="10"/>
        <v>20.386500000000002</v>
      </c>
      <c r="AA59" s="53">
        <f t="shared" si="11"/>
        <v>35.552500000000002</v>
      </c>
      <c r="AB59" s="53">
        <f t="shared" si="12"/>
        <v>35.552</v>
      </c>
      <c r="AC59" s="36">
        <f t="shared" si="13"/>
        <v>22.5015</v>
      </c>
      <c r="AD59" s="36">
        <f t="shared" si="14"/>
        <v>22.514499999999998</v>
      </c>
      <c r="AE59" s="53">
        <f t="shared" si="15"/>
        <v>35.521000000000001</v>
      </c>
      <c r="AF59" s="53">
        <f t="shared" si="16"/>
        <v>35.521000000000001</v>
      </c>
      <c r="AH59" s="43"/>
      <c r="CD59" s="69">
        <v>2031</v>
      </c>
      <c r="CE59" s="54">
        <f t="shared" si="17"/>
        <v>17.149999999999999</v>
      </c>
      <c r="CF59" s="54">
        <f t="shared" si="18"/>
        <v>74.729849999999999</v>
      </c>
      <c r="CG59" s="69">
        <f t="shared" si="19"/>
        <v>456.75</v>
      </c>
      <c r="CH59" s="54">
        <f t="shared" si="20"/>
        <v>17.134999999999998</v>
      </c>
      <c r="CI59" s="54">
        <f t="shared" si="22"/>
        <v>74.718734999999995</v>
      </c>
      <c r="CJ59" s="69">
        <f t="shared" si="21"/>
        <v>454.15</v>
      </c>
    </row>
    <row r="60" spans="1:90">
      <c r="A60" s="35">
        <v>2032</v>
      </c>
      <c r="B60" s="47">
        <f t="shared" si="28"/>
        <v>0.8</v>
      </c>
      <c r="C60" s="47">
        <f t="shared" si="28"/>
        <v>0.77</v>
      </c>
      <c r="D60" s="47">
        <f t="shared" si="28"/>
        <v>3.89</v>
      </c>
      <c r="E60" s="47">
        <f t="shared" si="28"/>
        <v>3.9099999999999997</v>
      </c>
      <c r="F60" s="47">
        <f t="shared" si="28"/>
        <v>0.90000000000000013</v>
      </c>
      <c r="G60" s="47">
        <f t="shared" si="28"/>
        <v>0.87000000000000011</v>
      </c>
      <c r="H60" s="47">
        <f t="shared" si="28"/>
        <v>1.119</v>
      </c>
      <c r="I60" s="47">
        <f t="shared" si="28"/>
        <v>1.123</v>
      </c>
      <c r="J60" s="47">
        <f t="shared" si="28"/>
        <v>5.5000000000000007E-2</v>
      </c>
      <c r="K60" s="47">
        <f t="shared" si="28"/>
        <v>5.4000000000000006E-2</v>
      </c>
      <c r="L60" s="47">
        <f t="shared" si="28"/>
        <v>1.0530000000000002</v>
      </c>
      <c r="M60" s="47">
        <f t="shared" si="28"/>
        <v>1.0489999999999999</v>
      </c>
      <c r="N60" s="47">
        <f t="shared" si="28"/>
        <v>2.2000000000000002E-2</v>
      </c>
      <c r="O60" s="47">
        <f t="shared" si="28"/>
        <v>2.2000000000000002E-2</v>
      </c>
      <c r="Q60" s="36">
        <v>461.5</v>
      </c>
      <c r="R60" s="36">
        <v>457.79999999999995</v>
      </c>
      <c r="S60" s="36">
        <f t="shared" si="3"/>
        <v>17.2</v>
      </c>
      <c r="T60" s="36">
        <f t="shared" si="4"/>
        <v>17.169999999999998</v>
      </c>
      <c r="U60" s="36">
        <f t="shared" si="5"/>
        <v>1136.5565999999999</v>
      </c>
      <c r="V60" s="36">
        <f t="shared" si="6"/>
        <v>1136.7754</v>
      </c>
      <c r="W60" s="36">
        <f t="shared" si="7"/>
        <v>74.766899999999993</v>
      </c>
      <c r="X60" s="36">
        <f t="shared" si="8"/>
        <v>74.744669999999999</v>
      </c>
      <c r="Y60" s="36">
        <f t="shared" si="9"/>
        <v>20.419</v>
      </c>
      <c r="Z60" s="36">
        <f t="shared" si="10"/>
        <v>20.423000000000002</v>
      </c>
      <c r="AA60" s="53">
        <f t="shared" si="11"/>
        <v>35.555</v>
      </c>
      <c r="AB60" s="53">
        <f t="shared" si="12"/>
        <v>35.554000000000002</v>
      </c>
      <c r="AC60" s="36">
        <f t="shared" si="13"/>
        <v>22.553000000000001</v>
      </c>
      <c r="AD60" s="36">
        <f t="shared" si="14"/>
        <v>22.548999999999999</v>
      </c>
      <c r="AE60" s="53">
        <f t="shared" si="15"/>
        <v>35.521999999999998</v>
      </c>
      <c r="AF60" s="53">
        <f t="shared" si="16"/>
        <v>35.521999999999998</v>
      </c>
      <c r="AH60" s="43"/>
      <c r="CD60" s="69">
        <v>2032</v>
      </c>
      <c r="CE60" s="54">
        <f t="shared" si="17"/>
        <v>17.2</v>
      </c>
      <c r="CF60" s="54">
        <f t="shared" si="18"/>
        <v>74.766899999999993</v>
      </c>
      <c r="CG60" s="69">
        <f t="shared" si="19"/>
        <v>461.5</v>
      </c>
      <c r="CH60" s="54">
        <f t="shared" si="20"/>
        <v>17.169999999999998</v>
      </c>
      <c r="CI60" s="54">
        <f t="shared" si="22"/>
        <v>74.744669999999999</v>
      </c>
      <c r="CJ60" s="69">
        <f t="shared" si="21"/>
        <v>457.79999999999995</v>
      </c>
    </row>
    <row r="61" spans="1:90">
      <c r="A61" s="35">
        <v>2033</v>
      </c>
      <c r="B61" s="47">
        <f t="shared" si="28"/>
        <v>0.85000000000000009</v>
      </c>
      <c r="C61" s="47">
        <f t="shared" si="28"/>
        <v>0.80500000000000005</v>
      </c>
      <c r="D61" s="47">
        <f t="shared" si="28"/>
        <v>4.1349999999999998</v>
      </c>
      <c r="E61" s="47">
        <f t="shared" si="28"/>
        <v>4.0649999999999995</v>
      </c>
      <c r="F61" s="47">
        <f t="shared" si="28"/>
        <v>0.95000000000000018</v>
      </c>
      <c r="G61" s="47">
        <f t="shared" si="28"/>
        <v>0.90500000000000014</v>
      </c>
      <c r="H61" s="47">
        <f t="shared" si="28"/>
        <v>1.1735</v>
      </c>
      <c r="I61" s="47">
        <f t="shared" si="28"/>
        <v>1.1595</v>
      </c>
      <c r="J61" s="47">
        <f t="shared" si="28"/>
        <v>5.7500000000000009E-2</v>
      </c>
      <c r="K61" s="47">
        <f t="shared" si="28"/>
        <v>5.6000000000000008E-2</v>
      </c>
      <c r="L61" s="47">
        <f t="shared" si="28"/>
        <v>1.1045000000000003</v>
      </c>
      <c r="M61" s="47">
        <f t="shared" si="28"/>
        <v>1.0834999999999999</v>
      </c>
      <c r="N61" s="47">
        <f t="shared" si="28"/>
        <v>2.3000000000000003E-2</v>
      </c>
      <c r="O61" s="47">
        <f t="shared" si="28"/>
        <v>2.3000000000000003E-2</v>
      </c>
      <c r="Q61" s="36">
        <v>466.25</v>
      </c>
      <c r="R61" s="36">
        <v>461.44999999999993</v>
      </c>
      <c r="S61" s="36">
        <f t="shared" si="3"/>
        <v>17.25</v>
      </c>
      <c r="T61" s="36">
        <f t="shared" si="4"/>
        <v>17.204999999999998</v>
      </c>
      <c r="U61" s="36">
        <f t="shared" si="5"/>
        <v>1139.2369000000001</v>
      </c>
      <c r="V61" s="36">
        <f t="shared" si="6"/>
        <v>1138.4711</v>
      </c>
      <c r="W61" s="36">
        <f t="shared" si="7"/>
        <v>74.80395</v>
      </c>
      <c r="X61" s="36">
        <f t="shared" si="8"/>
        <v>74.770604999999989</v>
      </c>
      <c r="Y61" s="36">
        <f t="shared" si="9"/>
        <v>20.473500000000001</v>
      </c>
      <c r="Z61" s="36">
        <f t="shared" si="10"/>
        <v>20.459500000000002</v>
      </c>
      <c r="AA61" s="53">
        <f t="shared" si="11"/>
        <v>35.557499999999997</v>
      </c>
      <c r="AB61" s="53">
        <f t="shared" si="12"/>
        <v>35.555999999999997</v>
      </c>
      <c r="AC61" s="36">
        <f t="shared" si="13"/>
        <v>22.604500000000002</v>
      </c>
      <c r="AD61" s="36">
        <f t="shared" si="14"/>
        <v>22.583500000000001</v>
      </c>
      <c r="AE61" s="53">
        <f t="shared" si="15"/>
        <v>35.523000000000003</v>
      </c>
      <c r="AF61" s="53">
        <f t="shared" si="16"/>
        <v>35.523000000000003</v>
      </c>
      <c r="AH61" s="43"/>
      <c r="CD61" s="69">
        <v>2033</v>
      </c>
      <c r="CE61" s="54">
        <f t="shared" si="17"/>
        <v>17.25</v>
      </c>
      <c r="CF61" s="54">
        <f t="shared" si="18"/>
        <v>74.80395</v>
      </c>
      <c r="CG61" s="69">
        <f t="shared" si="19"/>
        <v>466.25</v>
      </c>
      <c r="CH61" s="54">
        <f t="shared" si="20"/>
        <v>17.204999999999998</v>
      </c>
      <c r="CI61" s="54">
        <f t="shared" si="22"/>
        <v>74.770604999999989</v>
      </c>
      <c r="CJ61" s="69">
        <f t="shared" si="21"/>
        <v>461.44999999999993</v>
      </c>
    </row>
    <row r="62" spans="1:90">
      <c r="A62" s="35">
        <v>2034</v>
      </c>
      <c r="B62" s="47">
        <f t="shared" si="28"/>
        <v>0.90000000000000013</v>
      </c>
      <c r="C62" s="47">
        <f t="shared" si="28"/>
        <v>0.84000000000000008</v>
      </c>
      <c r="D62" s="47">
        <f t="shared" si="28"/>
        <v>4.38</v>
      </c>
      <c r="E62" s="47">
        <f t="shared" si="28"/>
        <v>4.22</v>
      </c>
      <c r="F62" s="47">
        <f t="shared" si="28"/>
        <v>1.0000000000000002</v>
      </c>
      <c r="G62" s="47">
        <f t="shared" si="28"/>
        <v>0.94000000000000017</v>
      </c>
      <c r="H62" s="47">
        <f t="shared" si="28"/>
        <v>1.228</v>
      </c>
      <c r="I62" s="47">
        <f t="shared" si="28"/>
        <v>1.196</v>
      </c>
      <c r="J62" s="47">
        <f t="shared" si="28"/>
        <v>6.0000000000000012E-2</v>
      </c>
      <c r="K62" s="47">
        <f t="shared" si="28"/>
        <v>5.800000000000001E-2</v>
      </c>
      <c r="L62" s="47">
        <f t="shared" si="28"/>
        <v>1.1560000000000004</v>
      </c>
      <c r="M62" s="47">
        <f t="shared" si="28"/>
        <v>1.1179999999999999</v>
      </c>
      <c r="N62" s="47">
        <f t="shared" si="28"/>
        <v>2.4000000000000004E-2</v>
      </c>
      <c r="O62" s="47">
        <f t="shared" si="28"/>
        <v>2.4000000000000004E-2</v>
      </c>
      <c r="Q62" s="36">
        <v>471</v>
      </c>
      <c r="R62" s="36">
        <v>465.09999999999991</v>
      </c>
      <c r="S62" s="36">
        <f t="shared" si="3"/>
        <v>17.299999999999997</v>
      </c>
      <c r="T62" s="36">
        <f t="shared" si="4"/>
        <v>17.239999999999998</v>
      </c>
      <c r="U62" s="36">
        <f t="shared" si="5"/>
        <v>1141.9172000000001</v>
      </c>
      <c r="V62" s="36">
        <f t="shared" si="6"/>
        <v>1140.1668</v>
      </c>
      <c r="W62" s="36">
        <f t="shared" si="7"/>
        <v>74.840999999999994</v>
      </c>
      <c r="X62" s="36">
        <f t="shared" si="8"/>
        <v>74.796539999999993</v>
      </c>
      <c r="Y62" s="36">
        <f t="shared" si="9"/>
        <v>20.528000000000002</v>
      </c>
      <c r="Z62" s="36">
        <f t="shared" si="10"/>
        <v>20.496000000000002</v>
      </c>
      <c r="AA62" s="53">
        <f t="shared" si="11"/>
        <v>35.56</v>
      </c>
      <c r="AB62" s="53">
        <f t="shared" si="12"/>
        <v>35.558</v>
      </c>
      <c r="AC62" s="36">
        <f t="shared" si="13"/>
        <v>22.655999999999999</v>
      </c>
      <c r="AD62" s="36">
        <f t="shared" si="14"/>
        <v>22.617999999999999</v>
      </c>
      <c r="AE62" s="53">
        <f t="shared" si="15"/>
        <v>35.524000000000001</v>
      </c>
      <c r="AF62" s="53">
        <f t="shared" si="16"/>
        <v>35.524000000000001</v>
      </c>
      <c r="AH62" s="43"/>
      <c r="CD62" s="69">
        <v>2034</v>
      </c>
      <c r="CE62" s="54">
        <f t="shared" si="17"/>
        <v>17.299999999999997</v>
      </c>
      <c r="CF62" s="54">
        <f t="shared" si="18"/>
        <v>74.840999999999994</v>
      </c>
      <c r="CG62" s="69">
        <f t="shared" si="19"/>
        <v>471</v>
      </c>
      <c r="CH62" s="54">
        <f t="shared" si="20"/>
        <v>17.239999999999998</v>
      </c>
      <c r="CI62" s="54">
        <f t="shared" si="22"/>
        <v>74.796539999999993</v>
      </c>
      <c r="CJ62" s="69">
        <f t="shared" si="21"/>
        <v>465.09999999999991</v>
      </c>
    </row>
    <row r="63" spans="1:90">
      <c r="A63" s="35">
        <v>2035</v>
      </c>
      <c r="B63" s="47">
        <f t="shared" si="28"/>
        <v>0.95000000000000018</v>
      </c>
      <c r="C63" s="47">
        <f t="shared" si="28"/>
        <v>0.87500000000000011</v>
      </c>
      <c r="D63" s="47">
        <f t="shared" si="28"/>
        <v>4.625</v>
      </c>
      <c r="E63" s="47">
        <f t="shared" si="28"/>
        <v>4.375</v>
      </c>
      <c r="F63" s="47">
        <f t="shared" si="28"/>
        <v>1.0500000000000003</v>
      </c>
      <c r="G63" s="47">
        <f t="shared" si="28"/>
        <v>0.9750000000000002</v>
      </c>
      <c r="H63" s="47">
        <f t="shared" si="28"/>
        <v>1.2825</v>
      </c>
      <c r="I63" s="47">
        <f t="shared" si="28"/>
        <v>1.2324999999999999</v>
      </c>
      <c r="J63" s="47">
        <f t="shared" si="28"/>
        <v>6.2500000000000014E-2</v>
      </c>
      <c r="K63" s="47">
        <f t="shared" si="28"/>
        <v>6.0000000000000012E-2</v>
      </c>
      <c r="L63" s="47">
        <f t="shared" si="28"/>
        <v>1.2075000000000005</v>
      </c>
      <c r="M63" s="47">
        <f t="shared" si="28"/>
        <v>1.1524999999999999</v>
      </c>
      <c r="N63" s="47">
        <f t="shared" si="28"/>
        <v>2.5000000000000005E-2</v>
      </c>
      <c r="O63" s="47">
        <f t="shared" si="28"/>
        <v>2.5000000000000005E-2</v>
      </c>
      <c r="Q63" s="36">
        <v>475.75</v>
      </c>
      <c r="R63" s="36">
        <v>468.74999999999989</v>
      </c>
      <c r="S63" s="36">
        <f t="shared" si="3"/>
        <v>17.349999999999998</v>
      </c>
      <c r="T63" s="36">
        <f t="shared" si="4"/>
        <v>17.274999999999999</v>
      </c>
      <c r="U63" s="36">
        <f t="shared" si="5"/>
        <v>1144.5975000000001</v>
      </c>
      <c r="V63" s="36">
        <f t="shared" si="6"/>
        <v>1141.8625</v>
      </c>
      <c r="W63" s="36">
        <f t="shared" si="7"/>
        <v>74.878049999999988</v>
      </c>
      <c r="X63" s="36">
        <f t="shared" si="8"/>
        <v>74.822474999999997</v>
      </c>
      <c r="Y63" s="36">
        <f t="shared" si="9"/>
        <v>20.5825</v>
      </c>
      <c r="Z63" s="36">
        <f t="shared" si="10"/>
        <v>20.532499999999999</v>
      </c>
      <c r="AA63" s="53">
        <f t="shared" si="11"/>
        <v>35.5625</v>
      </c>
      <c r="AB63" s="53">
        <f t="shared" si="12"/>
        <v>35.56</v>
      </c>
      <c r="AC63" s="36">
        <f t="shared" si="13"/>
        <v>22.7075</v>
      </c>
      <c r="AD63" s="36">
        <f t="shared" si="14"/>
        <v>22.6525</v>
      </c>
      <c r="AE63" s="53">
        <f t="shared" si="15"/>
        <v>35.524999999999999</v>
      </c>
      <c r="AF63" s="53">
        <f t="shared" si="16"/>
        <v>35.524999999999999</v>
      </c>
      <c r="AH63" s="43"/>
      <c r="CD63" s="69">
        <v>2035</v>
      </c>
      <c r="CE63" s="54">
        <f t="shared" si="17"/>
        <v>17.349999999999998</v>
      </c>
      <c r="CF63" s="54">
        <f t="shared" si="18"/>
        <v>74.878049999999988</v>
      </c>
      <c r="CG63" s="69">
        <f t="shared" si="19"/>
        <v>475.75</v>
      </c>
      <c r="CH63" s="54">
        <f t="shared" si="20"/>
        <v>17.274999999999999</v>
      </c>
      <c r="CI63" s="54">
        <f t="shared" si="22"/>
        <v>74.822474999999997</v>
      </c>
      <c r="CJ63" s="69">
        <f t="shared" si="21"/>
        <v>468.74999999999989</v>
      </c>
    </row>
    <row r="64" spans="1:90">
      <c r="A64" s="35">
        <v>2036</v>
      </c>
      <c r="B64" s="47">
        <f t="shared" si="28"/>
        <v>1.0000000000000002</v>
      </c>
      <c r="C64" s="47">
        <f t="shared" si="28"/>
        <v>0.91000000000000014</v>
      </c>
      <c r="D64" s="47">
        <f t="shared" si="28"/>
        <v>4.87</v>
      </c>
      <c r="E64" s="47">
        <f t="shared" si="28"/>
        <v>4.53</v>
      </c>
      <c r="F64" s="47">
        <f t="shared" si="28"/>
        <v>1.1000000000000003</v>
      </c>
      <c r="G64" s="47">
        <f t="shared" si="28"/>
        <v>1.0100000000000002</v>
      </c>
      <c r="H64" s="47">
        <f t="shared" si="28"/>
        <v>1.337</v>
      </c>
      <c r="I64" s="47">
        <f t="shared" si="28"/>
        <v>1.2689999999999999</v>
      </c>
      <c r="J64" s="47">
        <f t="shared" si="28"/>
        <v>6.5000000000000016E-2</v>
      </c>
      <c r="K64" s="47">
        <f t="shared" si="28"/>
        <v>6.2000000000000013E-2</v>
      </c>
      <c r="L64" s="47">
        <f t="shared" si="28"/>
        <v>1.2590000000000006</v>
      </c>
      <c r="M64" s="47">
        <f t="shared" si="28"/>
        <v>1.1869999999999998</v>
      </c>
      <c r="N64" s="47">
        <f t="shared" si="28"/>
        <v>2.6000000000000006E-2</v>
      </c>
      <c r="O64" s="47">
        <f t="shared" si="28"/>
        <v>2.6000000000000006E-2</v>
      </c>
      <c r="Q64" s="36">
        <v>480.5</v>
      </c>
      <c r="R64" s="36">
        <v>472.39999999999986</v>
      </c>
      <c r="S64" s="36">
        <f t="shared" si="3"/>
        <v>17.399999999999999</v>
      </c>
      <c r="T64" s="36">
        <f t="shared" si="4"/>
        <v>17.309999999999999</v>
      </c>
      <c r="U64" s="36">
        <f t="shared" si="5"/>
        <v>1147.2778000000001</v>
      </c>
      <c r="V64" s="36">
        <f t="shared" si="6"/>
        <v>1143.5581999999999</v>
      </c>
      <c r="W64" s="36">
        <f t="shared" si="7"/>
        <v>74.915099999999995</v>
      </c>
      <c r="X64" s="36">
        <f t="shared" si="8"/>
        <v>74.848410000000001</v>
      </c>
      <c r="Y64" s="36">
        <f t="shared" si="9"/>
        <v>20.637</v>
      </c>
      <c r="Z64" s="36">
        <f t="shared" si="10"/>
        <v>20.568999999999999</v>
      </c>
      <c r="AA64" s="53">
        <f t="shared" si="11"/>
        <v>35.564999999999998</v>
      </c>
      <c r="AB64" s="53">
        <f t="shared" si="12"/>
        <v>35.561999999999998</v>
      </c>
      <c r="AC64" s="36">
        <f t="shared" si="13"/>
        <v>22.759</v>
      </c>
      <c r="AD64" s="36">
        <f t="shared" si="14"/>
        <v>22.687000000000001</v>
      </c>
      <c r="AE64" s="53">
        <f t="shared" si="15"/>
        <v>35.526000000000003</v>
      </c>
      <c r="AF64" s="53">
        <f t="shared" si="16"/>
        <v>35.526000000000003</v>
      </c>
      <c r="AH64" s="43"/>
      <c r="CD64" s="69">
        <v>2036</v>
      </c>
      <c r="CE64" s="54">
        <f t="shared" si="17"/>
        <v>17.399999999999999</v>
      </c>
      <c r="CF64" s="54">
        <f t="shared" si="18"/>
        <v>74.915099999999995</v>
      </c>
      <c r="CG64" s="69">
        <f t="shared" si="19"/>
        <v>480.5</v>
      </c>
      <c r="CH64" s="54">
        <f t="shared" si="20"/>
        <v>17.309999999999999</v>
      </c>
      <c r="CI64" s="54">
        <f t="shared" si="22"/>
        <v>74.848410000000001</v>
      </c>
      <c r="CJ64" s="69">
        <f t="shared" si="21"/>
        <v>472.39999999999986</v>
      </c>
    </row>
    <row r="65" spans="1:88">
      <c r="A65" s="35">
        <v>2037</v>
      </c>
      <c r="B65" s="47">
        <f t="shared" si="28"/>
        <v>1.0500000000000003</v>
      </c>
      <c r="C65" s="47">
        <f t="shared" si="28"/>
        <v>0.94500000000000017</v>
      </c>
      <c r="D65" s="47">
        <f t="shared" si="28"/>
        <v>5.1150000000000002</v>
      </c>
      <c r="E65" s="47">
        <f t="shared" si="28"/>
        <v>4.6850000000000005</v>
      </c>
      <c r="F65" s="47">
        <f t="shared" si="28"/>
        <v>1.1500000000000004</v>
      </c>
      <c r="G65" s="47">
        <f t="shared" si="28"/>
        <v>1.0450000000000002</v>
      </c>
      <c r="H65" s="47">
        <f t="shared" si="28"/>
        <v>1.3915</v>
      </c>
      <c r="I65" s="47">
        <f t="shared" si="28"/>
        <v>1.3054999999999999</v>
      </c>
      <c r="J65" s="47">
        <f t="shared" si="28"/>
        <v>6.7500000000000018E-2</v>
      </c>
      <c r="K65" s="47">
        <f t="shared" si="28"/>
        <v>6.4000000000000015E-2</v>
      </c>
      <c r="L65" s="47">
        <f t="shared" si="28"/>
        <v>1.3105000000000007</v>
      </c>
      <c r="M65" s="47">
        <f t="shared" si="28"/>
        <v>1.2214999999999998</v>
      </c>
      <c r="N65" s="47">
        <f t="shared" si="28"/>
        <v>2.7000000000000007E-2</v>
      </c>
      <c r="O65" s="47">
        <f t="shared" si="28"/>
        <v>2.7000000000000007E-2</v>
      </c>
      <c r="Q65" s="36">
        <v>485.25</v>
      </c>
      <c r="R65" s="36">
        <v>476.04999999999984</v>
      </c>
      <c r="S65" s="36">
        <f t="shared" si="3"/>
        <v>17.45</v>
      </c>
      <c r="T65" s="36">
        <f t="shared" si="4"/>
        <v>17.344999999999999</v>
      </c>
      <c r="U65" s="36">
        <f t="shared" si="5"/>
        <v>1149.9581000000001</v>
      </c>
      <c r="V65" s="36">
        <f t="shared" si="6"/>
        <v>1145.2538999999999</v>
      </c>
      <c r="W65" s="36">
        <f t="shared" si="7"/>
        <v>74.952149999999989</v>
      </c>
      <c r="X65" s="36">
        <f t="shared" si="8"/>
        <v>74.874344999999991</v>
      </c>
      <c r="Y65" s="36">
        <f t="shared" si="9"/>
        <v>20.691500000000001</v>
      </c>
      <c r="Z65" s="36">
        <f t="shared" si="10"/>
        <v>20.605499999999999</v>
      </c>
      <c r="AA65" s="53">
        <f t="shared" si="11"/>
        <v>35.567500000000003</v>
      </c>
      <c r="AB65" s="53">
        <f t="shared" si="12"/>
        <v>35.564</v>
      </c>
      <c r="AC65" s="36">
        <f t="shared" si="13"/>
        <v>22.810500000000001</v>
      </c>
      <c r="AD65" s="36">
        <f t="shared" si="14"/>
        <v>22.721499999999999</v>
      </c>
      <c r="AE65" s="53">
        <f t="shared" si="15"/>
        <v>35.527000000000001</v>
      </c>
      <c r="AF65" s="53">
        <f t="shared" si="16"/>
        <v>35.527000000000001</v>
      </c>
      <c r="AH65" s="43"/>
      <c r="CD65" s="69">
        <v>2037</v>
      </c>
      <c r="CE65" s="54">
        <f t="shared" si="17"/>
        <v>17.45</v>
      </c>
      <c r="CF65" s="54">
        <f t="shared" si="18"/>
        <v>74.952149999999989</v>
      </c>
      <c r="CG65" s="69">
        <f t="shared" si="19"/>
        <v>485.25</v>
      </c>
      <c r="CH65" s="54">
        <f t="shared" si="20"/>
        <v>17.344999999999999</v>
      </c>
      <c r="CI65" s="54">
        <f t="shared" si="22"/>
        <v>74.874344999999991</v>
      </c>
      <c r="CJ65" s="69">
        <f t="shared" si="21"/>
        <v>476.04999999999984</v>
      </c>
    </row>
    <row r="66" spans="1:88">
      <c r="A66" s="35">
        <v>2038</v>
      </c>
      <c r="B66" s="47">
        <f t="shared" si="28"/>
        <v>1.1000000000000003</v>
      </c>
      <c r="C66" s="47">
        <f t="shared" si="28"/>
        <v>0.9800000000000002</v>
      </c>
      <c r="D66" s="47">
        <f t="shared" si="28"/>
        <v>5.36</v>
      </c>
      <c r="E66" s="47">
        <f t="shared" si="28"/>
        <v>4.8400000000000007</v>
      </c>
      <c r="F66" s="47">
        <f t="shared" si="28"/>
        <v>1.2000000000000004</v>
      </c>
      <c r="G66" s="47">
        <f t="shared" si="28"/>
        <v>1.08</v>
      </c>
      <c r="H66" s="47">
        <f t="shared" si="28"/>
        <v>1.446</v>
      </c>
      <c r="I66" s="47">
        <f t="shared" si="28"/>
        <v>1.3419999999999999</v>
      </c>
      <c r="J66" s="47">
        <f t="shared" si="28"/>
        <v>7.0000000000000021E-2</v>
      </c>
      <c r="K66" s="47">
        <f t="shared" si="28"/>
        <v>6.6000000000000017E-2</v>
      </c>
      <c r="L66" s="47">
        <f t="shared" si="28"/>
        <v>1.3620000000000008</v>
      </c>
      <c r="M66" s="47">
        <f t="shared" si="28"/>
        <v>1.2559999999999998</v>
      </c>
      <c r="N66" s="47">
        <f t="shared" si="28"/>
        <v>2.8000000000000008E-2</v>
      </c>
      <c r="O66" s="47">
        <f t="shared" si="28"/>
        <v>2.8000000000000008E-2</v>
      </c>
      <c r="Q66" s="36">
        <v>490</v>
      </c>
      <c r="R66" s="36">
        <v>479.69999999999982</v>
      </c>
      <c r="S66" s="36">
        <f t="shared" si="3"/>
        <v>17.5</v>
      </c>
      <c r="T66" s="36">
        <f t="shared" si="4"/>
        <v>17.38</v>
      </c>
      <c r="U66" s="36">
        <f t="shared" si="5"/>
        <v>1152.6384</v>
      </c>
      <c r="V66" s="36">
        <f t="shared" si="6"/>
        <v>1146.9495999999999</v>
      </c>
      <c r="W66" s="36">
        <f t="shared" si="7"/>
        <v>74.989199999999997</v>
      </c>
      <c r="X66" s="36">
        <f t="shared" si="8"/>
        <v>74.900279999999995</v>
      </c>
      <c r="Y66" s="36">
        <f t="shared" si="9"/>
        <v>20.746000000000002</v>
      </c>
      <c r="Z66" s="36">
        <f t="shared" si="10"/>
        <v>20.641999999999999</v>
      </c>
      <c r="AA66" s="53">
        <f t="shared" si="11"/>
        <v>35.57</v>
      </c>
      <c r="AB66" s="53">
        <f t="shared" si="12"/>
        <v>35.566000000000003</v>
      </c>
      <c r="AC66" s="36">
        <f t="shared" si="13"/>
        <v>22.862000000000002</v>
      </c>
      <c r="AD66" s="36">
        <f t="shared" si="14"/>
        <v>22.756</v>
      </c>
      <c r="AE66" s="53">
        <f t="shared" si="15"/>
        <v>35.527999999999999</v>
      </c>
      <c r="AF66" s="53">
        <f t="shared" si="16"/>
        <v>35.527999999999999</v>
      </c>
      <c r="AH66" s="43"/>
      <c r="CD66" s="69">
        <v>2038</v>
      </c>
      <c r="CE66" s="54">
        <f t="shared" si="17"/>
        <v>17.5</v>
      </c>
      <c r="CF66" s="54">
        <f t="shared" si="18"/>
        <v>74.989199999999997</v>
      </c>
      <c r="CG66" s="69">
        <f t="shared" si="19"/>
        <v>490</v>
      </c>
      <c r="CH66" s="54">
        <f t="shared" si="20"/>
        <v>17.38</v>
      </c>
      <c r="CI66" s="54">
        <f t="shared" si="22"/>
        <v>74.900279999999995</v>
      </c>
      <c r="CJ66" s="69">
        <f t="shared" si="21"/>
        <v>479.69999999999982</v>
      </c>
    </row>
    <row r="67" spans="1:88">
      <c r="A67" s="35">
        <v>2039</v>
      </c>
      <c r="B67" s="47">
        <f t="shared" si="28"/>
        <v>1.1500000000000004</v>
      </c>
      <c r="C67" s="47">
        <f t="shared" si="28"/>
        <v>1.0150000000000001</v>
      </c>
      <c r="D67" s="47">
        <f t="shared" si="28"/>
        <v>5.6050000000000004</v>
      </c>
      <c r="E67" s="47">
        <f t="shared" si="28"/>
        <v>4.995000000000001</v>
      </c>
      <c r="F67" s="47">
        <f t="shared" si="28"/>
        <v>1.2500000000000004</v>
      </c>
      <c r="G67" s="47">
        <f t="shared" si="28"/>
        <v>1.115</v>
      </c>
      <c r="H67" s="47">
        <f t="shared" si="28"/>
        <v>1.5004999999999999</v>
      </c>
      <c r="I67" s="47">
        <f t="shared" si="28"/>
        <v>1.3784999999999998</v>
      </c>
      <c r="J67" s="47">
        <f t="shared" si="28"/>
        <v>7.2500000000000023E-2</v>
      </c>
      <c r="K67" s="47">
        <f t="shared" si="28"/>
        <v>6.8000000000000019E-2</v>
      </c>
      <c r="L67" s="47">
        <f t="shared" si="28"/>
        <v>1.4135000000000009</v>
      </c>
      <c r="M67" s="47">
        <f t="shared" si="28"/>
        <v>1.2904999999999998</v>
      </c>
      <c r="N67" s="47">
        <f t="shared" si="28"/>
        <v>2.9000000000000008E-2</v>
      </c>
      <c r="O67" s="47">
        <f t="shared" si="28"/>
        <v>2.9000000000000008E-2</v>
      </c>
      <c r="Q67" s="36">
        <v>494.75</v>
      </c>
      <c r="R67" s="36">
        <v>483.3499999999998</v>
      </c>
      <c r="S67" s="36">
        <f t="shared" si="3"/>
        <v>17.549999999999997</v>
      </c>
      <c r="T67" s="36">
        <f t="shared" si="4"/>
        <v>17.414999999999999</v>
      </c>
      <c r="U67" s="36">
        <f t="shared" si="5"/>
        <v>1155.3187</v>
      </c>
      <c r="V67" s="36">
        <f t="shared" si="6"/>
        <v>1148.6452999999999</v>
      </c>
      <c r="W67" s="36">
        <f t="shared" si="7"/>
        <v>75.02624999999999</v>
      </c>
      <c r="X67" s="36">
        <f t="shared" si="8"/>
        <v>74.926214999999999</v>
      </c>
      <c r="Y67" s="36">
        <f t="shared" si="9"/>
        <v>20.8005</v>
      </c>
      <c r="Z67" s="36">
        <f t="shared" si="10"/>
        <v>20.6785</v>
      </c>
      <c r="AA67" s="53">
        <f t="shared" si="11"/>
        <v>35.572499999999998</v>
      </c>
      <c r="AB67" s="53">
        <f t="shared" si="12"/>
        <v>35.567999999999998</v>
      </c>
      <c r="AC67" s="36">
        <f t="shared" si="13"/>
        <v>22.913499999999999</v>
      </c>
      <c r="AD67" s="36">
        <f t="shared" si="14"/>
        <v>22.790500000000002</v>
      </c>
      <c r="AE67" s="53">
        <f t="shared" si="15"/>
        <v>35.529000000000003</v>
      </c>
      <c r="AF67" s="53">
        <f t="shared" si="16"/>
        <v>35.529000000000003</v>
      </c>
      <c r="AH67" s="43"/>
      <c r="CD67" s="69">
        <v>2039</v>
      </c>
      <c r="CE67" s="54">
        <f t="shared" si="17"/>
        <v>17.549999999999997</v>
      </c>
      <c r="CF67" s="54">
        <f t="shared" si="18"/>
        <v>75.02624999999999</v>
      </c>
      <c r="CG67" s="69">
        <f t="shared" si="19"/>
        <v>494.75</v>
      </c>
      <c r="CH67" s="54">
        <f t="shared" si="20"/>
        <v>17.414999999999999</v>
      </c>
      <c r="CI67" s="54">
        <f t="shared" si="22"/>
        <v>74.926214999999999</v>
      </c>
      <c r="CJ67" s="69">
        <f t="shared" si="21"/>
        <v>483.3499999999998</v>
      </c>
    </row>
    <row r="68" spans="1:88">
      <c r="A68" s="35">
        <v>2040</v>
      </c>
      <c r="B68" s="47">
        <f t="shared" si="28"/>
        <v>1.2000000000000004</v>
      </c>
      <c r="C68" s="47">
        <f t="shared" si="28"/>
        <v>1.05</v>
      </c>
      <c r="D68" s="47">
        <f t="shared" si="28"/>
        <v>5.8500000000000005</v>
      </c>
      <c r="E68" s="47">
        <f t="shared" si="28"/>
        <v>5.1500000000000012</v>
      </c>
      <c r="F68" s="47">
        <f t="shared" si="28"/>
        <v>1.3000000000000005</v>
      </c>
      <c r="G68" s="47">
        <f t="shared" si="28"/>
        <v>1.1499999999999999</v>
      </c>
      <c r="H68" s="47">
        <f t="shared" si="28"/>
        <v>1.5549999999999999</v>
      </c>
      <c r="I68" s="47">
        <f t="shared" si="28"/>
        <v>1.4149999999999998</v>
      </c>
      <c r="J68" s="47">
        <f t="shared" si="28"/>
        <v>7.5000000000000025E-2</v>
      </c>
      <c r="K68" s="47">
        <f t="shared" si="28"/>
        <v>7.0000000000000021E-2</v>
      </c>
      <c r="L68" s="47">
        <f t="shared" si="28"/>
        <v>1.465000000000001</v>
      </c>
      <c r="M68" s="47">
        <f t="shared" si="28"/>
        <v>1.3249999999999997</v>
      </c>
      <c r="N68" s="47">
        <f t="shared" si="28"/>
        <v>3.0000000000000009E-2</v>
      </c>
      <c r="O68" s="47">
        <f t="shared" si="28"/>
        <v>3.0000000000000009E-2</v>
      </c>
      <c r="Q68" s="36">
        <v>499.5</v>
      </c>
      <c r="R68" s="36">
        <v>487</v>
      </c>
      <c r="S68" s="36">
        <f t="shared" si="3"/>
        <v>17.599999999999998</v>
      </c>
      <c r="T68" s="36">
        <f t="shared" si="4"/>
        <v>17.45</v>
      </c>
      <c r="U68" s="36">
        <f t="shared" si="5"/>
        <v>1157.999</v>
      </c>
      <c r="V68" s="36">
        <f t="shared" si="6"/>
        <v>1150.3410000000001</v>
      </c>
      <c r="W68" s="36">
        <f t="shared" si="7"/>
        <v>75.063299999999998</v>
      </c>
      <c r="X68" s="36">
        <f t="shared" si="8"/>
        <v>74.952149999999989</v>
      </c>
      <c r="Y68" s="36">
        <f t="shared" si="9"/>
        <v>20.855</v>
      </c>
      <c r="Z68" s="36">
        <f t="shared" si="10"/>
        <v>20.715</v>
      </c>
      <c r="AA68" s="53">
        <f t="shared" si="11"/>
        <v>35.575000000000003</v>
      </c>
      <c r="AB68" s="53">
        <f t="shared" si="12"/>
        <v>35.57</v>
      </c>
      <c r="AC68" s="36">
        <f t="shared" si="13"/>
        <v>22.965</v>
      </c>
      <c r="AD68" s="36">
        <f t="shared" si="14"/>
        <v>22.824999999999999</v>
      </c>
      <c r="AE68" s="53">
        <f t="shared" si="15"/>
        <v>35.53</v>
      </c>
      <c r="AF68" s="53">
        <f t="shared" si="16"/>
        <v>35.53</v>
      </c>
      <c r="AH68" s="43"/>
      <c r="CD68" s="69">
        <v>2040</v>
      </c>
      <c r="CE68" s="54">
        <f t="shared" si="17"/>
        <v>17.599999999999998</v>
      </c>
      <c r="CF68" s="54">
        <f t="shared" si="18"/>
        <v>75.063299999999998</v>
      </c>
      <c r="CG68" s="69">
        <f t="shared" si="19"/>
        <v>499.5</v>
      </c>
      <c r="CH68" s="54">
        <f t="shared" si="20"/>
        <v>17.45</v>
      </c>
      <c r="CI68" s="54">
        <f t="shared" si="22"/>
        <v>74.952149999999989</v>
      </c>
      <c r="CJ68" s="69">
        <f t="shared" si="21"/>
        <v>487</v>
      </c>
    </row>
    <row r="69" spans="1:88">
      <c r="A69" s="35">
        <v>2041</v>
      </c>
      <c r="B69" s="47">
        <f t="shared" si="28"/>
        <v>1.2500000000000004</v>
      </c>
      <c r="C69" s="47">
        <f t="shared" si="28"/>
        <v>1.085</v>
      </c>
      <c r="D69" s="47">
        <f t="shared" si="28"/>
        <v>6.0950000000000006</v>
      </c>
      <c r="E69" s="47">
        <f t="shared" si="28"/>
        <v>5.3050000000000015</v>
      </c>
      <c r="F69" s="47">
        <f t="shared" si="28"/>
        <v>1.3500000000000005</v>
      </c>
      <c r="G69" s="47">
        <f t="shared" si="28"/>
        <v>1.1849999999999998</v>
      </c>
      <c r="H69" s="47">
        <f t="shared" si="28"/>
        <v>1.6094999999999999</v>
      </c>
      <c r="I69" s="47">
        <f t="shared" si="28"/>
        <v>1.4514999999999998</v>
      </c>
      <c r="J69" s="47">
        <f t="shared" si="28"/>
        <v>7.7500000000000027E-2</v>
      </c>
      <c r="K69" s="47">
        <f t="shared" si="28"/>
        <v>7.2000000000000022E-2</v>
      </c>
      <c r="L69" s="47">
        <f t="shared" si="28"/>
        <v>1.5165000000000011</v>
      </c>
      <c r="M69" s="47">
        <f t="shared" si="28"/>
        <v>1.3594999999999997</v>
      </c>
      <c r="N69" s="47">
        <f t="shared" si="28"/>
        <v>3.100000000000001E-2</v>
      </c>
      <c r="O69" s="47">
        <f t="shared" si="28"/>
        <v>3.100000000000001E-2</v>
      </c>
      <c r="Q69" s="36">
        <v>505.65</v>
      </c>
      <c r="R69" s="36">
        <v>491</v>
      </c>
      <c r="S69" s="36">
        <f t="shared" si="3"/>
        <v>17.649999999999999</v>
      </c>
      <c r="T69" s="36">
        <f t="shared" si="4"/>
        <v>17.484999999999999</v>
      </c>
      <c r="U69" s="36">
        <f t="shared" si="5"/>
        <v>1160.6793</v>
      </c>
      <c r="V69" s="36">
        <f t="shared" si="6"/>
        <v>1152.0367000000001</v>
      </c>
      <c r="W69" s="36">
        <f t="shared" si="7"/>
        <v>75.100349999999992</v>
      </c>
      <c r="X69" s="36">
        <f t="shared" si="8"/>
        <v>74.978084999999993</v>
      </c>
      <c r="Y69" s="36">
        <f t="shared" si="9"/>
        <v>20.909500000000001</v>
      </c>
      <c r="Z69" s="36">
        <f t="shared" si="10"/>
        <v>20.7515</v>
      </c>
      <c r="AA69" s="53">
        <f t="shared" si="11"/>
        <v>35.577500000000001</v>
      </c>
      <c r="AB69" s="53">
        <f t="shared" si="12"/>
        <v>35.572000000000003</v>
      </c>
      <c r="AC69" s="36">
        <f t="shared" si="13"/>
        <v>23.016500000000001</v>
      </c>
      <c r="AD69" s="36">
        <f t="shared" si="14"/>
        <v>22.859500000000001</v>
      </c>
      <c r="AE69" s="53">
        <f t="shared" si="15"/>
        <v>35.530999999999999</v>
      </c>
      <c r="AF69" s="53">
        <f t="shared" si="16"/>
        <v>35.530999999999999</v>
      </c>
      <c r="AH69" s="43"/>
      <c r="CD69" s="69">
        <v>2041</v>
      </c>
      <c r="CE69" s="54">
        <f t="shared" si="17"/>
        <v>17.649999999999999</v>
      </c>
      <c r="CF69" s="54">
        <f t="shared" si="18"/>
        <v>75.100349999999992</v>
      </c>
      <c r="CG69" s="69">
        <f t="shared" si="19"/>
        <v>505.65</v>
      </c>
      <c r="CH69" s="54">
        <f t="shared" si="20"/>
        <v>17.484999999999999</v>
      </c>
      <c r="CI69" s="54">
        <f t="shared" si="22"/>
        <v>74.978084999999993</v>
      </c>
      <c r="CJ69" s="69">
        <f t="shared" si="21"/>
        <v>491</v>
      </c>
    </row>
    <row r="70" spans="1:88">
      <c r="A70" s="35">
        <v>2042</v>
      </c>
      <c r="B70" s="47">
        <f t="shared" si="28"/>
        <v>1.3000000000000005</v>
      </c>
      <c r="C70" s="47">
        <f t="shared" si="28"/>
        <v>1.1199999999999999</v>
      </c>
      <c r="D70" s="47">
        <f t="shared" si="28"/>
        <v>6.3400000000000007</v>
      </c>
      <c r="E70" s="47">
        <f t="shared" si="28"/>
        <v>5.4600000000000017</v>
      </c>
      <c r="F70" s="47">
        <f t="shared" si="28"/>
        <v>1.4000000000000006</v>
      </c>
      <c r="G70" s="47">
        <f t="shared" si="28"/>
        <v>1.2199999999999998</v>
      </c>
      <c r="H70" s="47">
        <f t="shared" si="28"/>
        <v>1.6639999999999999</v>
      </c>
      <c r="I70" s="47">
        <f t="shared" si="28"/>
        <v>1.4879999999999998</v>
      </c>
      <c r="J70" s="47">
        <f t="shared" si="28"/>
        <v>8.0000000000000029E-2</v>
      </c>
      <c r="K70" s="47">
        <f t="shared" si="28"/>
        <v>7.4000000000000024E-2</v>
      </c>
      <c r="L70" s="47">
        <f t="shared" si="28"/>
        <v>1.5680000000000012</v>
      </c>
      <c r="M70" s="47">
        <f t="shared" si="28"/>
        <v>1.3939999999999997</v>
      </c>
      <c r="N70" s="47">
        <f t="shared" si="28"/>
        <v>3.2000000000000008E-2</v>
      </c>
      <c r="O70" s="47">
        <f t="shared" si="28"/>
        <v>3.2000000000000008E-2</v>
      </c>
      <c r="Q70" s="36">
        <v>511.79999999999995</v>
      </c>
      <c r="R70" s="36">
        <v>495</v>
      </c>
      <c r="S70" s="36">
        <f t="shared" si="3"/>
        <v>17.7</v>
      </c>
      <c r="T70" s="36">
        <f t="shared" si="4"/>
        <v>17.52</v>
      </c>
      <c r="U70" s="36">
        <f t="shared" si="5"/>
        <v>1163.3596</v>
      </c>
      <c r="V70" s="36">
        <f t="shared" si="6"/>
        <v>1153.7324000000001</v>
      </c>
      <c r="W70" s="36">
        <f t="shared" si="7"/>
        <v>75.1374</v>
      </c>
      <c r="X70" s="36">
        <f t="shared" si="8"/>
        <v>75.004019999999997</v>
      </c>
      <c r="Y70" s="36">
        <f t="shared" si="9"/>
        <v>20.964000000000002</v>
      </c>
      <c r="Z70" s="36">
        <f t="shared" si="10"/>
        <v>20.788</v>
      </c>
      <c r="AA70" s="53">
        <f t="shared" si="11"/>
        <v>35.58</v>
      </c>
      <c r="AB70" s="53">
        <f t="shared" si="12"/>
        <v>35.573999999999998</v>
      </c>
      <c r="AC70" s="36">
        <f t="shared" si="13"/>
        <v>23.068000000000001</v>
      </c>
      <c r="AD70" s="36">
        <f t="shared" si="14"/>
        <v>22.893999999999998</v>
      </c>
      <c r="AE70" s="53">
        <f t="shared" si="15"/>
        <v>35.531999999999996</v>
      </c>
      <c r="AF70" s="53">
        <f t="shared" si="16"/>
        <v>35.531999999999996</v>
      </c>
      <c r="AH70" s="43"/>
      <c r="CD70" s="69">
        <v>2042</v>
      </c>
      <c r="CE70" s="54">
        <f t="shared" si="17"/>
        <v>17.7</v>
      </c>
      <c r="CF70" s="54">
        <f t="shared" si="18"/>
        <v>75.1374</v>
      </c>
      <c r="CG70" s="69">
        <f t="shared" si="19"/>
        <v>511.79999999999995</v>
      </c>
      <c r="CH70" s="54">
        <f t="shared" si="20"/>
        <v>17.52</v>
      </c>
      <c r="CI70" s="54">
        <f t="shared" si="22"/>
        <v>75.004019999999997</v>
      </c>
      <c r="CJ70" s="69">
        <f t="shared" si="21"/>
        <v>495</v>
      </c>
    </row>
    <row r="71" spans="1:88">
      <c r="A71" s="35">
        <v>2043</v>
      </c>
      <c r="B71" s="47">
        <f t="shared" si="28"/>
        <v>1.3500000000000005</v>
      </c>
      <c r="C71" s="47">
        <f t="shared" si="28"/>
        <v>1.1549999999999998</v>
      </c>
      <c r="D71" s="47">
        <f t="shared" si="28"/>
        <v>6.5850000000000009</v>
      </c>
      <c r="E71" s="47">
        <f t="shared" si="28"/>
        <v>5.615000000000002</v>
      </c>
      <c r="F71" s="47">
        <f t="shared" si="28"/>
        <v>1.4500000000000006</v>
      </c>
      <c r="G71" s="47">
        <f t="shared" si="28"/>
        <v>1.2549999999999997</v>
      </c>
      <c r="H71" s="47">
        <f t="shared" si="28"/>
        <v>1.7184999999999999</v>
      </c>
      <c r="I71" s="47">
        <f t="shared" si="28"/>
        <v>1.5244999999999997</v>
      </c>
      <c r="J71" s="47">
        <f t="shared" si="28"/>
        <v>8.2500000000000032E-2</v>
      </c>
      <c r="K71" s="47">
        <f t="shared" si="28"/>
        <v>7.6000000000000026E-2</v>
      </c>
      <c r="L71" s="47">
        <f t="shared" si="28"/>
        <v>1.6195000000000013</v>
      </c>
      <c r="M71" s="47">
        <f t="shared" si="28"/>
        <v>1.4284999999999997</v>
      </c>
      <c r="N71" s="47">
        <f t="shared" si="28"/>
        <v>3.3000000000000008E-2</v>
      </c>
      <c r="O71" s="47">
        <f t="shared" si="28"/>
        <v>3.3000000000000008E-2</v>
      </c>
      <c r="Q71" s="36">
        <v>517.94999999999993</v>
      </c>
      <c r="R71" s="36">
        <v>499</v>
      </c>
      <c r="S71" s="36">
        <f t="shared" si="3"/>
        <v>17.75</v>
      </c>
      <c r="T71" s="36">
        <f t="shared" si="4"/>
        <v>17.555</v>
      </c>
      <c r="U71" s="36">
        <f t="shared" si="5"/>
        <v>1166.0399</v>
      </c>
      <c r="V71" s="36">
        <f t="shared" si="6"/>
        <v>1155.4281000000001</v>
      </c>
      <c r="W71" s="36">
        <f t="shared" si="7"/>
        <v>75.174449999999993</v>
      </c>
      <c r="X71" s="36">
        <f t="shared" si="8"/>
        <v>75.029955000000001</v>
      </c>
      <c r="Y71" s="36">
        <f t="shared" si="9"/>
        <v>21.0185</v>
      </c>
      <c r="Z71" s="36">
        <f t="shared" si="10"/>
        <v>20.8245</v>
      </c>
      <c r="AA71" s="53">
        <f t="shared" si="11"/>
        <v>35.582500000000003</v>
      </c>
      <c r="AB71" s="53">
        <f t="shared" si="12"/>
        <v>35.576000000000001</v>
      </c>
      <c r="AC71" s="36">
        <f t="shared" si="13"/>
        <v>23.119500000000002</v>
      </c>
      <c r="AD71" s="36">
        <f t="shared" si="14"/>
        <v>22.9285</v>
      </c>
      <c r="AE71" s="53">
        <f t="shared" si="15"/>
        <v>35.533000000000001</v>
      </c>
      <c r="AF71" s="53">
        <f t="shared" si="16"/>
        <v>35.533000000000001</v>
      </c>
      <c r="AH71" s="43"/>
      <c r="CD71" s="69">
        <v>2043</v>
      </c>
      <c r="CE71" s="54">
        <f t="shared" si="17"/>
        <v>17.75</v>
      </c>
      <c r="CF71" s="54">
        <f t="shared" si="18"/>
        <v>75.174449999999993</v>
      </c>
      <c r="CG71" s="69">
        <f t="shared" si="19"/>
        <v>517.94999999999993</v>
      </c>
      <c r="CH71" s="54">
        <f t="shared" si="20"/>
        <v>17.555</v>
      </c>
      <c r="CI71" s="54">
        <f t="shared" si="22"/>
        <v>75.029955000000001</v>
      </c>
      <c r="CJ71" s="69">
        <f t="shared" si="21"/>
        <v>499</v>
      </c>
    </row>
    <row r="72" spans="1:88">
      <c r="A72" s="35">
        <v>2044</v>
      </c>
      <c r="B72" s="47">
        <f t="shared" si="28"/>
        <v>1.4000000000000006</v>
      </c>
      <c r="C72" s="47">
        <f t="shared" si="28"/>
        <v>1.1899999999999997</v>
      </c>
      <c r="D72" s="47">
        <f t="shared" si="28"/>
        <v>6.830000000000001</v>
      </c>
      <c r="E72" s="47">
        <f t="shared" si="28"/>
        <v>5.7700000000000022</v>
      </c>
      <c r="F72" s="47">
        <f t="shared" si="28"/>
        <v>1.5000000000000007</v>
      </c>
      <c r="G72" s="47">
        <f t="shared" si="28"/>
        <v>1.2899999999999996</v>
      </c>
      <c r="H72" s="47">
        <f t="shared" si="28"/>
        <v>1.7729999999999999</v>
      </c>
      <c r="I72" s="47">
        <f t="shared" si="28"/>
        <v>1.5609999999999997</v>
      </c>
      <c r="J72" s="47">
        <f t="shared" si="28"/>
        <v>8.5000000000000034E-2</v>
      </c>
      <c r="K72" s="47">
        <f t="shared" si="28"/>
        <v>7.8000000000000028E-2</v>
      </c>
      <c r="L72" s="47">
        <f t="shared" si="28"/>
        <v>1.6710000000000014</v>
      </c>
      <c r="M72" s="47">
        <f t="shared" si="28"/>
        <v>1.4629999999999996</v>
      </c>
      <c r="N72" s="47">
        <f t="shared" si="28"/>
        <v>3.4000000000000009E-2</v>
      </c>
      <c r="O72" s="47">
        <f t="shared" si="28"/>
        <v>3.4000000000000009E-2</v>
      </c>
      <c r="Q72" s="36">
        <v>524.09999999999991</v>
      </c>
      <c r="R72" s="36">
        <v>503</v>
      </c>
      <c r="S72" s="36">
        <f t="shared" si="3"/>
        <v>17.8</v>
      </c>
      <c r="T72" s="36">
        <f t="shared" si="4"/>
        <v>17.59</v>
      </c>
      <c r="U72" s="36">
        <f t="shared" si="5"/>
        <v>1168.7202</v>
      </c>
      <c r="V72" s="36">
        <f t="shared" si="6"/>
        <v>1157.1238000000001</v>
      </c>
      <c r="W72" s="36">
        <f t="shared" si="7"/>
        <v>75.211500000000001</v>
      </c>
      <c r="X72" s="36">
        <f t="shared" si="8"/>
        <v>75.055889999999991</v>
      </c>
      <c r="Y72" s="36">
        <f t="shared" si="9"/>
        <v>21.073</v>
      </c>
      <c r="Z72" s="36">
        <f t="shared" si="10"/>
        <v>20.861000000000001</v>
      </c>
      <c r="AA72" s="53">
        <f t="shared" si="11"/>
        <v>35.585000000000001</v>
      </c>
      <c r="AB72" s="53">
        <f t="shared" si="12"/>
        <v>35.578000000000003</v>
      </c>
      <c r="AC72" s="36">
        <f t="shared" si="13"/>
        <v>23.171000000000003</v>
      </c>
      <c r="AD72" s="36">
        <f t="shared" si="14"/>
        <v>22.963000000000001</v>
      </c>
      <c r="AE72" s="53">
        <f t="shared" si="15"/>
        <v>35.533999999999999</v>
      </c>
      <c r="AF72" s="53">
        <f t="shared" si="16"/>
        <v>35.533999999999999</v>
      </c>
      <c r="AH72" s="43"/>
      <c r="CD72" s="69">
        <v>2044</v>
      </c>
      <c r="CE72" s="54">
        <f t="shared" si="17"/>
        <v>17.8</v>
      </c>
      <c r="CF72" s="54">
        <f t="shared" si="18"/>
        <v>75.211500000000001</v>
      </c>
      <c r="CG72" s="69">
        <f t="shared" si="19"/>
        <v>524.09999999999991</v>
      </c>
      <c r="CH72" s="54">
        <f t="shared" si="20"/>
        <v>17.59</v>
      </c>
      <c r="CI72" s="54">
        <f t="shared" si="22"/>
        <v>75.055889999999991</v>
      </c>
      <c r="CJ72" s="69">
        <f t="shared" si="21"/>
        <v>503</v>
      </c>
    </row>
    <row r="73" spans="1:88">
      <c r="A73" s="35">
        <v>2045</v>
      </c>
      <c r="B73" s="47">
        <f t="shared" si="28"/>
        <v>1.4500000000000006</v>
      </c>
      <c r="C73" s="47">
        <f t="shared" si="28"/>
        <v>1.2249999999999996</v>
      </c>
      <c r="D73" s="47">
        <f t="shared" si="28"/>
        <v>7.0750000000000011</v>
      </c>
      <c r="E73" s="47">
        <f t="shared" si="28"/>
        <v>5.9250000000000025</v>
      </c>
      <c r="F73" s="47">
        <f t="shared" si="28"/>
        <v>1.5500000000000007</v>
      </c>
      <c r="G73" s="47">
        <f t="shared" si="28"/>
        <v>1.3249999999999995</v>
      </c>
      <c r="H73" s="47">
        <f t="shared" si="28"/>
        <v>1.8274999999999999</v>
      </c>
      <c r="I73" s="47">
        <f t="shared" si="28"/>
        <v>1.5974999999999997</v>
      </c>
      <c r="J73" s="47">
        <f t="shared" si="28"/>
        <v>8.7500000000000036E-2</v>
      </c>
      <c r="K73" s="47">
        <f t="shared" si="28"/>
        <v>8.0000000000000029E-2</v>
      </c>
      <c r="L73" s="47">
        <f t="shared" si="28"/>
        <v>1.7225000000000015</v>
      </c>
      <c r="M73" s="47">
        <f t="shared" si="28"/>
        <v>1.4974999999999996</v>
      </c>
      <c r="N73" s="47">
        <f t="shared" si="28"/>
        <v>3.500000000000001E-2</v>
      </c>
      <c r="O73" s="47">
        <f t="shared" si="28"/>
        <v>3.500000000000001E-2</v>
      </c>
      <c r="Q73" s="36">
        <v>530.24999999999989</v>
      </c>
      <c r="R73" s="36">
        <v>507</v>
      </c>
      <c r="S73" s="36">
        <f t="shared" si="3"/>
        <v>17.849999999999998</v>
      </c>
      <c r="T73" s="36">
        <f t="shared" si="4"/>
        <v>17.625</v>
      </c>
      <c r="U73" s="36">
        <f t="shared" si="5"/>
        <v>1171.4005</v>
      </c>
      <c r="V73" s="36">
        <f t="shared" si="6"/>
        <v>1158.8195000000001</v>
      </c>
      <c r="W73" s="36">
        <f t="shared" si="7"/>
        <v>75.248549999999994</v>
      </c>
      <c r="X73" s="36">
        <f t="shared" si="8"/>
        <v>75.081824999999995</v>
      </c>
      <c r="Y73" s="36">
        <f t="shared" si="9"/>
        <v>21.127500000000001</v>
      </c>
      <c r="Z73" s="36">
        <f t="shared" si="10"/>
        <v>20.897500000000001</v>
      </c>
      <c r="AA73" s="53">
        <f t="shared" si="11"/>
        <v>35.587499999999999</v>
      </c>
      <c r="AB73" s="53">
        <f t="shared" si="12"/>
        <v>35.58</v>
      </c>
      <c r="AC73" s="36">
        <f t="shared" si="13"/>
        <v>23.2225</v>
      </c>
      <c r="AD73" s="36">
        <f t="shared" si="14"/>
        <v>22.997499999999999</v>
      </c>
      <c r="AE73" s="53">
        <f t="shared" si="15"/>
        <v>35.534999999999997</v>
      </c>
      <c r="AF73" s="53">
        <f t="shared" si="16"/>
        <v>35.534999999999997</v>
      </c>
      <c r="AH73" s="43"/>
      <c r="CD73" s="69">
        <v>2045</v>
      </c>
      <c r="CE73" s="54">
        <f t="shared" si="17"/>
        <v>17.849999999999998</v>
      </c>
      <c r="CF73" s="54">
        <f t="shared" si="18"/>
        <v>75.248549999999994</v>
      </c>
      <c r="CG73" s="69">
        <f t="shared" si="19"/>
        <v>530.24999999999989</v>
      </c>
      <c r="CH73" s="54">
        <f t="shared" si="20"/>
        <v>17.625</v>
      </c>
      <c r="CI73" s="54">
        <f t="shared" si="22"/>
        <v>75.081824999999995</v>
      </c>
      <c r="CJ73" s="69">
        <f t="shared" si="21"/>
        <v>507</v>
      </c>
    </row>
    <row r="74" spans="1:88">
      <c r="A74" s="35">
        <v>2046</v>
      </c>
      <c r="B74" s="47">
        <f t="shared" si="28"/>
        <v>1.5000000000000007</v>
      </c>
      <c r="C74" s="47">
        <f t="shared" si="28"/>
        <v>1.2599999999999996</v>
      </c>
      <c r="D74" s="47">
        <f t="shared" si="28"/>
        <v>7.3200000000000012</v>
      </c>
      <c r="E74" s="47">
        <f t="shared" si="28"/>
        <v>6.0800000000000027</v>
      </c>
      <c r="F74" s="47">
        <f t="shared" si="28"/>
        <v>1.6000000000000008</v>
      </c>
      <c r="G74" s="47">
        <f t="shared" si="28"/>
        <v>1.3599999999999994</v>
      </c>
      <c r="H74" s="47">
        <f t="shared" si="28"/>
        <v>1.8819999999999999</v>
      </c>
      <c r="I74" s="47">
        <f t="shared" si="28"/>
        <v>1.6339999999999997</v>
      </c>
      <c r="J74" s="47">
        <f t="shared" si="28"/>
        <v>9.0000000000000038E-2</v>
      </c>
      <c r="K74" s="47">
        <f t="shared" si="28"/>
        <v>8.2000000000000031E-2</v>
      </c>
      <c r="L74" s="47">
        <f t="shared" si="28"/>
        <v>1.7740000000000016</v>
      </c>
      <c r="M74" s="47">
        <f t="shared" si="28"/>
        <v>1.5319999999999996</v>
      </c>
      <c r="N74" s="47">
        <f t="shared" si="28"/>
        <v>3.6000000000000011E-2</v>
      </c>
      <c r="O74" s="47">
        <f t="shared" si="28"/>
        <v>3.6000000000000011E-2</v>
      </c>
      <c r="Q74" s="36">
        <v>536.39999999999986</v>
      </c>
      <c r="R74" s="36">
        <v>511</v>
      </c>
      <c r="S74" s="36">
        <f t="shared" si="3"/>
        <v>17.899999999999999</v>
      </c>
      <c r="T74" s="36">
        <f t="shared" si="4"/>
        <v>17.659999999999997</v>
      </c>
      <c r="U74" s="36">
        <f t="shared" si="5"/>
        <v>1174.0808</v>
      </c>
      <c r="V74" s="36">
        <f t="shared" si="6"/>
        <v>1160.5152</v>
      </c>
      <c r="W74" s="36">
        <f t="shared" si="7"/>
        <v>75.285599999999988</v>
      </c>
      <c r="X74" s="36">
        <f t="shared" si="8"/>
        <v>75.107759999999999</v>
      </c>
      <c r="Y74" s="36">
        <f t="shared" si="9"/>
        <v>21.182000000000002</v>
      </c>
      <c r="Z74" s="36">
        <f t="shared" si="10"/>
        <v>20.934000000000001</v>
      </c>
      <c r="AA74" s="53">
        <f t="shared" si="11"/>
        <v>35.590000000000003</v>
      </c>
      <c r="AB74" s="53">
        <f t="shared" si="12"/>
        <v>35.582000000000001</v>
      </c>
      <c r="AC74" s="36">
        <f t="shared" si="13"/>
        <v>23.274000000000001</v>
      </c>
      <c r="AD74" s="36">
        <f t="shared" si="14"/>
        <v>23.032</v>
      </c>
      <c r="AE74" s="53">
        <f t="shared" si="15"/>
        <v>35.536000000000001</v>
      </c>
      <c r="AF74" s="53">
        <f t="shared" si="16"/>
        <v>35.536000000000001</v>
      </c>
      <c r="AH74" s="43"/>
      <c r="CD74" s="69">
        <v>2046</v>
      </c>
      <c r="CE74" s="54">
        <f t="shared" si="17"/>
        <v>17.899999999999999</v>
      </c>
      <c r="CF74" s="54">
        <f t="shared" si="18"/>
        <v>75.285599999999988</v>
      </c>
      <c r="CG74" s="69">
        <f t="shared" si="19"/>
        <v>536.39999999999986</v>
      </c>
      <c r="CH74" s="54">
        <f t="shared" si="20"/>
        <v>17.659999999999997</v>
      </c>
      <c r="CI74" s="54">
        <f t="shared" si="22"/>
        <v>75.107759999999999</v>
      </c>
      <c r="CJ74" s="69">
        <f t="shared" si="21"/>
        <v>511</v>
      </c>
    </row>
    <row r="75" spans="1:88">
      <c r="A75" s="35">
        <v>2047</v>
      </c>
      <c r="B75" s="47">
        <f t="shared" ref="B75:O77" si="29">(B$8-B$7)/COUNT($A$58:$A$77)+B74</f>
        <v>1.5500000000000007</v>
      </c>
      <c r="C75" s="47">
        <f t="shared" si="29"/>
        <v>1.2949999999999995</v>
      </c>
      <c r="D75" s="47">
        <f t="shared" si="29"/>
        <v>7.5650000000000013</v>
      </c>
      <c r="E75" s="47">
        <f t="shared" si="29"/>
        <v>6.235000000000003</v>
      </c>
      <c r="F75" s="47">
        <f t="shared" si="29"/>
        <v>1.6500000000000008</v>
      </c>
      <c r="G75" s="47">
        <f t="shared" si="29"/>
        <v>1.3949999999999994</v>
      </c>
      <c r="H75" s="47">
        <f t="shared" si="29"/>
        <v>1.9364999999999999</v>
      </c>
      <c r="I75" s="47">
        <f t="shared" si="29"/>
        <v>1.6704999999999997</v>
      </c>
      <c r="J75" s="47">
        <f t="shared" si="29"/>
        <v>9.2500000000000041E-2</v>
      </c>
      <c r="K75" s="47">
        <f t="shared" si="29"/>
        <v>8.4000000000000033E-2</v>
      </c>
      <c r="L75" s="47">
        <f t="shared" si="29"/>
        <v>1.8255000000000017</v>
      </c>
      <c r="M75" s="47">
        <f t="shared" si="29"/>
        <v>1.5664999999999996</v>
      </c>
      <c r="N75" s="47">
        <f t="shared" si="29"/>
        <v>3.7000000000000012E-2</v>
      </c>
      <c r="O75" s="47">
        <f t="shared" si="29"/>
        <v>3.7000000000000012E-2</v>
      </c>
      <c r="Q75" s="36">
        <v>542.54999999999984</v>
      </c>
      <c r="R75" s="36">
        <v>515</v>
      </c>
      <c r="S75" s="36">
        <f t="shared" si="3"/>
        <v>17.95</v>
      </c>
      <c r="T75" s="36">
        <f t="shared" si="4"/>
        <v>17.694999999999997</v>
      </c>
      <c r="U75" s="36">
        <f t="shared" si="5"/>
        <v>1176.7610999999999</v>
      </c>
      <c r="V75" s="36">
        <f t="shared" si="6"/>
        <v>1162.2109</v>
      </c>
      <c r="W75" s="36">
        <f t="shared" si="7"/>
        <v>75.322649999999996</v>
      </c>
      <c r="X75" s="36">
        <f t="shared" si="8"/>
        <v>75.133694999999989</v>
      </c>
      <c r="Y75" s="36">
        <f t="shared" si="9"/>
        <v>21.236499999999999</v>
      </c>
      <c r="Z75" s="36">
        <f t="shared" si="10"/>
        <v>20.970500000000001</v>
      </c>
      <c r="AA75" s="53">
        <f t="shared" si="11"/>
        <v>35.592500000000001</v>
      </c>
      <c r="AB75" s="53">
        <f t="shared" si="12"/>
        <v>35.584000000000003</v>
      </c>
      <c r="AC75" s="36">
        <f t="shared" si="13"/>
        <v>23.325500000000002</v>
      </c>
      <c r="AD75" s="36">
        <f t="shared" si="14"/>
        <v>23.066499999999998</v>
      </c>
      <c r="AE75" s="53">
        <f t="shared" si="15"/>
        <v>35.536999999999999</v>
      </c>
      <c r="AF75" s="53">
        <f t="shared" si="16"/>
        <v>35.536999999999999</v>
      </c>
      <c r="AH75" s="43"/>
      <c r="CD75" s="69">
        <v>2047</v>
      </c>
      <c r="CE75" s="54">
        <f t="shared" si="17"/>
        <v>17.95</v>
      </c>
      <c r="CF75" s="54">
        <f t="shared" si="18"/>
        <v>75.322649999999996</v>
      </c>
      <c r="CG75" s="69">
        <f t="shared" si="19"/>
        <v>542.54999999999984</v>
      </c>
      <c r="CH75" s="54">
        <f t="shared" si="20"/>
        <v>17.694999999999997</v>
      </c>
      <c r="CI75" s="54">
        <f t="shared" si="22"/>
        <v>75.133694999999989</v>
      </c>
      <c r="CJ75" s="69">
        <f t="shared" si="21"/>
        <v>515</v>
      </c>
    </row>
    <row r="76" spans="1:88">
      <c r="A76" s="35">
        <v>2048</v>
      </c>
      <c r="B76" s="47">
        <f t="shared" si="29"/>
        <v>1.6000000000000008</v>
      </c>
      <c r="C76" s="47">
        <f t="shared" si="29"/>
        <v>1.3299999999999994</v>
      </c>
      <c r="D76" s="47">
        <f t="shared" si="29"/>
        <v>7.8100000000000014</v>
      </c>
      <c r="E76" s="47">
        <f t="shared" si="29"/>
        <v>6.3900000000000032</v>
      </c>
      <c r="F76" s="47">
        <f t="shared" si="29"/>
        <v>1.7000000000000008</v>
      </c>
      <c r="G76" s="47">
        <f t="shared" si="29"/>
        <v>1.4299999999999993</v>
      </c>
      <c r="H76" s="47">
        <f t="shared" si="29"/>
        <v>1.9909999999999999</v>
      </c>
      <c r="I76" s="47">
        <f t="shared" si="29"/>
        <v>1.7069999999999996</v>
      </c>
      <c r="J76" s="47">
        <f t="shared" si="29"/>
        <v>9.5000000000000043E-2</v>
      </c>
      <c r="K76" s="47">
        <f t="shared" si="29"/>
        <v>8.6000000000000035E-2</v>
      </c>
      <c r="L76" s="47">
        <f t="shared" si="29"/>
        <v>1.8770000000000018</v>
      </c>
      <c r="M76" s="47">
        <f t="shared" si="29"/>
        <v>1.6009999999999995</v>
      </c>
      <c r="N76" s="47">
        <f t="shared" si="29"/>
        <v>3.8000000000000013E-2</v>
      </c>
      <c r="O76" s="47">
        <f t="shared" si="29"/>
        <v>3.8000000000000013E-2</v>
      </c>
      <c r="Q76" s="36">
        <v>548.69999999999982</v>
      </c>
      <c r="R76" s="36">
        <v>519</v>
      </c>
      <c r="S76" s="36">
        <f t="shared" si="3"/>
        <v>18</v>
      </c>
      <c r="T76" s="36">
        <f t="shared" si="4"/>
        <v>17.729999999999997</v>
      </c>
      <c r="U76" s="36">
        <f t="shared" si="5"/>
        <v>1179.4413999999999</v>
      </c>
      <c r="V76" s="36">
        <f t="shared" si="6"/>
        <v>1163.9066</v>
      </c>
      <c r="W76" s="36">
        <f t="shared" si="7"/>
        <v>75.359699999999989</v>
      </c>
      <c r="X76" s="36">
        <f t="shared" si="8"/>
        <v>75.159629999999993</v>
      </c>
      <c r="Y76" s="36">
        <f t="shared" si="9"/>
        <v>21.291</v>
      </c>
      <c r="Z76" s="36">
        <f t="shared" si="10"/>
        <v>21.007000000000001</v>
      </c>
      <c r="AA76" s="53">
        <f t="shared" si="11"/>
        <v>35.594999999999999</v>
      </c>
      <c r="AB76" s="53">
        <f t="shared" si="12"/>
        <v>35.585999999999999</v>
      </c>
      <c r="AC76" s="36">
        <f t="shared" si="13"/>
        <v>23.377000000000002</v>
      </c>
      <c r="AD76" s="36">
        <f t="shared" si="14"/>
        <v>23.100999999999999</v>
      </c>
      <c r="AE76" s="53">
        <f t="shared" si="15"/>
        <v>35.537999999999997</v>
      </c>
      <c r="AF76" s="53">
        <f t="shared" si="16"/>
        <v>35.537999999999997</v>
      </c>
      <c r="AH76" s="43"/>
      <c r="CD76" s="69">
        <v>2048</v>
      </c>
      <c r="CE76" s="54">
        <f t="shared" si="17"/>
        <v>18</v>
      </c>
      <c r="CF76" s="54">
        <f t="shared" si="18"/>
        <v>75.359699999999989</v>
      </c>
      <c r="CG76" s="69">
        <f t="shared" si="19"/>
        <v>548.69999999999982</v>
      </c>
      <c r="CH76" s="54">
        <f t="shared" si="20"/>
        <v>17.729999999999997</v>
      </c>
      <c r="CI76" s="54">
        <f t="shared" si="22"/>
        <v>75.159629999999993</v>
      </c>
      <c r="CJ76" s="69">
        <f t="shared" si="21"/>
        <v>519</v>
      </c>
    </row>
    <row r="77" spans="1:88">
      <c r="A77" s="35">
        <v>2049</v>
      </c>
      <c r="B77" s="47">
        <f t="shared" si="29"/>
        <v>1.6500000000000008</v>
      </c>
      <c r="C77" s="47">
        <f t="shared" si="29"/>
        <v>1.3649999999999993</v>
      </c>
      <c r="D77" s="47">
        <f t="shared" si="29"/>
        <v>8.0550000000000015</v>
      </c>
      <c r="E77" s="47">
        <f t="shared" si="29"/>
        <v>6.5450000000000035</v>
      </c>
      <c r="F77" s="47">
        <f t="shared" si="29"/>
        <v>1.7500000000000009</v>
      </c>
      <c r="G77" s="47">
        <f t="shared" si="29"/>
        <v>1.4649999999999992</v>
      </c>
      <c r="H77" s="47">
        <f t="shared" si="29"/>
        <v>2.0455000000000001</v>
      </c>
      <c r="I77" s="47">
        <f t="shared" si="29"/>
        <v>1.7434999999999996</v>
      </c>
      <c r="J77" s="47">
        <f t="shared" si="29"/>
        <v>9.7500000000000045E-2</v>
      </c>
      <c r="K77" s="47">
        <f t="shared" si="29"/>
        <v>8.8000000000000037E-2</v>
      </c>
      <c r="L77" s="47">
        <f t="shared" si="29"/>
        <v>1.9285000000000019</v>
      </c>
      <c r="M77" s="47">
        <f t="shared" si="29"/>
        <v>1.6354999999999995</v>
      </c>
      <c r="N77" s="47">
        <f t="shared" si="29"/>
        <v>3.9000000000000014E-2</v>
      </c>
      <c r="O77" s="47">
        <f t="shared" si="29"/>
        <v>3.9000000000000014E-2</v>
      </c>
      <c r="Q77" s="36">
        <v>554.8499999999998</v>
      </c>
      <c r="R77" s="36">
        <v>523</v>
      </c>
      <c r="S77" s="36">
        <f t="shared" si="3"/>
        <v>18.05</v>
      </c>
      <c r="T77" s="36">
        <f t="shared" si="4"/>
        <v>17.764999999999997</v>
      </c>
      <c r="U77" s="36">
        <f t="shared" si="5"/>
        <v>1182.1216999999999</v>
      </c>
      <c r="V77" s="36">
        <f t="shared" si="6"/>
        <v>1165.6023</v>
      </c>
      <c r="W77" s="36">
        <f t="shared" si="7"/>
        <v>75.396749999999997</v>
      </c>
      <c r="X77" s="36">
        <f t="shared" si="8"/>
        <v>75.185564999999997</v>
      </c>
      <c r="Y77" s="36">
        <f t="shared" si="9"/>
        <v>21.345500000000001</v>
      </c>
      <c r="Z77" s="36">
        <f t="shared" si="10"/>
        <v>21.043500000000002</v>
      </c>
      <c r="AA77" s="53">
        <f t="shared" si="11"/>
        <v>35.597499999999997</v>
      </c>
      <c r="AB77" s="53">
        <f t="shared" si="12"/>
        <v>35.588000000000001</v>
      </c>
      <c r="AC77" s="36">
        <f t="shared" si="13"/>
        <v>23.428500000000003</v>
      </c>
      <c r="AD77" s="36">
        <f t="shared" si="14"/>
        <v>23.1355</v>
      </c>
      <c r="AE77" s="53">
        <f t="shared" si="15"/>
        <v>35.539000000000001</v>
      </c>
      <c r="AF77" s="53">
        <f t="shared" si="16"/>
        <v>35.539000000000001</v>
      </c>
      <c r="AH77" s="43"/>
      <c r="CD77" s="69">
        <v>2049</v>
      </c>
      <c r="CE77" s="54">
        <f t="shared" si="17"/>
        <v>18.05</v>
      </c>
      <c r="CF77" s="54">
        <f t="shared" si="18"/>
        <v>75.396749999999997</v>
      </c>
      <c r="CG77" s="69">
        <f t="shared" si="19"/>
        <v>554.8499999999998</v>
      </c>
      <c r="CH77" s="54">
        <f t="shared" si="20"/>
        <v>17.764999999999997</v>
      </c>
      <c r="CI77" s="54">
        <f t="shared" si="22"/>
        <v>75.185564999999997</v>
      </c>
      <c r="CJ77" s="69">
        <f t="shared" si="21"/>
        <v>523</v>
      </c>
    </row>
    <row r="78" spans="1:88">
      <c r="A78" s="35">
        <v>2050</v>
      </c>
      <c r="B78" s="47">
        <f t="shared" ref="B78:O78" si="30">B$8</f>
        <v>1.7</v>
      </c>
      <c r="C78" s="47">
        <f t="shared" si="30"/>
        <v>1.4</v>
      </c>
      <c r="D78" s="47">
        <f t="shared" si="30"/>
        <v>8.3000000000000007</v>
      </c>
      <c r="E78" s="47">
        <f t="shared" si="30"/>
        <v>6.7</v>
      </c>
      <c r="F78" s="47">
        <f t="shared" si="30"/>
        <v>1.8</v>
      </c>
      <c r="G78" s="47">
        <f t="shared" si="30"/>
        <v>1.5</v>
      </c>
      <c r="H78" s="47">
        <f t="shared" si="30"/>
        <v>2.1</v>
      </c>
      <c r="I78" s="47">
        <f t="shared" si="30"/>
        <v>1.78</v>
      </c>
      <c r="J78" s="47">
        <f t="shared" si="30"/>
        <v>0.1</v>
      </c>
      <c r="K78" s="47">
        <f t="shared" si="30"/>
        <v>0.09</v>
      </c>
      <c r="L78" s="47">
        <f t="shared" si="30"/>
        <v>1.98</v>
      </c>
      <c r="M78" s="47">
        <f t="shared" si="30"/>
        <v>1.67</v>
      </c>
      <c r="N78" s="47">
        <f t="shared" si="30"/>
        <v>0.04</v>
      </c>
      <c r="O78" s="47">
        <f t="shared" si="30"/>
        <v>0.04</v>
      </c>
      <c r="Q78" s="36">
        <v>561</v>
      </c>
      <c r="R78" s="36">
        <v>527</v>
      </c>
      <c r="S78" s="36">
        <f t="shared" si="3"/>
        <v>18.099999999999998</v>
      </c>
      <c r="T78" s="36">
        <f t="shared" si="4"/>
        <v>17.799999999999997</v>
      </c>
      <c r="U78" s="36">
        <f t="shared" si="5"/>
        <v>1184.8019999999999</v>
      </c>
      <c r="V78" s="36">
        <f t="shared" si="6"/>
        <v>1167.298</v>
      </c>
      <c r="W78" s="36">
        <f t="shared" si="7"/>
        <v>75.433799999999991</v>
      </c>
      <c r="X78" s="36">
        <f t="shared" si="8"/>
        <v>75.211500000000001</v>
      </c>
      <c r="Y78" s="36">
        <f t="shared" si="9"/>
        <v>21.400000000000002</v>
      </c>
      <c r="Z78" s="36">
        <f t="shared" si="10"/>
        <v>21.080000000000002</v>
      </c>
      <c r="AA78" s="53">
        <f t="shared" si="11"/>
        <v>35.6</v>
      </c>
      <c r="AB78" s="53">
        <f t="shared" si="12"/>
        <v>35.590000000000003</v>
      </c>
      <c r="AC78" s="36">
        <f t="shared" si="13"/>
        <v>23.48</v>
      </c>
      <c r="AD78" s="36">
        <f t="shared" si="14"/>
        <v>23.17</v>
      </c>
      <c r="AE78" s="53">
        <f t="shared" si="15"/>
        <v>35.54</v>
      </c>
      <c r="AF78" s="53">
        <f t="shared" si="16"/>
        <v>35.54</v>
      </c>
      <c r="AH78" s="43"/>
      <c r="CD78" s="69">
        <v>2050</v>
      </c>
      <c r="CE78" s="54">
        <f t="shared" si="17"/>
        <v>18.099999999999998</v>
      </c>
      <c r="CF78" s="54">
        <f t="shared" si="18"/>
        <v>75.433799999999991</v>
      </c>
      <c r="CG78" s="69">
        <f t="shared" si="19"/>
        <v>561</v>
      </c>
      <c r="CH78" s="54">
        <f t="shared" si="20"/>
        <v>17.799999999999997</v>
      </c>
      <c r="CI78" s="54">
        <f t="shared" si="22"/>
        <v>75.211500000000001</v>
      </c>
      <c r="CJ78" s="69">
        <f t="shared" si="21"/>
        <v>527</v>
      </c>
    </row>
    <row r="79" spans="1:88">
      <c r="A79" s="35">
        <v>2051</v>
      </c>
      <c r="B79" s="47">
        <f t="shared" ref="B79:O94" si="31">(B$9-B$8)/COUNT($A$78:$A$97)+B78</f>
        <v>1.73</v>
      </c>
      <c r="C79" s="47">
        <f t="shared" si="31"/>
        <v>1.4149999999999998</v>
      </c>
      <c r="D79" s="47">
        <f t="shared" si="31"/>
        <v>8.4600000000000009</v>
      </c>
      <c r="E79" s="47">
        <f t="shared" si="31"/>
        <v>6.79</v>
      </c>
      <c r="F79" s="47">
        <f t="shared" si="31"/>
        <v>1.835</v>
      </c>
      <c r="G79" s="47">
        <f t="shared" si="31"/>
        <v>1.52</v>
      </c>
      <c r="H79" s="47">
        <f t="shared" si="31"/>
        <v>2.1640000000000001</v>
      </c>
      <c r="I79" s="47">
        <f t="shared" si="31"/>
        <v>1.8155000000000001</v>
      </c>
      <c r="J79" s="47">
        <f t="shared" si="31"/>
        <v>0.10350000000000001</v>
      </c>
      <c r="K79" s="47">
        <f t="shared" si="31"/>
        <v>9.1499999999999998E-2</v>
      </c>
      <c r="L79" s="47">
        <f t="shared" si="31"/>
        <v>2.04</v>
      </c>
      <c r="M79" s="47">
        <f t="shared" si="31"/>
        <v>1.7029999999999998</v>
      </c>
      <c r="N79" s="47">
        <f t="shared" si="31"/>
        <v>4.1500000000000002E-2</v>
      </c>
      <c r="O79" s="47">
        <f t="shared" si="31"/>
        <v>4.0500000000000001E-2</v>
      </c>
      <c r="Q79" s="36">
        <v>568.04999999999995</v>
      </c>
      <c r="R79" s="36">
        <v>531.04999999999995</v>
      </c>
      <c r="S79" s="36">
        <f t="shared" si="3"/>
        <v>18.13</v>
      </c>
      <c r="T79" s="36">
        <f t="shared" si="4"/>
        <v>17.814999999999998</v>
      </c>
      <c r="U79" s="36">
        <f t="shared" si="5"/>
        <v>1186.5524</v>
      </c>
      <c r="V79" s="36">
        <f t="shared" si="6"/>
        <v>1168.2826</v>
      </c>
      <c r="W79" s="36">
        <f t="shared" si="7"/>
        <v>75.459734999999995</v>
      </c>
      <c r="X79" s="36">
        <f t="shared" si="8"/>
        <v>75.226320000000001</v>
      </c>
      <c r="Y79" s="36">
        <f t="shared" si="9"/>
        <v>21.464000000000002</v>
      </c>
      <c r="Z79" s="36">
        <f t="shared" si="10"/>
        <v>21.115500000000001</v>
      </c>
      <c r="AA79" s="53">
        <f t="shared" si="11"/>
        <v>35.603499999999997</v>
      </c>
      <c r="AB79" s="53">
        <f t="shared" si="12"/>
        <v>35.591500000000003</v>
      </c>
      <c r="AC79" s="36">
        <f t="shared" si="13"/>
        <v>23.54</v>
      </c>
      <c r="AD79" s="36">
        <f t="shared" si="14"/>
        <v>23.202999999999999</v>
      </c>
      <c r="AE79" s="53">
        <f t="shared" si="15"/>
        <v>35.541499999999999</v>
      </c>
      <c r="AF79" s="53">
        <f t="shared" si="16"/>
        <v>35.540500000000002</v>
      </c>
      <c r="AH79" s="43"/>
      <c r="CD79" s="69">
        <v>2051</v>
      </c>
      <c r="CE79" s="54">
        <f t="shared" si="17"/>
        <v>18.13</v>
      </c>
      <c r="CF79" s="54">
        <f t="shared" si="18"/>
        <v>75.459734999999995</v>
      </c>
      <c r="CG79" s="69">
        <f t="shared" si="19"/>
        <v>568.04999999999995</v>
      </c>
      <c r="CH79" s="54">
        <f t="shared" si="20"/>
        <v>17.814999999999998</v>
      </c>
      <c r="CI79" s="54">
        <f t="shared" si="22"/>
        <v>75.226320000000001</v>
      </c>
      <c r="CJ79" s="69">
        <f t="shared" si="21"/>
        <v>531.04999999999995</v>
      </c>
    </row>
    <row r="80" spans="1:88">
      <c r="A80" s="35">
        <v>2052</v>
      </c>
      <c r="B80" s="47">
        <f t="shared" si="31"/>
        <v>1.76</v>
      </c>
      <c r="C80" s="47">
        <f t="shared" si="31"/>
        <v>1.4299999999999997</v>
      </c>
      <c r="D80" s="47">
        <f t="shared" si="31"/>
        <v>8.620000000000001</v>
      </c>
      <c r="E80" s="47">
        <f t="shared" si="31"/>
        <v>6.88</v>
      </c>
      <c r="F80" s="47">
        <f t="shared" si="31"/>
        <v>1.8699999999999999</v>
      </c>
      <c r="G80" s="47">
        <f t="shared" si="31"/>
        <v>1.54</v>
      </c>
      <c r="H80" s="47">
        <f t="shared" si="31"/>
        <v>2.2280000000000002</v>
      </c>
      <c r="I80" s="47">
        <f t="shared" si="31"/>
        <v>1.8510000000000002</v>
      </c>
      <c r="J80" s="47">
        <f t="shared" si="31"/>
        <v>0.10700000000000001</v>
      </c>
      <c r="K80" s="47">
        <f t="shared" si="31"/>
        <v>9.2999999999999999E-2</v>
      </c>
      <c r="L80" s="47">
        <f t="shared" si="31"/>
        <v>2.1</v>
      </c>
      <c r="M80" s="47">
        <f t="shared" si="31"/>
        <v>1.7359999999999998</v>
      </c>
      <c r="N80" s="47">
        <f t="shared" si="31"/>
        <v>4.3000000000000003E-2</v>
      </c>
      <c r="O80" s="47">
        <f t="shared" si="31"/>
        <v>4.1000000000000002E-2</v>
      </c>
      <c r="Q80" s="36">
        <v>575.09999999999991</v>
      </c>
      <c r="R80" s="36">
        <v>535.09999999999991</v>
      </c>
      <c r="S80" s="36">
        <f t="shared" si="3"/>
        <v>18.16</v>
      </c>
      <c r="T80" s="36">
        <f t="shared" si="4"/>
        <v>17.829999999999998</v>
      </c>
      <c r="U80" s="36">
        <f t="shared" si="5"/>
        <v>1188.3027999999999</v>
      </c>
      <c r="V80" s="36">
        <f t="shared" si="6"/>
        <v>1169.2672</v>
      </c>
      <c r="W80" s="36">
        <f t="shared" si="7"/>
        <v>75.485669999999999</v>
      </c>
      <c r="X80" s="36">
        <f t="shared" si="8"/>
        <v>75.241139999999987</v>
      </c>
      <c r="Y80" s="36">
        <f t="shared" si="9"/>
        <v>21.528000000000002</v>
      </c>
      <c r="Z80" s="36">
        <f t="shared" si="10"/>
        <v>21.151</v>
      </c>
      <c r="AA80" s="53">
        <f t="shared" si="11"/>
        <v>35.606999999999999</v>
      </c>
      <c r="AB80" s="53">
        <f t="shared" si="12"/>
        <v>35.593000000000004</v>
      </c>
      <c r="AC80" s="36">
        <f t="shared" si="13"/>
        <v>23.6</v>
      </c>
      <c r="AD80" s="36">
        <f t="shared" si="14"/>
        <v>23.236000000000001</v>
      </c>
      <c r="AE80" s="53">
        <f t="shared" si="15"/>
        <v>35.542999999999999</v>
      </c>
      <c r="AF80" s="53">
        <f t="shared" si="16"/>
        <v>35.540999999999997</v>
      </c>
      <c r="AH80" s="43"/>
      <c r="CD80" s="69">
        <v>2052</v>
      </c>
      <c r="CE80" s="54">
        <f t="shared" si="17"/>
        <v>18.16</v>
      </c>
      <c r="CF80" s="54">
        <f t="shared" si="18"/>
        <v>75.485669999999999</v>
      </c>
      <c r="CG80" s="69">
        <f t="shared" si="19"/>
        <v>575.09999999999991</v>
      </c>
      <c r="CH80" s="54">
        <f t="shared" si="20"/>
        <v>17.829999999999998</v>
      </c>
      <c r="CI80" s="54">
        <f t="shared" si="22"/>
        <v>75.241139999999987</v>
      </c>
      <c r="CJ80" s="69">
        <f t="shared" si="21"/>
        <v>535.09999999999991</v>
      </c>
    </row>
    <row r="81" spans="1:100">
      <c r="A81" s="35">
        <v>2053</v>
      </c>
      <c r="B81" s="47">
        <f t="shared" si="31"/>
        <v>1.79</v>
      </c>
      <c r="C81" s="47">
        <f t="shared" si="31"/>
        <v>1.4449999999999996</v>
      </c>
      <c r="D81" s="47">
        <f t="shared" si="31"/>
        <v>8.7800000000000011</v>
      </c>
      <c r="E81" s="47">
        <f t="shared" si="31"/>
        <v>6.97</v>
      </c>
      <c r="F81" s="47">
        <f t="shared" si="31"/>
        <v>1.9049999999999998</v>
      </c>
      <c r="G81" s="47">
        <f t="shared" si="31"/>
        <v>1.56</v>
      </c>
      <c r="H81" s="47">
        <f t="shared" si="31"/>
        <v>2.2920000000000003</v>
      </c>
      <c r="I81" s="47">
        <f t="shared" si="31"/>
        <v>1.8865000000000003</v>
      </c>
      <c r="J81" s="47">
        <f t="shared" si="31"/>
        <v>0.11050000000000001</v>
      </c>
      <c r="K81" s="47">
        <f t="shared" si="31"/>
        <v>9.4500000000000001E-2</v>
      </c>
      <c r="L81" s="47">
        <f t="shared" si="31"/>
        <v>2.16</v>
      </c>
      <c r="M81" s="47">
        <f t="shared" si="31"/>
        <v>1.7689999999999997</v>
      </c>
      <c r="N81" s="47">
        <f t="shared" si="31"/>
        <v>4.4500000000000005E-2</v>
      </c>
      <c r="O81" s="47">
        <f t="shared" si="31"/>
        <v>4.1500000000000002E-2</v>
      </c>
      <c r="Q81" s="36">
        <v>582.14999999999986</v>
      </c>
      <c r="R81" s="36">
        <v>539.14999999999986</v>
      </c>
      <c r="S81" s="36">
        <f t="shared" si="3"/>
        <v>18.189999999999998</v>
      </c>
      <c r="T81" s="36">
        <f t="shared" si="4"/>
        <v>17.844999999999999</v>
      </c>
      <c r="U81" s="36">
        <f t="shared" si="5"/>
        <v>1190.0532000000001</v>
      </c>
      <c r="V81" s="36">
        <f t="shared" si="6"/>
        <v>1170.2518</v>
      </c>
      <c r="W81" s="36">
        <f t="shared" si="7"/>
        <v>75.511604999999989</v>
      </c>
      <c r="X81" s="36">
        <f t="shared" si="8"/>
        <v>75.255959999999988</v>
      </c>
      <c r="Y81" s="36">
        <f t="shared" si="9"/>
        <v>21.592000000000002</v>
      </c>
      <c r="Z81" s="36">
        <f t="shared" si="10"/>
        <v>21.186500000000002</v>
      </c>
      <c r="AA81" s="53">
        <f t="shared" si="11"/>
        <v>35.610500000000002</v>
      </c>
      <c r="AB81" s="53">
        <f t="shared" si="12"/>
        <v>35.594499999999996</v>
      </c>
      <c r="AC81" s="36">
        <f t="shared" si="13"/>
        <v>23.66</v>
      </c>
      <c r="AD81" s="36">
        <f t="shared" si="14"/>
        <v>23.268999999999998</v>
      </c>
      <c r="AE81" s="53">
        <f t="shared" si="15"/>
        <v>35.544499999999999</v>
      </c>
      <c r="AF81" s="53">
        <f t="shared" si="16"/>
        <v>35.541499999999999</v>
      </c>
      <c r="AH81" s="43"/>
      <c r="CD81" s="69">
        <v>2053</v>
      </c>
      <c r="CE81" s="54">
        <f t="shared" si="17"/>
        <v>18.189999999999998</v>
      </c>
      <c r="CF81" s="54">
        <f t="shared" si="18"/>
        <v>75.511604999999989</v>
      </c>
      <c r="CG81" s="69">
        <f t="shared" si="19"/>
        <v>582.14999999999986</v>
      </c>
      <c r="CH81" s="54">
        <f t="shared" si="20"/>
        <v>17.844999999999999</v>
      </c>
      <c r="CI81" s="54">
        <f t="shared" si="22"/>
        <v>75.255959999999988</v>
      </c>
      <c r="CJ81" s="69">
        <f t="shared" si="21"/>
        <v>539.14999999999986</v>
      </c>
    </row>
    <row r="82" spans="1:100">
      <c r="A82" s="35">
        <v>2054</v>
      </c>
      <c r="B82" s="47">
        <f t="shared" si="31"/>
        <v>1.82</v>
      </c>
      <c r="C82" s="47">
        <f t="shared" si="31"/>
        <v>1.4599999999999995</v>
      </c>
      <c r="D82" s="47">
        <f t="shared" si="31"/>
        <v>8.9400000000000013</v>
      </c>
      <c r="E82" s="47">
        <f t="shared" si="31"/>
        <v>7.06</v>
      </c>
      <c r="F82" s="47">
        <f t="shared" si="31"/>
        <v>1.9399999999999997</v>
      </c>
      <c r="G82" s="47">
        <f t="shared" si="31"/>
        <v>1.58</v>
      </c>
      <c r="H82" s="47">
        <f t="shared" si="31"/>
        <v>2.3560000000000003</v>
      </c>
      <c r="I82" s="47">
        <f t="shared" si="31"/>
        <v>1.9220000000000004</v>
      </c>
      <c r="J82" s="47">
        <f t="shared" si="31"/>
        <v>0.11400000000000002</v>
      </c>
      <c r="K82" s="47">
        <f t="shared" si="31"/>
        <v>9.6000000000000002E-2</v>
      </c>
      <c r="L82" s="47">
        <f t="shared" si="31"/>
        <v>2.2200000000000002</v>
      </c>
      <c r="M82" s="47">
        <f t="shared" si="31"/>
        <v>1.8019999999999996</v>
      </c>
      <c r="N82" s="47">
        <f t="shared" si="31"/>
        <v>4.6000000000000006E-2</v>
      </c>
      <c r="O82" s="47">
        <f t="shared" si="31"/>
        <v>4.2000000000000003E-2</v>
      </c>
      <c r="Q82" s="36">
        <v>589.19999999999982</v>
      </c>
      <c r="R82" s="36">
        <v>543.19999999999982</v>
      </c>
      <c r="S82" s="36">
        <f t="shared" si="3"/>
        <v>18.22</v>
      </c>
      <c r="T82" s="36">
        <f t="shared" si="4"/>
        <v>17.86</v>
      </c>
      <c r="U82" s="36">
        <f t="shared" si="5"/>
        <v>1191.8036</v>
      </c>
      <c r="V82" s="36">
        <f t="shared" si="6"/>
        <v>1171.2364</v>
      </c>
      <c r="W82" s="36">
        <f t="shared" si="7"/>
        <v>75.537539999999993</v>
      </c>
      <c r="X82" s="36">
        <f t="shared" si="8"/>
        <v>75.270779999999988</v>
      </c>
      <c r="Y82" s="36">
        <f t="shared" si="9"/>
        <v>21.656000000000002</v>
      </c>
      <c r="Z82" s="36">
        <f t="shared" si="10"/>
        <v>21.222000000000001</v>
      </c>
      <c r="AA82" s="53">
        <f t="shared" si="11"/>
        <v>35.613999999999997</v>
      </c>
      <c r="AB82" s="53">
        <f t="shared" si="12"/>
        <v>35.595999999999997</v>
      </c>
      <c r="AC82" s="36">
        <f t="shared" si="13"/>
        <v>23.72</v>
      </c>
      <c r="AD82" s="36">
        <f t="shared" si="14"/>
        <v>23.302</v>
      </c>
      <c r="AE82" s="53">
        <f t="shared" si="15"/>
        <v>35.545999999999999</v>
      </c>
      <c r="AF82" s="53">
        <f t="shared" si="16"/>
        <v>35.542000000000002</v>
      </c>
      <c r="CD82" s="69">
        <v>2054</v>
      </c>
      <c r="CE82" s="54">
        <f t="shared" si="17"/>
        <v>18.22</v>
      </c>
      <c r="CF82" s="54">
        <f t="shared" si="18"/>
        <v>75.537539999999993</v>
      </c>
      <c r="CG82" s="69">
        <f t="shared" si="19"/>
        <v>589.19999999999982</v>
      </c>
      <c r="CH82" s="54">
        <f t="shared" si="20"/>
        <v>17.86</v>
      </c>
      <c r="CI82" s="54">
        <f t="shared" si="22"/>
        <v>75.270779999999988</v>
      </c>
      <c r="CJ82" s="69">
        <f t="shared" si="21"/>
        <v>543.19999999999982</v>
      </c>
    </row>
    <row r="83" spans="1:100">
      <c r="A83" s="35">
        <v>2055</v>
      </c>
      <c r="B83" s="47">
        <f t="shared" si="31"/>
        <v>1.85</v>
      </c>
      <c r="C83" s="47">
        <f t="shared" si="31"/>
        <v>1.4749999999999994</v>
      </c>
      <c r="D83" s="47">
        <f t="shared" si="31"/>
        <v>9.1000000000000014</v>
      </c>
      <c r="E83" s="47">
        <f t="shared" si="31"/>
        <v>7.1499999999999995</v>
      </c>
      <c r="F83" s="47">
        <f t="shared" si="31"/>
        <v>1.9749999999999996</v>
      </c>
      <c r="G83" s="47">
        <f t="shared" si="31"/>
        <v>1.6</v>
      </c>
      <c r="H83" s="47">
        <f t="shared" si="31"/>
        <v>2.4200000000000004</v>
      </c>
      <c r="I83" s="47">
        <f t="shared" si="31"/>
        <v>1.9575000000000005</v>
      </c>
      <c r="J83" s="47">
        <f t="shared" si="31"/>
        <v>0.11750000000000002</v>
      </c>
      <c r="K83" s="47">
        <f t="shared" si="31"/>
        <v>9.7500000000000003E-2</v>
      </c>
      <c r="L83" s="47">
        <f t="shared" si="31"/>
        <v>2.2800000000000002</v>
      </c>
      <c r="M83" s="47">
        <f t="shared" si="31"/>
        <v>1.8349999999999995</v>
      </c>
      <c r="N83" s="47">
        <f t="shared" si="31"/>
        <v>4.7500000000000007E-2</v>
      </c>
      <c r="O83" s="47">
        <f t="shared" si="31"/>
        <v>4.2500000000000003E-2</v>
      </c>
      <c r="Q83" s="36">
        <v>596.24999999999977</v>
      </c>
      <c r="R83" s="36">
        <v>547.24999999999977</v>
      </c>
      <c r="S83" s="36">
        <f t="shared" si="3"/>
        <v>18.25</v>
      </c>
      <c r="T83" s="36">
        <f t="shared" si="4"/>
        <v>17.874999999999996</v>
      </c>
      <c r="U83" s="36">
        <f t="shared" si="5"/>
        <v>1193.5540000000001</v>
      </c>
      <c r="V83" s="36">
        <f t="shared" si="6"/>
        <v>1172.221</v>
      </c>
      <c r="W83" s="36">
        <f t="shared" si="7"/>
        <v>75.563474999999997</v>
      </c>
      <c r="X83" s="36">
        <f t="shared" si="8"/>
        <v>75.285599999999988</v>
      </c>
      <c r="Y83" s="36">
        <f t="shared" si="9"/>
        <v>21.720000000000002</v>
      </c>
      <c r="Z83" s="36">
        <f t="shared" si="10"/>
        <v>21.2575</v>
      </c>
      <c r="AA83" s="53">
        <f t="shared" si="11"/>
        <v>35.6175</v>
      </c>
      <c r="AB83" s="53">
        <f t="shared" si="12"/>
        <v>35.597499999999997</v>
      </c>
      <c r="AC83" s="36">
        <f t="shared" si="13"/>
        <v>23.78</v>
      </c>
      <c r="AD83" s="36">
        <f t="shared" si="14"/>
        <v>23.335000000000001</v>
      </c>
      <c r="AE83" s="53">
        <f t="shared" si="15"/>
        <v>35.547499999999999</v>
      </c>
      <c r="AF83" s="53">
        <f t="shared" si="16"/>
        <v>35.542499999999997</v>
      </c>
      <c r="CD83" s="69">
        <v>2055</v>
      </c>
      <c r="CE83" s="54">
        <f t="shared" si="17"/>
        <v>18.25</v>
      </c>
      <c r="CF83" s="54">
        <f t="shared" si="18"/>
        <v>75.563474999999997</v>
      </c>
      <c r="CG83" s="69">
        <f t="shared" si="19"/>
        <v>596.24999999999977</v>
      </c>
      <c r="CH83" s="54">
        <f t="shared" si="20"/>
        <v>17.874999999999996</v>
      </c>
      <c r="CI83" s="54">
        <f t="shared" si="22"/>
        <v>75.285599999999988</v>
      </c>
      <c r="CJ83" s="69">
        <f t="shared" si="21"/>
        <v>547.24999999999977</v>
      </c>
    </row>
    <row r="84" spans="1:100">
      <c r="A84" s="35">
        <v>2056</v>
      </c>
      <c r="B84" s="47">
        <f t="shared" si="31"/>
        <v>1.8800000000000001</v>
      </c>
      <c r="C84" s="47">
        <f t="shared" si="31"/>
        <v>1.4899999999999993</v>
      </c>
      <c r="D84" s="47">
        <f t="shared" si="31"/>
        <v>9.2600000000000016</v>
      </c>
      <c r="E84" s="47">
        <f t="shared" si="31"/>
        <v>7.2399999999999993</v>
      </c>
      <c r="F84" s="47">
        <f t="shared" si="31"/>
        <v>2.0099999999999998</v>
      </c>
      <c r="G84" s="47">
        <f t="shared" si="31"/>
        <v>1.62</v>
      </c>
      <c r="H84" s="47">
        <f t="shared" si="31"/>
        <v>2.4840000000000004</v>
      </c>
      <c r="I84" s="47">
        <f t="shared" si="31"/>
        <v>1.9930000000000005</v>
      </c>
      <c r="J84" s="47">
        <f t="shared" si="31"/>
        <v>0.12100000000000002</v>
      </c>
      <c r="K84" s="47">
        <f t="shared" si="31"/>
        <v>9.9000000000000005E-2</v>
      </c>
      <c r="L84" s="47">
        <f t="shared" si="31"/>
        <v>2.3400000000000003</v>
      </c>
      <c r="M84" s="47">
        <f t="shared" si="31"/>
        <v>1.8679999999999994</v>
      </c>
      <c r="N84" s="47">
        <f t="shared" si="31"/>
        <v>4.9000000000000009E-2</v>
      </c>
      <c r="O84" s="47">
        <f t="shared" si="31"/>
        <v>4.3000000000000003E-2</v>
      </c>
      <c r="Q84" s="36">
        <v>603.29999999999973</v>
      </c>
      <c r="R84" s="36">
        <v>551.29999999999973</v>
      </c>
      <c r="S84" s="36">
        <f t="shared" ref="S84:S98" si="32">S$18+$B84</f>
        <v>18.279999999999998</v>
      </c>
      <c r="T84" s="36">
        <f t="shared" ref="T84:T98" si="33">T$18+$C84</f>
        <v>17.889999999999997</v>
      </c>
      <c r="U84" s="36">
        <f t="shared" ref="U84:U98" si="34">U$18+U$18*$D84/100</f>
        <v>1195.3044</v>
      </c>
      <c r="V84" s="36">
        <f t="shared" ref="V84:V98" si="35">V$18+V$18*E84/100</f>
        <v>1173.2056</v>
      </c>
      <c r="W84" s="36">
        <f t="shared" ref="W84:W98" si="36">W$18+W$18*$F84/100</f>
        <v>75.589410000000001</v>
      </c>
      <c r="X84" s="36">
        <f t="shared" ref="X84:X98" si="37">X$18+X$18*$G84/100</f>
        <v>75.300419999999988</v>
      </c>
      <c r="Y84" s="36">
        <f t="shared" ref="Y84:Y98" si="38">Y$18+$H84</f>
        <v>21.784000000000002</v>
      </c>
      <c r="Z84" s="36">
        <f t="shared" ref="Z84:Z98" si="39">Z$18+$I84</f>
        <v>21.293000000000003</v>
      </c>
      <c r="AA84" s="53">
        <f t="shared" ref="AA84:AA98" si="40">AA$18+$J84</f>
        <v>35.621000000000002</v>
      </c>
      <c r="AB84" s="53">
        <f t="shared" ref="AB84:AB98" si="41">AB$18+$K84</f>
        <v>35.598999999999997</v>
      </c>
      <c r="AC84" s="36">
        <f t="shared" ref="AC84:AC98" si="42">AC$18+$L84</f>
        <v>23.84</v>
      </c>
      <c r="AD84" s="36">
        <f t="shared" ref="AD84:AD98" si="43">AD$18+$M84</f>
        <v>23.367999999999999</v>
      </c>
      <c r="AE84" s="53">
        <f t="shared" ref="AE84:AE98" si="44">AE$18+$N84</f>
        <v>35.548999999999999</v>
      </c>
      <c r="AF84" s="53">
        <f t="shared" ref="AF84:AF98" si="45">AF$18+$O84</f>
        <v>35.542999999999999</v>
      </c>
      <c r="CD84" s="69">
        <v>2056</v>
      </c>
      <c r="CE84" s="54">
        <f t="shared" si="17"/>
        <v>18.279999999999998</v>
      </c>
      <c r="CF84" s="54">
        <f t="shared" si="18"/>
        <v>75.589410000000001</v>
      </c>
      <c r="CG84" s="69">
        <f t="shared" si="19"/>
        <v>603.29999999999973</v>
      </c>
      <c r="CH84" s="54">
        <f t="shared" si="20"/>
        <v>17.889999999999997</v>
      </c>
      <c r="CI84" s="54">
        <f t="shared" si="22"/>
        <v>75.300419999999988</v>
      </c>
      <c r="CJ84" s="69">
        <f t="shared" si="21"/>
        <v>551.29999999999973</v>
      </c>
    </row>
    <row r="85" spans="1:100">
      <c r="A85" s="35">
        <v>2057</v>
      </c>
      <c r="B85" s="47">
        <f t="shared" si="31"/>
        <v>1.9100000000000001</v>
      </c>
      <c r="C85" s="47">
        <f t="shared" si="31"/>
        <v>1.5049999999999992</v>
      </c>
      <c r="D85" s="47">
        <f t="shared" si="31"/>
        <v>9.4200000000000017</v>
      </c>
      <c r="E85" s="47">
        <f t="shared" si="31"/>
        <v>7.3299999999999992</v>
      </c>
      <c r="F85" s="47">
        <f t="shared" si="31"/>
        <v>2.0449999999999999</v>
      </c>
      <c r="G85" s="47">
        <f t="shared" si="31"/>
        <v>1.6400000000000001</v>
      </c>
      <c r="H85" s="47">
        <f t="shared" si="31"/>
        <v>2.5480000000000005</v>
      </c>
      <c r="I85" s="47">
        <f t="shared" si="31"/>
        <v>2.0285000000000006</v>
      </c>
      <c r="J85" s="47">
        <f t="shared" si="31"/>
        <v>0.12450000000000003</v>
      </c>
      <c r="K85" s="47">
        <f t="shared" si="31"/>
        <v>0.10050000000000001</v>
      </c>
      <c r="L85" s="47">
        <f t="shared" si="31"/>
        <v>2.4000000000000004</v>
      </c>
      <c r="M85" s="47">
        <f t="shared" si="31"/>
        <v>1.9009999999999994</v>
      </c>
      <c r="N85" s="47">
        <f t="shared" si="31"/>
        <v>5.050000000000001E-2</v>
      </c>
      <c r="O85" s="47">
        <f t="shared" si="31"/>
        <v>4.3500000000000004E-2</v>
      </c>
      <c r="Q85" s="36">
        <v>610.34999999999968</v>
      </c>
      <c r="R85" s="36">
        <v>555.34999999999968</v>
      </c>
      <c r="S85" s="36">
        <f t="shared" si="32"/>
        <v>18.309999999999999</v>
      </c>
      <c r="T85" s="36">
        <f t="shared" si="33"/>
        <v>17.904999999999998</v>
      </c>
      <c r="U85" s="36">
        <f t="shared" si="34"/>
        <v>1197.0548000000001</v>
      </c>
      <c r="V85" s="36">
        <f t="shared" si="35"/>
        <v>1174.1902</v>
      </c>
      <c r="W85" s="36">
        <f t="shared" si="36"/>
        <v>75.615344999999991</v>
      </c>
      <c r="X85" s="36">
        <f t="shared" si="37"/>
        <v>75.315239999999989</v>
      </c>
      <c r="Y85" s="36">
        <f t="shared" si="38"/>
        <v>21.848000000000003</v>
      </c>
      <c r="Z85" s="36">
        <f t="shared" si="39"/>
        <v>21.328500000000002</v>
      </c>
      <c r="AA85" s="53">
        <f t="shared" si="40"/>
        <v>35.624499999999998</v>
      </c>
      <c r="AB85" s="53">
        <f t="shared" si="41"/>
        <v>35.600499999999997</v>
      </c>
      <c r="AC85" s="36">
        <f t="shared" si="42"/>
        <v>23.9</v>
      </c>
      <c r="AD85" s="36">
        <f t="shared" si="43"/>
        <v>23.401</v>
      </c>
      <c r="AE85" s="53">
        <f t="shared" si="44"/>
        <v>35.5505</v>
      </c>
      <c r="AF85" s="53">
        <f t="shared" si="45"/>
        <v>35.543500000000002</v>
      </c>
      <c r="CD85" s="69">
        <v>2057</v>
      </c>
      <c r="CE85" s="54">
        <f t="shared" si="17"/>
        <v>18.309999999999999</v>
      </c>
      <c r="CF85" s="54">
        <f t="shared" si="18"/>
        <v>75.615344999999991</v>
      </c>
      <c r="CG85" s="69">
        <f t="shared" si="19"/>
        <v>610.34999999999968</v>
      </c>
      <c r="CH85" s="54">
        <f t="shared" si="20"/>
        <v>17.904999999999998</v>
      </c>
      <c r="CI85" s="54">
        <f t="shared" si="22"/>
        <v>75.315239999999989</v>
      </c>
      <c r="CJ85" s="69">
        <f t="shared" si="21"/>
        <v>555.34999999999968</v>
      </c>
    </row>
    <row r="86" spans="1:100">
      <c r="A86" s="35">
        <v>2058</v>
      </c>
      <c r="B86" s="47">
        <f t="shared" si="31"/>
        <v>1.9400000000000002</v>
      </c>
      <c r="C86" s="47">
        <f t="shared" si="31"/>
        <v>1.5199999999999991</v>
      </c>
      <c r="D86" s="47">
        <f t="shared" si="31"/>
        <v>9.5800000000000018</v>
      </c>
      <c r="E86" s="47">
        <f t="shared" si="31"/>
        <v>7.419999999999999</v>
      </c>
      <c r="F86" s="47">
        <f t="shared" si="31"/>
        <v>2.08</v>
      </c>
      <c r="G86" s="47">
        <f t="shared" si="31"/>
        <v>1.6600000000000001</v>
      </c>
      <c r="H86" s="47">
        <f t="shared" si="31"/>
        <v>2.6120000000000005</v>
      </c>
      <c r="I86" s="47">
        <f t="shared" si="31"/>
        <v>2.0640000000000005</v>
      </c>
      <c r="J86" s="47">
        <f t="shared" si="31"/>
        <v>0.12800000000000003</v>
      </c>
      <c r="K86" s="47">
        <f t="shared" si="31"/>
        <v>0.10200000000000001</v>
      </c>
      <c r="L86" s="47">
        <f t="shared" si="31"/>
        <v>2.4600000000000004</v>
      </c>
      <c r="M86" s="47">
        <f t="shared" si="31"/>
        <v>1.9339999999999993</v>
      </c>
      <c r="N86" s="47">
        <f t="shared" si="31"/>
        <v>5.2000000000000011E-2</v>
      </c>
      <c r="O86" s="47">
        <f t="shared" si="31"/>
        <v>4.4000000000000004E-2</v>
      </c>
      <c r="Q86" s="36">
        <v>617.39999999999964</v>
      </c>
      <c r="R86" s="36">
        <v>559.39999999999964</v>
      </c>
      <c r="S86" s="36">
        <f t="shared" si="32"/>
        <v>18.34</v>
      </c>
      <c r="T86" s="36">
        <f t="shared" si="33"/>
        <v>17.919999999999998</v>
      </c>
      <c r="U86" s="36">
        <f t="shared" si="34"/>
        <v>1198.8052</v>
      </c>
      <c r="V86" s="36">
        <f t="shared" si="35"/>
        <v>1175.1748</v>
      </c>
      <c r="W86" s="36">
        <f t="shared" si="36"/>
        <v>75.641279999999995</v>
      </c>
      <c r="X86" s="36">
        <f t="shared" si="37"/>
        <v>75.330059999999989</v>
      </c>
      <c r="Y86" s="36">
        <f t="shared" si="38"/>
        <v>21.912000000000003</v>
      </c>
      <c r="Z86" s="36">
        <f t="shared" si="39"/>
        <v>21.364000000000001</v>
      </c>
      <c r="AA86" s="53">
        <f t="shared" si="40"/>
        <v>35.628</v>
      </c>
      <c r="AB86" s="53">
        <f t="shared" si="41"/>
        <v>35.601999999999997</v>
      </c>
      <c r="AC86" s="36">
        <f t="shared" si="42"/>
        <v>23.96</v>
      </c>
      <c r="AD86" s="36">
        <f t="shared" si="43"/>
        <v>23.433999999999997</v>
      </c>
      <c r="AE86" s="53">
        <f t="shared" si="44"/>
        <v>35.552</v>
      </c>
      <c r="AF86" s="53">
        <f t="shared" si="45"/>
        <v>35.543999999999997</v>
      </c>
      <c r="CD86" s="69">
        <v>2058</v>
      </c>
      <c r="CE86" s="54">
        <f t="shared" si="17"/>
        <v>18.34</v>
      </c>
      <c r="CF86" s="54">
        <f t="shared" si="18"/>
        <v>75.641279999999995</v>
      </c>
      <c r="CG86" s="69">
        <f t="shared" si="19"/>
        <v>617.39999999999964</v>
      </c>
      <c r="CH86" s="54">
        <f t="shared" si="20"/>
        <v>17.919999999999998</v>
      </c>
      <c r="CI86" s="54">
        <f t="shared" si="22"/>
        <v>75.330059999999989</v>
      </c>
      <c r="CJ86" s="69">
        <f t="shared" si="21"/>
        <v>559.39999999999964</v>
      </c>
    </row>
    <row r="87" spans="1:100">
      <c r="A87" s="35">
        <v>2059</v>
      </c>
      <c r="B87" s="47">
        <f t="shared" si="31"/>
        <v>1.9700000000000002</v>
      </c>
      <c r="C87" s="47">
        <f t="shared" si="31"/>
        <v>1.534999999999999</v>
      </c>
      <c r="D87" s="47">
        <f t="shared" si="31"/>
        <v>9.740000000000002</v>
      </c>
      <c r="E87" s="47">
        <f t="shared" si="31"/>
        <v>7.5099999999999989</v>
      </c>
      <c r="F87" s="47">
        <f t="shared" si="31"/>
        <v>2.1150000000000002</v>
      </c>
      <c r="G87" s="47">
        <f t="shared" si="31"/>
        <v>1.6800000000000002</v>
      </c>
      <c r="H87" s="47">
        <f t="shared" si="31"/>
        <v>2.6760000000000006</v>
      </c>
      <c r="I87" s="47">
        <f t="shared" si="31"/>
        <v>2.0995000000000004</v>
      </c>
      <c r="J87" s="47">
        <f t="shared" si="31"/>
        <v>0.13150000000000003</v>
      </c>
      <c r="K87" s="47">
        <f t="shared" si="31"/>
        <v>0.10350000000000001</v>
      </c>
      <c r="L87" s="47">
        <f t="shared" si="31"/>
        <v>2.5200000000000005</v>
      </c>
      <c r="M87" s="47">
        <f t="shared" si="31"/>
        <v>1.9669999999999992</v>
      </c>
      <c r="N87" s="47">
        <f t="shared" si="31"/>
        <v>5.3500000000000013E-2</v>
      </c>
      <c r="O87" s="47">
        <f t="shared" si="31"/>
        <v>4.4500000000000005E-2</v>
      </c>
      <c r="Q87" s="36">
        <v>624.44999999999959</v>
      </c>
      <c r="R87" s="36">
        <v>563.44999999999959</v>
      </c>
      <c r="S87" s="36">
        <f t="shared" si="32"/>
        <v>18.369999999999997</v>
      </c>
      <c r="T87" s="36">
        <f t="shared" si="33"/>
        <v>17.934999999999999</v>
      </c>
      <c r="U87" s="36">
        <f t="shared" si="34"/>
        <v>1200.5555999999999</v>
      </c>
      <c r="V87" s="36">
        <f t="shared" si="35"/>
        <v>1176.1594</v>
      </c>
      <c r="W87" s="36">
        <f t="shared" si="36"/>
        <v>75.667214999999999</v>
      </c>
      <c r="X87" s="36">
        <f t="shared" si="37"/>
        <v>75.344879999999989</v>
      </c>
      <c r="Y87" s="36">
        <f t="shared" si="38"/>
        <v>21.976000000000003</v>
      </c>
      <c r="Z87" s="36">
        <f t="shared" si="39"/>
        <v>21.3995</v>
      </c>
      <c r="AA87" s="53">
        <f t="shared" si="40"/>
        <v>35.631500000000003</v>
      </c>
      <c r="AB87" s="53">
        <f t="shared" si="41"/>
        <v>35.603499999999997</v>
      </c>
      <c r="AC87" s="36">
        <f t="shared" si="42"/>
        <v>24.02</v>
      </c>
      <c r="AD87" s="36">
        <f t="shared" si="43"/>
        <v>23.466999999999999</v>
      </c>
      <c r="AE87" s="53">
        <f t="shared" si="44"/>
        <v>35.5535</v>
      </c>
      <c r="AF87" s="53">
        <f t="shared" si="45"/>
        <v>35.544499999999999</v>
      </c>
      <c r="CD87" s="69">
        <v>2059</v>
      </c>
      <c r="CE87" s="54">
        <f t="shared" si="17"/>
        <v>18.369999999999997</v>
      </c>
      <c r="CF87" s="54">
        <f t="shared" si="18"/>
        <v>75.667214999999999</v>
      </c>
      <c r="CG87" s="69">
        <f t="shared" si="19"/>
        <v>624.44999999999959</v>
      </c>
      <c r="CH87" s="54">
        <f t="shared" si="20"/>
        <v>17.934999999999999</v>
      </c>
      <c r="CI87" s="54">
        <f t="shared" si="22"/>
        <v>75.344879999999989</v>
      </c>
      <c r="CJ87" s="69">
        <f t="shared" si="21"/>
        <v>563.44999999999959</v>
      </c>
    </row>
    <row r="88" spans="1:100">
      <c r="A88" s="35">
        <v>2060</v>
      </c>
      <c r="B88" s="47">
        <f t="shared" si="31"/>
        <v>2</v>
      </c>
      <c r="C88" s="47">
        <f t="shared" si="31"/>
        <v>1.5499999999999989</v>
      </c>
      <c r="D88" s="47">
        <f t="shared" si="31"/>
        <v>9.9000000000000021</v>
      </c>
      <c r="E88" s="47">
        <f t="shared" si="31"/>
        <v>7.5999999999999988</v>
      </c>
      <c r="F88" s="47">
        <f t="shared" si="31"/>
        <v>2.1500000000000004</v>
      </c>
      <c r="G88" s="47">
        <f t="shared" si="31"/>
        <v>1.7000000000000002</v>
      </c>
      <c r="H88" s="47">
        <f t="shared" si="31"/>
        <v>2.7400000000000007</v>
      </c>
      <c r="I88" s="47">
        <f t="shared" si="31"/>
        <v>2.1350000000000002</v>
      </c>
      <c r="J88" s="47">
        <f t="shared" si="31"/>
        <v>0.13500000000000004</v>
      </c>
      <c r="K88" s="47">
        <f t="shared" si="31"/>
        <v>0.10500000000000001</v>
      </c>
      <c r="L88" s="47">
        <f t="shared" si="31"/>
        <v>2.5800000000000005</v>
      </c>
      <c r="M88" s="47">
        <f t="shared" si="31"/>
        <v>1.9999999999999991</v>
      </c>
      <c r="N88" s="47">
        <f t="shared" si="31"/>
        <v>5.5000000000000014E-2</v>
      </c>
      <c r="O88" s="47">
        <f t="shared" si="31"/>
        <v>4.5000000000000005E-2</v>
      </c>
      <c r="Q88" s="36">
        <v>631.5</v>
      </c>
      <c r="R88" s="36">
        <v>567.5</v>
      </c>
      <c r="S88" s="36">
        <f t="shared" si="32"/>
        <v>18.399999999999999</v>
      </c>
      <c r="T88" s="36">
        <f t="shared" si="33"/>
        <v>17.949999999999996</v>
      </c>
      <c r="U88" s="36">
        <f t="shared" si="34"/>
        <v>1202.306</v>
      </c>
      <c r="V88" s="36">
        <f t="shared" si="35"/>
        <v>1177.144</v>
      </c>
      <c r="W88" s="36">
        <f t="shared" si="36"/>
        <v>75.693149999999989</v>
      </c>
      <c r="X88" s="36">
        <f t="shared" si="37"/>
        <v>75.359699999999989</v>
      </c>
      <c r="Y88" s="36">
        <f t="shared" si="38"/>
        <v>22.040000000000003</v>
      </c>
      <c r="Z88" s="36">
        <f t="shared" si="39"/>
        <v>21.435000000000002</v>
      </c>
      <c r="AA88" s="53">
        <f t="shared" si="40"/>
        <v>35.634999999999998</v>
      </c>
      <c r="AB88" s="53">
        <f t="shared" si="41"/>
        <v>35.604999999999997</v>
      </c>
      <c r="AC88" s="36">
        <f t="shared" si="42"/>
        <v>24.080000000000002</v>
      </c>
      <c r="AD88" s="36">
        <f t="shared" si="43"/>
        <v>23.5</v>
      </c>
      <c r="AE88" s="53">
        <f t="shared" si="44"/>
        <v>35.555</v>
      </c>
      <c r="AF88" s="53">
        <f t="shared" si="45"/>
        <v>35.545000000000002</v>
      </c>
      <c r="CD88" s="69">
        <v>2060</v>
      </c>
      <c r="CE88" s="54">
        <f t="shared" si="17"/>
        <v>18.399999999999999</v>
      </c>
      <c r="CF88" s="54">
        <f t="shared" si="18"/>
        <v>75.693149999999989</v>
      </c>
      <c r="CG88" s="69">
        <f t="shared" si="19"/>
        <v>631.5</v>
      </c>
      <c r="CH88" s="54">
        <f t="shared" si="20"/>
        <v>17.949999999999996</v>
      </c>
      <c r="CI88" s="54">
        <f t="shared" si="22"/>
        <v>75.359699999999989</v>
      </c>
      <c r="CJ88" s="69">
        <f t="shared" si="21"/>
        <v>567.5</v>
      </c>
      <c r="CS88" s="43"/>
      <c r="CT88" s="43"/>
      <c r="CU88" s="43"/>
      <c r="CV88" s="43"/>
    </row>
    <row r="89" spans="1:100">
      <c r="A89" s="35">
        <v>2061</v>
      </c>
      <c r="B89" s="47">
        <f t="shared" si="31"/>
        <v>2.0299999999999998</v>
      </c>
      <c r="C89" s="47">
        <f t="shared" si="31"/>
        <v>1.5649999999999988</v>
      </c>
      <c r="D89" s="47">
        <f t="shared" si="31"/>
        <v>10.060000000000002</v>
      </c>
      <c r="E89" s="47">
        <f t="shared" si="31"/>
        <v>7.6899999999999986</v>
      </c>
      <c r="F89" s="47">
        <f t="shared" si="31"/>
        <v>2.1850000000000005</v>
      </c>
      <c r="G89" s="47">
        <f t="shared" si="31"/>
        <v>1.7200000000000002</v>
      </c>
      <c r="H89" s="47">
        <f t="shared" si="31"/>
        <v>2.8040000000000007</v>
      </c>
      <c r="I89" s="47">
        <f t="shared" si="31"/>
        <v>2.1705000000000001</v>
      </c>
      <c r="J89" s="47">
        <f t="shared" si="31"/>
        <v>0.13850000000000004</v>
      </c>
      <c r="K89" s="47">
        <f t="shared" si="31"/>
        <v>0.10650000000000001</v>
      </c>
      <c r="L89" s="47">
        <f t="shared" si="31"/>
        <v>2.6400000000000006</v>
      </c>
      <c r="M89" s="47">
        <f t="shared" si="31"/>
        <v>2.032999999999999</v>
      </c>
      <c r="N89" s="47">
        <f t="shared" si="31"/>
        <v>5.6500000000000015E-2</v>
      </c>
      <c r="O89" s="47">
        <f t="shared" si="31"/>
        <v>4.5500000000000006E-2</v>
      </c>
      <c r="Q89" s="36">
        <v>639.25</v>
      </c>
      <c r="R89" s="36">
        <v>571.35</v>
      </c>
      <c r="S89" s="36">
        <f t="shared" si="32"/>
        <v>18.43</v>
      </c>
      <c r="T89" s="36">
        <f t="shared" si="33"/>
        <v>17.964999999999996</v>
      </c>
      <c r="U89" s="36">
        <f t="shared" si="34"/>
        <v>1204.0563999999999</v>
      </c>
      <c r="V89" s="36">
        <f t="shared" si="35"/>
        <v>1178.1286</v>
      </c>
      <c r="W89" s="36">
        <f t="shared" si="36"/>
        <v>75.719084999999993</v>
      </c>
      <c r="X89" s="36">
        <f t="shared" si="37"/>
        <v>75.37451999999999</v>
      </c>
      <c r="Y89" s="36">
        <f t="shared" si="38"/>
        <v>22.104000000000003</v>
      </c>
      <c r="Z89" s="36">
        <f t="shared" si="39"/>
        <v>21.470500000000001</v>
      </c>
      <c r="AA89" s="53">
        <f t="shared" si="40"/>
        <v>35.638500000000001</v>
      </c>
      <c r="AB89" s="53">
        <f t="shared" si="41"/>
        <v>35.606499999999997</v>
      </c>
      <c r="AC89" s="36">
        <f t="shared" si="42"/>
        <v>24.14</v>
      </c>
      <c r="AD89" s="36">
        <f t="shared" si="43"/>
        <v>23.532999999999998</v>
      </c>
      <c r="AE89" s="53">
        <f t="shared" si="44"/>
        <v>35.5565</v>
      </c>
      <c r="AF89" s="53">
        <f t="shared" si="45"/>
        <v>35.545499999999997</v>
      </c>
      <c r="CD89" s="69">
        <v>2061</v>
      </c>
      <c r="CE89" s="54">
        <f t="shared" si="17"/>
        <v>18.43</v>
      </c>
      <c r="CF89" s="54">
        <f t="shared" si="18"/>
        <v>75.719084999999993</v>
      </c>
      <c r="CG89" s="69">
        <f t="shared" si="19"/>
        <v>639.25</v>
      </c>
      <c r="CH89" s="54">
        <f t="shared" si="20"/>
        <v>17.964999999999996</v>
      </c>
      <c r="CI89" s="54">
        <f t="shared" si="22"/>
        <v>75.37451999999999</v>
      </c>
      <c r="CJ89" s="69">
        <f t="shared" si="21"/>
        <v>571.35</v>
      </c>
    </row>
    <row r="90" spans="1:100">
      <c r="A90" s="35">
        <v>2062</v>
      </c>
      <c r="B90" s="47">
        <f t="shared" si="31"/>
        <v>2.0599999999999996</v>
      </c>
      <c r="C90" s="47">
        <f t="shared" si="31"/>
        <v>1.5799999999999987</v>
      </c>
      <c r="D90" s="47">
        <f t="shared" si="31"/>
        <v>10.220000000000002</v>
      </c>
      <c r="E90" s="47">
        <f t="shared" si="31"/>
        <v>7.7799999999999985</v>
      </c>
      <c r="F90" s="47">
        <f t="shared" si="31"/>
        <v>2.2200000000000006</v>
      </c>
      <c r="G90" s="47">
        <f t="shared" si="31"/>
        <v>1.7400000000000002</v>
      </c>
      <c r="H90" s="47">
        <f t="shared" si="31"/>
        <v>2.8680000000000008</v>
      </c>
      <c r="I90" s="47">
        <f t="shared" si="31"/>
        <v>2.206</v>
      </c>
      <c r="J90" s="47">
        <f t="shared" si="31"/>
        <v>0.14200000000000004</v>
      </c>
      <c r="K90" s="47">
        <f t="shared" si="31"/>
        <v>0.10800000000000001</v>
      </c>
      <c r="L90" s="47">
        <f t="shared" si="31"/>
        <v>2.7000000000000006</v>
      </c>
      <c r="M90" s="47">
        <f t="shared" si="31"/>
        <v>2.0659999999999989</v>
      </c>
      <c r="N90" s="47">
        <f t="shared" si="31"/>
        <v>5.8000000000000017E-2</v>
      </c>
      <c r="O90" s="47">
        <f t="shared" si="31"/>
        <v>4.6000000000000006E-2</v>
      </c>
      <c r="Q90" s="36">
        <v>647</v>
      </c>
      <c r="R90" s="36">
        <v>575.20000000000005</v>
      </c>
      <c r="S90" s="36">
        <f t="shared" si="32"/>
        <v>18.459999999999997</v>
      </c>
      <c r="T90" s="36">
        <f t="shared" si="33"/>
        <v>17.979999999999997</v>
      </c>
      <c r="U90" s="36">
        <f t="shared" si="34"/>
        <v>1205.8068000000001</v>
      </c>
      <c r="V90" s="36">
        <f t="shared" si="35"/>
        <v>1179.1132</v>
      </c>
      <c r="W90" s="36">
        <f t="shared" si="36"/>
        <v>75.745019999999997</v>
      </c>
      <c r="X90" s="36">
        <f t="shared" si="37"/>
        <v>75.38933999999999</v>
      </c>
      <c r="Y90" s="36">
        <f t="shared" si="38"/>
        <v>22.168000000000003</v>
      </c>
      <c r="Z90" s="36">
        <f t="shared" si="39"/>
        <v>21.506</v>
      </c>
      <c r="AA90" s="53">
        <f t="shared" si="40"/>
        <v>35.642000000000003</v>
      </c>
      <c r="AB90" s="53">
        <f t="shared" si="41"/>
        <v>35.607999999999997</v>
      </c>
      <c r="AC90" s="36">
        <f t="shared" si="42"/>
        <v>24.2</v>
      </c>
      <c r="AD90" s="36">
        <f t="shared" si="43"/>
        <v>23.565999999999999</v>
      </c>
      <c r="AE90" s="53">
        <f t="shared" si="44"/>
        <v>35.558</v>
      </c>
      <c r="AF90" s="53">
        <f t="shared" si="45"/>
        <v>35.545999999999999</v>
      </c>
      <c r="CD90" s="69">
        <v>2062</v>
      </c>
      <c r="CE90" s="54">
        <f t="shared" si="17"/>
        <v>18.459999999999997</v>
      </c>
      <c r="CF90" s="54">
        <f t="shared" si="18"/>
        <v>75.745019999999997</v>
      </c>
      <c r="CG90" s="69">
        <f t="shared" si="19"/>
        <v>647</v>
      </c>
      <c r="CH90" s="54">
        <f t="shared" si="20"/>
        <v>17.979999999999997</v>
      </c>
      <c r="CI90" s="54">
        <f t="shared" si="22"/>
        <v>75.38933999999999</v>
      </c>
      <c r="CJ90" s="69">
        <f t="shared" si="21"/>
        <v>575.20000000000005</v>
      </c>
    </row>
    <row r="91" spans="1:100">
      <c r="A91" s="35">
        <v>2063</v>
      </c>
      <c r="B91" s="47">
        <f t="shared" si="31"/>
        <v>2.0899999999999994</v>
      </c>
      <c r="C91" s="47">
        <f t="shared" si="31"/>
        <v>1.5949999999999986</v>
      </c>
      <c r="D91" s="47">
        <f t="shared" si="31"/>
        <v>10.380000000000003</v>
      </c>
      <c r="E91" s="47">
        <f t="shared" si="31"/>
        <v>7.8699999999999983</v>
      </c>
      <c r="F91" s="47">
        <f t="shared" si="31"/>
        <v>2.2550000000000008</v>
      </c>
      <c r="G91" s="47">
        <f t="shared" si="31"/>
        <v>1.7600000000000002</v>
      </c>
      <c r="H91" s="47">
        <f t="shared" si="31"/>
        <v>2.9320000000000008</v>
      </c>
      <c r="I91" s="47">
        <f t="shared" si="31"/>
        <v>2.2414999999999998</v>
      </c>
      <c r="J91" s="47">
        <f t="shared" si="31"/>
        <v>0.14550000000000005</v>
      </c>
      <c r="K91" s="47">
        <f t="shared" si="31"/>
        <v>0.10950000000000001</v>
      </c>
      <c r="L91" s="47">
        <f t="shared" si="31"/>
        <v>2.7600000000000007</v>
      </c>
      <c r="M91" s="47">
        <f t="shared" si="31"/>
        <v>2.0989999999999989</v>
      </c>
      <c r="N91" s="47">
        <f t="shared" si="31"/>
        <v>5.9500000000000018E-2</v>
      </c>
      <c r="O91" s="47">
        <f t="shared" si="31"/>
        <v>4.6500000000000007E-2</v>
      </c>
      <c r="Q91" s="36">
        <v>654.75</v>
      </c>
      <c r="R91" s="36">
        <v>579.05000000000007</v>
      </c>
      <c r="S91" s="36">
        <f t="shared" si="32"/>
        <v>18.489999999999998</v>
      </c>
      <c r="T91" s="36">
        <f t="shared" si="33"/>
        <v>17.994999999999997</v>
      </c>
      <c r="U91" s="36">
        <f t="shared" si="34"/>
        <v>1207.5572</v>
      </c>
      <c r="V91" s="36">
        <f t="shared" si="35"/>
        <v>1180.0978</v>
      </c>
      <c r="W91" s="36">
        <f t="shared" si="36"/>
        <v>75.770955000000001</v>
      </c>
      <c r="X91" s="36">
        <f t="shared" si="37"/>
        <v>75.40415999999999</v>
      </c>
      <c r="Y91" s="36">
        <f t="shared" si="38"/>
        <v>22.232000000000003</v>
      </c>
      <c r="Z91" s="36">
        <f t="shared" si="39"/>
        <v>21.541499999999999</v>
      </c>
      <c r="AA91" s="53">
        <f t="shared" si="40"/>
        <v>35.645499999999998</v>
      </c>
      <c r="AB91" s="53">
        <f t="shared" si="41"/>
        <v>35.609499999999997</v>
      </c>
      <c r="AC91" s="36">
        <f t="shared" si="42"/>
        <v>24.26</v>
      </c>
      <c r="AD91" s="36">
        <f t="shared" si="43"/>
        <v>23.599</v>
      </c>
      <c r="AE91" s="53">
        <f t="shared" si="44"/>
        <v>35.5595</v>
      </c>
      <c r="AF91" s="53">
        <f t="shared" si="45"/>
        <v>35.546500000000002</v>
      </c>
      <c r="CD91" s="69">
        <v>2063</v>
      </c>
      <c r="CE91" s="54">
        <f t="shared" si="17"/>
        <v>18.489999999999998</v>
      </c>
      <c r="CF91" s="54">
        <f t="shared" si="18"/>
        <v>75.770955000000001</v>
      </c>
      <c r="CG91" s="69">
        <f t="shared" si="19"/>
        <v>654.75</v>
      </c>
      <c r="CH91" s="54">
        <f t="shared" si="20"/>
        <v>17.994999999999997</v>
      </c>
      <c r="CI91" s="54">
        <f t="shared" si="22"/>
        <v>75.40415999999999</v>
      </c>
      <c r="CJ91" s="69">
        <f t="shared" si="21"/>
        <v>579.05000000000007</v>
      </c>
    </row>
    <row r="92" spans="1:100">
      <c r="A92" s="35">
        <v>2064</v>
      </c>
      <c r="B92" s="47">
        <f t="shared" si="31"/>
        <v>2.1199999999999992</v>
      </c>
      <c r="C92" s="47">
        <f t="shared" si="31"/>
        <v>1.6099999999999985</v>
      </c>
      <c r="D92" s="47">
        <f t="shared" si="31"/>
        <v>10.540000000000003</v>
      </c>
      <c r="E92" s="47">
        <f t="shared" si="31"/>
        <v>7.9599999999999982</v>
      </c>
      <c r="F92" s="47">
        <f t="shared" si="31"/>
        <v>2.2900000000000009</v>
      </c>
      <c r="G92" s="47">
        <f t="shared" si="31"/>
        <v>1.7800000000000002</v>
      </c>
      <c r="H92" s="47">
        <f t="shared" si="31"/>
        <v>2.9960000000000009</v>
      </c>
      <c r="I92" s="47">
        <f t="shared" si="31"/>
        <v>2.2769999999999997</v>
      </c>
      <c r="J92" s="47">
        <f t="shared" si="31"/>
        <v>0.14900000000000005</v>
      </c>
      <c r="K92" s="47">
        <f t="shared" si="31"/>
        <v>0.11100000000000002</v>
      </c>
      <c r="L92" s="47">
        <f t="shared" si="31"/>
        <v>2.8200000000000007</v>
      </c>
      <c r="M92" s="47">
        <f t="shared" si="31"/>
        <v>2.1319999999999988</v>
      </c>
      <c r="N92" s="47">
        <f t="shared" si="31"/>
        <v>6.1000000000000019E-2</v>
      </c>
      <c r="O92" s="47">
        <f t="shared" si="31"/>
        <v>4.7000000000000007E-2</v>
      </c>
      <c r="Q92" s="36">
        <v>662.5</v>
      </c>
      <c r="R92" s="36">
        <v>582.90000000000009</v>
      </c>
      <c r="S92" s="36">
        <f t="shared" si="32"/>
        <v>18.519999999999996</v>
      </c>
      <c r="T92" s="36">
        <f t="shared" si="33"/>
        <v>18.009999999999998</v>
      </c>
      <c r="U92" s="36">
        <f t="shared" si="34"/>
        <v>1209.3076000000001</v>
      </c>
      <c r="V92" s="36">
        <f t="shared" si="35"/>
        <v>1181.0824</v>
      </c>
      <c r="W92" s="36">
        <f t="shared" si="36"/>
        <v>75.796889999999991</v>
      </c>
      <c r="X92" s="36">
        <f t="shared" si="37"/>
        <v>75.418979999999991</v>
      </c>
      <c r="Y92" s="36">
        <f t="shared" si="38"/>
        <v>22.296000000000003</v>
      </c>
      <c r="Z92" s="36">
        <f t="shared" si="39"/>
        <v>21.577000000000002</v>
      </c>
      <c r="AA92" s="53">
        <f t="shared" si="40"/>
        <v>35.649000000000001</v>
      </c>
      <c r="AB92" s="53">
        <f t="shared" si="41"/>
        <v>35.610999999999997</v>
      </c>
      <c r="AC92" s="36">
        <f t="shared" si="42"/>
        <v>24.32</v>
      </c>
      <c r="AD92" s="36">
        <f t="shared" si="43"/>
        <v>23.631999999999998</v>
      </c>
      <c r="AE92" s="53">
        <f t="shared" si="44"/>
        <v>35.561</v>
      </c>
      <c r="AF92" s="53">
        <f t="shared" si="45"/>
        <v>35.546999999999997</v>
      </c>
      <c r="CD92" s="69">
        <v>2064</v>
      </c>
      <c r="CE92" s="54">
        <f t="shared" ref="CE92:CE98" si="46">S92</f>
        <v>18.519999999999996</v>
      </c>
      <c r="CF92" s="54">
        <f t="shared" ref="CF92:CF98" si="47">W92</f>
        <v>75.796889999999991</v>
      </c>
      <c r="CG92" s="69">
        <f t="shared" ref="CG92:CG98" si="48">Q92</f>
        <v>662.5</v>
      </c>
      <c r="CH92" s="54">
        <f t="shared" ref="CH92:CH98" si="49">T92</f>
        <v>18.009999999999998</v>
      </c>
      <c r="CI92" s="54">
        <f t="shared" si="22"/>
        <v>75.418979999999991</v>
      </c>
      <c r="CJ92" s="69">
        <f t="shared" ref="CJ92:CJ98" si="50">R92</f>
        <v>582.90000000000009</v>
      </c>
    </row>
    <row r="93" spans="1:100">
      <c r="A93" s="35">
        <v>2065</v>
      </c>
      <c r="B93" s="47">
        <f t="shared" si="31"/>
        <v>2.149999999999999</v>
      </c>
      <c r="C93" s="47">
        <f t="shared" si="31"/>
        <v>1.6249999999999984</v>
      </c>
      <c r="D93" s="47">
        <f t="shared" si="31"/>
        <v>10.700000000000003</v>
      </c>
      <c r="E93" s="47">
        <f t="shared" si="31"/>
        <v>8.0499999999999989</v>
      </c>
      <c r="F93" s="47">
        <f t="shared" si="31"/>
        <v>2.3250000000000011</v>
      </c>
      <c r="G93" s="47">
        <f t="shared" si="31"/>
        <v>1.8000000000000003</v>
      </c>
      <c r="H93" s="47">
        <f t="shared" si="31"/>
        <v>3.0600000000000009</v>
      </c>
      <c r="I93" s="47">
        <f t="shared" si="31"/>
        <v>2.3124999999999996</v>
      </c>
      <c r="J93" s="47">
        <f t="shared" si="31"/>
        <v>0.15250000000000005</v>
      </c>
      <c r="K93" s="47">
        <f t="shared" si="31"/>
        <v>0.11250000000000002</v>
      </c>
      <c r="L93" s="47">
        <f t="shared" si="31"/>
        <v>2.8800000000000008</v>
      </c>
      <c r="M93" s="47">
        <f t="shared" si="31"/>
        <v>2.1649999999999987</v>
      </c>
      <c r="N93" s="47">
        <f t="shared" si="31"/>
        <v>6.2500000000000014E-2</v>
      </c>
      <c r="O93" s="47">
        <f t="shared" si="31"/>
        <v>4.7500000000000007E-2</v>
      </c>
      <c r="Q93" s="36">
        <v>670.25</v>
      </c>
      <c r="R93" s="36">
        <v>586.75000000000011</v>
      </c>
      <c r="S93" s="36">
        <f t="shared" si="32"/>
        <v>18.549999999999997</v>
      </c>
      <c r="T93" s="36">
        <f t="shared" si="33"/>
        <v>18.024999999999999</v>
      </c>
      <c r="U93" s="36">
        <f t="shared" si="34"/>
        <v>1211.058</v>
      </c>
      <c r="V93" s="36">
        <f t="shared" si="35"/>
        <v>1182.067</v>
      </c>
      <c r="W93" s="36">
        <f t="shared" si="36"/>
        <v>75.822824999999995</v>
      </c>
      <c r="X93" s="36">
        <f t="shared" si="37"/>
        <v>75.433799999999991</v>
      </c>
      <c r="Y93" s="36">
        <f t="shared" si="38"/>
        <v>22.360000000000003</v>
      </c>
      <c r="Z93" s="36">
        <f t="shared" si="39"/>
        <v>21.612500000000001</v>
      </c>
      <c r="AA93" s="53">
        <f t="shared" si="40"/>
        <v>35.652500000000003</v>
      </c>
      <c r="AB93" s="53">
        <f t="shared" si="41"/>
        <v>35.612499999999997</v>
      </c>
      <c r="AC93" s="36">
        <f t="shared" si="42"/>
        <v>24.380000000000003</v>
      </c>
      <c r="AD93" s="36">
        <f t="shared" si="43"/>
        <v>23.664999999999999</v>
      </c>
      <c r="AE93" s="53">
        <f t="shared" si="44"/>
        <v>35.5625</v>
      </c>
      <c r="AF93" s="53">
        <f t="shared" si="45"/>
        <v>35.547499999999999</v>
      </c>
      <c r="CD93" s="69">
        <v>2065</v>
      </c>
      <c r="CE93" s="54">
        <f t="shared" si="46"/>
        <v>18.549999999999997</v>
      </c>
      <c r="CF93" s="54">
        <f t="shared" si="47"/>
        <v>75.822824999999995</v>
      </c>
      <c r="CG93" s="69">
        <f t="shared" si="48"/>
        <v>670.25</v>
      </c>
      <c r="CH93" s="54">
        <f t="shared" si="49"/>
        <v>18.024999999999999</v>
      </c>
      <c r="CI93" s="54">
        <f t="shared" ref="CI93:CI98" si="51">X93</f>
        <v>75.433799999999991</v>
      </c>
      <c r="CJ93" s="69">
        <f t="shared" si="50"/>
        <v>586.75000000000011</v>
      </c>
    </row>
    <row r="94" spans="1:100">
      <c r="A94" s="35">
        <v>2066</v>
      </c>
      <c r="B94" s="47">
        <f t="shared" si="31"/>
        <v>2.1799999999999988</v>
      </c>
      <c r="C94" s="47">
        <f t="shared" si="31"/>
        <v>1.6399999999999983</v>
      </c>
      <c r="D94" s="47">
        <f t="shared" si="31"/>
        <v>10.860000000000003</v>
      </c>
      <c r="E94" s="47">
        <f t="shared" si="31"/>
        <v>8.1399999999999988</v>
      </c>
      <c r="F94" s="47">
        <f t="shared" si="31"/>
        <v>2.3600000000000012</v>
      </c>
      <c r="G94" s="47">
        <f t="shared" si="31"/>
        <v>1.8200000000000003</v>
      </c>
      <c r="H94" s="47">
        <f t="shared" si="31"/>
        <v>3.124000000000001</v>
      </c>
      <c r="I94" s="47">
        <f t="shared" si="31"/>
        <v>2.3479999999999994</v>
      </c>
      <c r="J94" s="47">
        <f t="shared" si="31"/>
        <v>0.15600000000000006</v>
      </c>
      <c r="K94" s="47">
        <f t="shared" si="31"/>
        <v>0.11400000000000002</v>
      </c>
      <c r="L94" s="47">
        <f t="shared" si="31"/>
        <v>2.9400000000000008</v>
      </c>
      <c r="M94" s="47">
        <f t="shared" si="31"/>
        <v>2.1979999999999986</v>
      </c>
      <c r="N94" s="47">
        <f t="shared" si="31"/>
        <v>6.4000000000000015E-2</v>
      </c>
      <c r="O94" s="47">
        <f t="shared" si="31"/>
        <v>4.8000000000000008E-2</v>
      </c>
      <c r="Q94" s="36">
        <v>678</v>
      </c>
      <c r="R94" s="36">
        <v>590.60000000000014</v>
      </c>
      <c r="S94" s="36">
        <f t="shared" si="32"/>
        <v>18.579999999999998</v>
      </c>
      <c r="T94" s="36">
        <f t="shared" si="33"/>
        <v>18.039999999999996</v>
      </c>
      <c r="U94" s="36">
        <f t="shared" si="34"/>
        <v>1212.8084000000001</v>
      </c>
      <c r="V94" s="36">
        <f t="shared" si="35"/>
        <v>1183.0516</v>
      </c>
      <c r="W94" s="36">
        <f t="shared" si="36"/>
        <v>75.848759999999999</v>
      </c>
      <c r="X94" s="36">
        <f t="shared" si="37"/>
        <v>75.448619999999991</v>
      </c>
      <c r="Y94" s="36">
        <f t="shared" si="38"/>
        <v>22.424000000000003</v>
      </c>
      <c r="Z94" s="36">
        <f t="shared" si="39"/>
        <v>21.648</v>
      </c>
      <c r="AA94" s="53">
        <f t="shared" si="40"/>
        <v>35.655999999999999</v>
      </c>
      <c r="AB94" s="53">
        <f t="shared" si="41"/>
        <v>35.613999999999997</v>
      </c>
      <c r="AC94" s="36">
        <f t="shared" si="42"/>
        <v>24.44</v>
      </c>
      <c r="AD94" s="36">
        <f t="shared" si="43"/>
        <v>23.698</v>
      </c>
      <c r="AE94" s="53">
        <f t="shared" si="44"/>
        <v>35.564</v>
      </c>
      <c r="AF94" s="53">
        <f t="shared" si="45"/>
        <v>35.548000000000002</v>
      </c>
      <c r="CD94" s="69">
        <v>2066</v>
      </c>
      <c r="CE94" s="54">
        <f t="shared" si="46"/>
        <v>18.579999999999998</v>
      </c>
      <c r="CF94" s="54">
        <f t="shared" si="47"/>
        <v>75.848759999999999</v>
      </c>
      <c r="CG94" s="69">
        <f t="shared" si="48"/>
        <v>678</v>
      </c>
      <c r="CH94" s="54">
        <f t="shared" si="49"/>
        <v>18.039999999999996</v>
      </c>
      <c r="CI94" s="54">
        <f t="shared" si="51"/>
        <v>75.448619999999991</v>
      </c>
      <c r="CJ94" s="69">
        <f t="shared" si="50"/>
        <v>590.60000000000014</v>
      </c>
    </row>
    <row r="95" spans="1:100">
      <c r="A95" s="35">
        <v>2067</v>
      </c>
      <c r="B95" s="47">
        <f t="shared" ref="B95:O97" si="52">(B$9-B$8)/COUNT($A$78:$A$97)+B94</f>
        <v>2.2099999999999986</v>
      </c>
      <c r="C95" s="47">
        <f t="shared" si="52"/>
        <v>1.6549999999999983</v>
      </c>
      <c r="D95" s="47">
        <f t="shared" si="52"/>
        <v>11.020000000000003</v>
      </c>
      <c r="E95" s="47">
        <f t="shared" si="52"/>
        <v>8.2299999999999986</v>
      </c>
      <c r="F95" s="47">
        <f t="shared" si="52"/>
        <v>2.3950000000000014</v>
      </c>
      <c r="G95" s="47">
        <f t="shared" si="52"/>
        <v>1.8400000000000003</v>
      </c>
      <c r="H95" s="47">
        <f t="shared" si="52"/>
        <v>3.1880000000000011</v>
      </c>
      <c r="I95" s="47">
        <f t="shared" si="52"/>
        <v>2.3834999999999993</v>
      </c>
      <c r="J95" s="47">
        <f t="shared" si="52"/>
        <v>0.15950000000000006</v>
      </c>
      <c r="K95" s="47">
        <f t="shared" si="52"/>
        <v>0.11550000000000002</v>
      </c>
      <c r="L95" s="47">
        <f t="shared" si="52"/>
        <v>3.0000000000000009</v>
      </c>
      <c r="M95" s="47">
        <f t="shared" si="52"/>
        <v>2.2309999999999985</v>
      </c>
      <c r="N95" s="47">
        <f t="shared" si="52"/>
        <v>6.5500000000000017E-2</v>
      </c>
      <c r="O95" s="47">
        <f t="shared" si="52"/>
        <v>4.8500000000000008E-2</v>
      </c>
      <c r="Q95" s="36">
        <v>685.75</v>
      </c>
      <c r="R95" s="36">
        <v>594.45000000000016</v>
      </c>
      <c r="S95" s="36">
        <f t="shared" si="32"/>
        <v>18.609999999999996</v>
      </c>
      <c r="T95" s="36">
        <f t="shared" si="33"/>
        <v>18.054999999999996</v>
      </c>
      <c r="U95" s="36">
        <f t="shared" si="34"/>
        <v>1214.5588</v>
      </c>
      <c r="V95" s="36">
        <f t="shared" si="35"/>
        <v>1184.0362</v>
      </c>
      <c r="W95" s="36">
        <f t="shared" si="36"/>
        <v>75.874694999999988</v>
      </c>
      <c r="X95" s="36">
        <f t="shared" si="37"/>
        <v>75.463439999999991</v>
      </c>
      <c r="Y95" s="36">
        <f t="shared" si="38"/>
        <v>22.488000000000003</v>
      </c>
      <c r="Z95" s="36">
        <f t="shared" si="39"/>
        <v>21.683499999999999</v>
      </c>
      <c r="AA95" s="53">
        <f t="shared" si="40"/>
        <v>35.659500000000001</v>
      </c>
      <c r="AB95" s="53">
        <f t="shared" si="41"/>
        <v>35.615499999999997</v>
      </c>
      <c r="AC95" s="36">
        <f t="shared" si="42"/>
        <v>24.5</v>
      </c>
      <c r="AD95" s="36">
        <f t="shared" si="43"/>
        <v>23.730999999999998</v>
      </c>
      <c r="AE95" s="53">
        <f t="shared" si="44"/>
        <v>35.5655</v>
      </c>
      <c r="AF95" s="53">
        <f t="shared" si="45"/>
        <v>35.548499999999997</v>
      </c>
      <c r="CD95" s="69">
        <v>2067</v>
      </c>
      <c r="CE95" s="54">
        <f t="shared" si="46"/>
        <v>18.609999999999996</v>
      </c>
      <c r="CF95" s="54">
        <f t="shared" si="47"/>
        <v>75.874694999999988</v>
      </c>
      <c r="CG95" s="69">
        <f t="shared" si="48"/>
        <v>685.75</v>
      </c>
      <c r="CH95" s="54">
        <f t="shared" si="49"/>
        <v>18.054999999999996</v>
      </c>
      <c r="CI95" s="54">
        <f t="shared" si="51"/>
        <v>75.463439999999991</v>
      </c>
      <c r="CJ95" s="69">
        <f t="shared" si="50"/>
        <v>594.45000000000016</v>
      </c>
    </row>
    <row r="96" spans="1:100">
      <c r="A96" s="35">
        <v>2068</v>
      </c>
      <c r="B96" s="47">
        <f t="shared" si="52"/>
        <v>2.2399999999999984</v>
      </c>
      <c r="C96" s="47">
        <f t="shared" si="52"/>
        <v>1.6699999999999982</v>
      </c>
      <c r="D96" s="47">
        <f t="shared" si="52"/>
        <v>11.180000000000003</v>
      </c>
      <c r="E96" s="47">
        <f t="shared" si="52"/>
        <v>8.3199999999999985</v>
      </c>
      <c r="F96" s="47">
        <f t="shared" si="52"/>
        <v>2.4300000000000015</v>
      </c>
      <c r="G96" s="47">
        <f t="shared" si="52"/>
        <v>1.8600000000000003</v>
      </c>
      <c r="H96" s="47">
        <f t="shared" si="52"/>
        <v>3.2520000000000011</v>
      </c>
      <c r="I96" s="47">
        <f t="shared" si="52"/>
        <v>2.4189999999999992</v>
      </c>
      <c r="J96" s="47">
        <f t="shared" si="52"/>
        <v>0.16300000000000006</v>
      </c>
      <c r="K96" s="47">
        <f t="shared" si="52"/>
        <v>0.11700000000000002</v>
      </c>
      <c r="L96" s="47">
        <f t="shared" si="52"/>
        <v>3.0600000000000009</v>
      </c>
      <c r="M96" s="47">
        <f t="shared" si="52"/>
        <v>2.2639999999999985</v>
      </c>
      <c r="N96" s="47">
        <f t="shared" si="52"/>
        <v>6.7000000000000018E-2</v>
      </c>
      <c r="O96" s="47">
        <f t="shared" si="52"/>
        <v>4.9000000000000009E-2</v>
      </c>
      <c r="Q96" s="36">
        <v>693.5</v>
      </c>
      <c r="R96" s="36">
        <v>598.30000000000018</v>
      </c>
      <c r="S96" s="36">
        <f t="shared" si="32"/>
        <v>18.639999999999997</v>
      </c>
      <c r="T96" s="36">
        <f t="shared" si="33"/>
        <v>18.069999999999997</v>
      </c>
      <c r="U96" s="36">
        <f t="shared" si="34"/>
        <v>1216.3092000000001</v>
      </c>
      <c r="V96" s="36">
        <f t="shared" si="35"/>
        <v>1185.0208</v>
      </c>
      <c r="W96" s="36">
        <f t="shared" si="36"/>
        <v>75.900629999999992</v>
      </c>
      <c r="X96" s="36">
        <f t="shared" si="37"/>
        <v>75.478259999999992</v>
      </c>
      <c r="Y96" s="36">
        <f t="shared" si="38"/>
        <v>22.552000000000003</v>
      </c>
      <c r="Z96" s="36">
        <f t="shared" si="39"/>
        <v>21.719000000000001</v>
      </c>
      <c r="AA96" s="53">
        <f t="shared" si="40"/>
        <v>35.662999999999997</v>
      </c>
      <c r="AB96" s="53">
        <f t="shared" si="41"/>
        <v>35.616999999999997</v>
      </c>
      <c r="AC96" s="36">
        <f t="shared" si="42"/>
        <v>24.560000000000002</v>
      </c>
      <c r="AD96" s="36">
        <f t="shared" si="43"/>
        <v>23.763999999999999</v>
      </c>
      <c r="AE96" s="53">
        <f t="shared" si="44"/>
        <v>35.567</v>
      </c>
      <c r="AF96" s="53">
        <f t="shared" si="45"/>
        <v>35.548999999999999</v>
      </c>
      <c r="CD96" s="69">
        <v>2068</v>
      </c>
      <c r="CE96" s="54">
        <f t="shared" si="46"/>
        <v>18.639999999999997</v>
      </c>
      <c r="CF96" s="54">
        <f t="shared" si="47"/>
        <v>75.900629999999992</v>
      </c>
      <c r="CG96" s="69">
        <f t="shared" si="48"/>
        <v>693.5</v>
      </c>
      <c r="CH96" s="54">
        <f t="shared" si="49"/>
        <v>18.069999999999997</v>
      </c>
      <c r="CI96" s="54">
        <f t="shared" si="51"/>
        <v>75.478259999999992</v>
      </c>
      <c r="CJ96" s="69">
        <f t="shared" si="50"/>
        <v>598.30000000000018</v>
      </c>
    </row>
    <row r="97" spans="1:100">
      <c r="A97" s="35">
        <v>2069</v>
      </c>
      <c r="B97" s="47">
        <f t="shared" si="52"/>
        <v>2.2699999999999982</v>
      </c>
      <c r="C97" s="47">
        <f t="shared" si="52"/>
        <v>1.6849999999999981</v>
      </c>
      <c r="D97" s="47">
        <f t="shared" si="52"/>
        <v>11.340000000000003</v>
      </c>
      <c r="E97" s="47">
        <f t="shared" si="52"/>
        <v>8.4099999999999984</v>
      </c>
      <c r="F97" s="47">
        <f t="shared" si="52"/>
        <v>2.4650000000000016</v>
      </c>
      <c r="G97" s="47">
        <f t="shared" si="52"/>
        <v>1.8800000000000003</v>
      </c>
      <c r="H97" s="47">
        <f t="shared" si="52"/>
        <v>3.3160000000000012</v>
      </c>
      <c r="I97" s="47">
        <f t="shared" si="52"/>
        <v>2.454499999999999</v>
      </c>
      <c r="J97" s="47">
        <f t="shared" si="52"/>
        <v>0.16650000000000006</v>
      </c>
      <c r="K97" s="47">
        <f t="shared" si="52"/>
        <v>0.11850000000000002</v>
      </c>
      <c r="L97" s="47">
        <f t="shared" si="52"/>
        <v>3.120000000000001</v>
      </c>
      <c r="M97" s="47">
        <f t="shared" si="52"/>
        <v>2.2969999999999984</v>
      </c>
      <c r="N97" s="47">
        <f t="shared" si="52"/>
        <v>6.8500000000000019E-2</v>
      </c>
      <c r="O97" s="47">
        <f t="shared" si="52"/>
        <v>4.9500000000000009E-2</v>
      </c>
      <c r="Q97" s="36">
        <v>701.25</v>
      </c>
      <c r="R97" s="36">
        <v>602.1500000000002</v>
      </c>
      <c r="S97" s="36">
        <f t="shared" si="32"/>
        <v>18.669999999999998</v>
      </c>
      <c r="T97" s="36">
        <f t="shared" si="33"/>
        <v>18.084999999999997</v>
      </c>
      <c r="U97" s="36">
        <f t="shared" si="34"/>
        <v>1218.0596</v>
      </c>
      <c r="V97" s="36">
        <f t="shared" si="35"/>
        <v>1186.0054</v>
      </c>
      <c r="W97" s="36">
        <f t="shared" si="36"/>
        <v>75.926564999999997</v>
      </c>
      <c r="X97" s="36">
        <f t="shared" si="37"/>
        <v>75.493079999999992</v>
      </c>
      <c r="Y97" s="36">
        <f t="shared" si="38"/>
        <v>22.616000000000003</v>
      </c>
      <c r="Z97" s="36">
        <f t="shared" si="39"/>
        <v>21.7545</v>
      </c>
      <c r="AA97" s="53">
        <f t="shared" si="40"/>
        <v>35.666499999999999</v>
      </c>
      <c r="AB97" s="53">
        <f t="shared" si="41"/>
        <v>35.618499999999997</v>
      </c>
      <c r="AC97" s="36">
        <f t="shared" si="42"/>
        <v>24.62</v>
      </c>
      <c r="AD97" s="36">
        <f t="shared" si="43"/>
        <v>23.796999999999997</v>
      </c>
      <c r="AE97" s="53">
        <f t="shared" si="44"/>
        <v>35.5685</v>
      </c>
      <c r="AF97" s="53">
        <f t="shared" si="45"/>
        <v>35.549500000000002</v>
      </c>
      <c r="CD97" s="69">
        <v>2069</v>
      </c>
      <c r="CE97" s="54">
        <f t="shared" si="46"/>
        <v>18.669999999999998</v>
      </c>
      <c r="CF97" s="54">
        <f t="shared" si="47"/>
        <v>75.926564999999997</v>
      </c>
      <c r="CG97" s="69">
        <f t="shared" si="48"/>
        <v>701.25</v>
      </c>
      <c r="CH97" s="54">
        <f t="shared" si="49"/>
        <v>18.084999999999997</v>
      </c>
      <c r="CI97" s="54">
        <f t="shared" si="51"/>
        <v>75.493079999999992</v>
      </c>
      <c r="CJ97" s="69">
        <f t="shared" si="50"/>
        <v>602.1500000000002</v>
      </c>
    </row>
    <row r="98" spans="1:100">
      <c r="A98" s="35">
        <v>2070</v>
      </c>
      <c r="B98" s="47">
        <f t="shared" ref="B98:O98" si="53">B$9</f>
        <v>2.2999999999999998</v>
      </c>
      <c r="C98" s="47">
        <f t="shared" si="53"/>
        <v>1.7</v>
      </c>
      <c r="D98" s="47">
        <f t="shared" si="53"/>
        <v>11.5</v>
      </c>
      <c r="E98" s="47">
        <f t="shared" si="53"/>
        <v>8.5</v>
      </c>
      <c r="F98" s="47">
        <f t="shared" si="53"/>
        <v>2.5</v>
      </c>
      <c r="G98" s="47">
        <f t="shared" si="53"/>
        <v>1.9</v>
      </c>
      <c r="H98" s="47">
        <f t="shared" si="53"/>
        <v>3.38</v>
      </c>
      <c r="I98" s="47">
        <f t="shared" si="53"/>
        <v>2.4900000000000002</v>
      </c>
      <c r="J98" s="47">
        <f t="shared" si="53"/>
        <v>0.17</v>
      </c>
      <c r="K98" s="47">
        <f t="shared" si="53"/>
        <v>0.12</v>
      </c>
      <c r="L98" s="47">
        <f t="shared" si="53"/>
        <v>3.18</v>
      </c>
      <c r="M98" s="47">
        <f t="shared" si="53"/>
        <v>2.33</v>
      </c>
      <c r="N98" s="47">
        <f t="shared" si="53"/>
        <v>7.0000000000000007E-2</v>
      </c>
      <c r="O98" s="47">
        <f t="shared" si="53"/>
        <v>0.05</v>
      </c>
      <c r="Q98" s="36">
        <v>709</v>
      </c>
      <c r="R98" s="36">
        <v>606</v>
      </c>
      <c r="S98" s="36">
        <f t="shared" si="32"/>
        <v>18.7</v>
      </c>
      <c r="T98" s="36">
        <f t="shared" si="33"/>
        <v>18.099999999999998</v>
      </c>
      <c r="U98" s="36">
        <f t="shared" si="34"/>
        <v>1219.81</v>
      </c>
      <c r="V98" s="36">
        <f t="shared" si="35"/>
        <v>1186.99</v>
      </c>
      <c r="W98" s="36">
        <f t="shared" si="36"/>
        <v>75.952500000000001</v>
      </c>
      <c r="X98" s="36">
        <f t="shared" si="37"/>
        <v>75.507899999999992</v>
      </c>
      <c r="Y98" s="36">
        <f t="shared" si="38"/>
        <v>22.68</v>
      </c>
      <c r="Z98" s="36">
        <f t="shared" si="39"/>
        <v>21.79</v>
      </c>
      <c r="AA98" s="53">
        <f t="shared" si="40"/>
        <v>35.67</v>
      </c>
      <c r="AB98" s="53">
        <f t="shared" si="41"/>
        <v>35.619999999999997</v>
      </c>
      <c r="AC98" s="36">
        <f t="shared" si="42"/>
        <v>24.68</v>
      </c>
      <c r="AD98" s="36">
        <f t="shared" si="43"/>
        <v>23.83</v>
      </c>
      <c r="AE98" s="53">
        <f t="shared" si="44"/>
        <v>35.57</v>
      </c>
      <c r="AF98" s="53">
        <f t="shared" si="45"/>
        <v>35.549999999999997</v>
      </c>
      <c r="CD98" s="69">
        <v>2070</v>
      </c>
      <c r="CE98" s="54">
        <f t="shared" si="46"/>
        <v>18.7</v>
      </c>
      <c r="CF98" s="54">
        <f t="shared" si="47"/>
        <v>75.952500000000001</v>
      </c>
      <c r="CG98" s="69">
        <f t="shared" si="48"/>
        <v>709</v>
      </c>
      <c r="CH98" s="54">
        <f t="shared" si="49"/>
        <v>18.099999999999998</v>
      </c>
      <c r="CI98" s="54">
        <f t="shared" si="51"/>
        <v>75.507899999999992</v>
      </c>
      <c r="CJ98" s="69">
        <f t="shared" si="50"/>
        <v>606</v>
      </c>
    </row>
    <row r="99" spans="1:100" s="43" customFormat="1">
      <c r="A99" s="56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69"/>
      <c r="O99" s="69"/>
      <c r="P99" s="69"/>
      <c r="Q99" s="35"/>
      <c r="R99" s="35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BN99" s="69"/>
      <c r="BO99" s="69"/>
      <c r="BP99" s="69"/>
      <c r="BQ99" s="69"/>
      <c r="BR99" s="69"/>
      <c r="BS99" s="69"/>
      <c r="BT99" s="69"/>
      <c r="BU99" s="69"/>
      <c r="BV99" s="69"/>
      <c r="BW99" s="69"/>
      <c r="BX99" s="69"/>
      <c r="BY99" s="69"/>
      <c r="BZ99" s="69"/>
      <c r="CA99" s="69"/>
      <c r="CB99" s="69"/>
      <c r="CC99" s="69"/>
      <c r="CD99" s="69"/>
      <c r="CE99" s="69"/>
      <c r="CF99" s="69"/>
      <c r="CG99" s="69"/>
      <c r="CH99" s="69"/>
      <c r="CI99" s="69"/>
      <c r="CJ99" s="69"/>
      <c r="CK99" s="69"/>
      <c r="CL99" s="69"/>
      <c r="CM99" s="69"/>
      <c r="CN99" s="69"/>
      <c r="CO99" s="69"/>
      <c r="CP99" s="69"/>
      <c r="CQ99" s="69"/>
      <c r="CR99" s="69"/>
      <c r="CS99" s="69"/>
      <c r="CT99" s="69"/>
      <c r="CU99" s="69"/>
      <c r="CV99" s="69"/>
    </row>
    <row r="100" spans="1:100" s="43" customFormat="1">
      <c r="A100" s="56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69"/>
      <c r="O100" s="69"/>
      <c r="P100" s="69"/>
      <c r="Q100" s="35"/>
      <c r="R100" s="35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BN100" s="69"/>
      <c r="BO100" s="69"/>
      <c r="BP100" s="69"/>
      <c r="BQ100" s="69"/>
      <c r="BR100" s="69"/>
      <c r="BS100" s="69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69"/>
      <c r="CJ100" s="69"/>
      <c r="CK100" s="69"/>
      <c r="CL100" s="69"/>
      <c r="CM100" s="69"/>
      <c r="CN100" s="69"/>
      <c r="CO100" s="69"/>
      <c r="CP100" s="69"/>
      <c r="CQ100" s="69"/>
      <c r="CR100" s="69"/>
      <c r="CS100" s="69"/>
      <c r="CT100" s="69"/>
      <c r="CU100" s="69"/>
      <c r="CV100" s="69"/>
    </row>
    <row r="101" spans="1:100" s="43" customFormat="1">
      <c r="A101" s="56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69"/>
      <c r="O101" s="69"/>
      <c r="P101" s="69"/>
      <c r="Q101" s="35"/>
      <c r="R101" s="35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BN101" s="69"/>
      <c r="BO101" s="69"/>
      <c r="BP101" s="69"/>
      <c r="BQ101" s="69"/>
      <c r="BR101" s="69"/>
      <c r="BS101" s="69"/>
      <c r="BT101" s="69"/>
      <c r="BU101" s="69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69"/>
      <c r="CJ101" s="69"/>
      <c r="CK101" s="69"/>
      <c r="CL101" s="69"/>
      <c r="CM101" s="69"/>
      <c r="CN101" s="69"/>
      <c r="CO101" s="69"/>
      <c r="CP101" s="69"/>
      <c r="CQ101" s="69"/>
      <c r="CR101" s="69"/>
      <c r="CS101" s="69"/>
      <c r="CT101" s="69"/>
      <c r="CU101" s="69"/>
      <c r="CV101" s="69"/>
    </row>
    <row r="102" spans="1:100" s="43" customFormat="1">
      <c r="A102" s="56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69"/>
      <c r="O102" s="69"/>
      <c r="P102" s="69"/>
      <c r="Q102" s="35"/>
      <c r="R102" s="35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69"/>
      <c r="BT102" s="69"/>
      <c r="BU102" s="69"/>
      <c r="BV102" s="69"/>
      <c r="BW102" s="69"/>
      <c r="BX102" s="69"/>
      <c r="BY102" s="69"/>
      <c r="BZ102" s="69"/>
      <c r="CA102" s="69"/>
      <c r="CB102" s="69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</row>
    <row r="103" spans="1:100" s="43" customFormat="1">
      <c r="A103" s="56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69"/>
      <c r="O103" s="69"/>
      <c r="P103" s="69"/>
      <c r="Q103" s="35"/>
      <c r="R103" s="35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69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</row>
    <row r="104" spans="1:100" s="43" customFormat="1">
      <c r="A104" s="56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69"/>
      <c r="O104" s="69"/>
      <c r="P104" s="69"/>
      <c r="Q104" s="35"/>
      <c r="R104" s="35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BN104" s="69"/>
      <c r="BO104" s="69"/>
      <c r="BP104" s="69"/>
      <c r="BQ104" s="69"/>
      <c r="BR104" s="69"/>
      <c r="BS104" s="69"/>
      <c r="BT104" s="69"/>
      <c r="BU104" s="69"/>
      <c r="BV104" s="69"/>
      <c r="BW104" s="69"/>
      <c r="BX104" s="69"/>
      <c r="BY104" s="69"/>
      <c r="BZ104" s="69"/>
      <c r="CA104" s="69"/>
      <c r="CB104" s="69"/>
      <c r="CC104" s="69"/>
      <c r="CD104" s="69"/>
      <c r="CE104" s="69"/>
      <c r="CF104" s="69"/>
      <c r="CG104" s="69"/>
      <c r="CH104" s="69"/>
      <c r="CI104" s="69"/>
      <c r="CJ104" s="69"/>
      <c r="CK104" s="69"/>
      <c r="CL104" s="69"/>
      <c r="CM104" s="69"/>
      <c r="CN104" s="69"/>
      <c r="CO104" s="69"/>
      <c r="CP104" s="69"/>
      <c r="CQ104" s="69"/>
      <c r="CR104" s="69"/>
      <c r="CS104" s="69"/>
      <c r="CT104" s="69"/>
      <c r="CU104" s="69"/>
      <c r="CV104" s="69"/>
    </row>
    <row r="105" spans="1:100" s="43" customFormat="1">
      <c r="A105" s="56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69"/>
      <c r="O105" s="69"/>
      <c r="P105" s="69"/>
      <c r="Q105" s="35"/>
      <c r="R105" s="35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BN105" s="69"/>
      <c r="BO105" s="69"/>
      <c r="BP105" s="69"/>
      <c r="BQ105" s="69"/>
      <c r="BR105" s="69"/>
      <c r="BS105" s="69"/>
      <c r="BT105" s="69"/>
      <c r="BU105" s="69"/>
      <c r="BV105" s="69"/>
      <c r="BW105" s="69"/>
      <c r="BX105" s="69"/>
      <c r="BY105" s="69"/>
      <c r="BZ105" s="69"/>
      <c r="CA105" s="69"/>
      <c r="CB105" s="69"/>
      <c r="CC105" s="69"/>
      <c r="CD105" s="69"/>
      <c r="CE105" s="69"/>
      <c r="CF105" s="69"/>
      <c r="CG105" s="69"/>
      <c r="CH105" s="69"/>
      <c r="CI105" s="69"/>
      <c r="CJ105" s="69"/>
      <c r="CK105" s="69"/>
      <c r="CL105" s="69"/>
      <c r="CM105" s="69"/>
      <c r="CN105" s="69"/>
      <c r="CO105" s="69"/>
      <c r="CP105" s="69"/>
      <c r="CQ105" s="69"/>
      <c r="CR105" s="69"/>
      <c r="CS105" s="69"/>
      <c r="CT105" s="69"/>
      <c r="CU105" s="69"/>
      <c r="CV105" s="69"/>
    </row>
    <row r="106" spans="1:100" s="43" customFormat="1">
      <c r="A106" s="56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69"/>
      <c r="O106" s="69"/>
      <c r="P106" s="69"/>
      <c r="Q106" s="35"/>
      <c r="R106" s="35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BN106" s="69"/>
      <c r="BO106" s="69"/>
      <c r="BP106" s="69"/>
      <c r="BQ106" s="69"/>
      <c r="BR106" s="69"/>
      <c r="BS106" s="69"/>
      <c r="BT106" s="69"/>
      <c r="BU106" s="69"/>
      <c r="BV106" s="69"/>
      <c r="BW106" s="69"/>
      <c r="BX106" s="69"/>
      <c r="BY106" s="69"/>
      <c r="BZ106" s="69"/>
      <c r="CA106" s="69"/>
      <c r="CB106" s="69"/>
      <c r="CC106" s="69"/>
      <c r="CD106" s="69"/>
      <c r="CE106" s="69"/>
      <c r="CF106" s="69"/>
      <c r="CG106" s="69"/>
      <c r="CH106" s="69"/>
      <c r="CI106" s="69"/>
      <c r="CJ106" s="69"/>
      <c r="CK106" s="69"/>
      <c r="CL106" s="69"/>
      <c r="CM106" s="69"/>
      <c r="CN106" s="69"/>
      <c r="CO106" s="69"/>
      <c r="CP106" s="69"/>
      <c r="CQ106" s="69"/>
      <c r="CR106" s="69"/>
      <c r="CS106" s="69"/>
      <c r="CT106" s="69"/>
      <c r="CU106" s="69"/>
      <c r="CV106" s="69"/>
    </row>
    <row r="107" spans="1:100" s="43" customFormat="1">
      <c r="A107" s="56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69"/>
      <c r="O107" s="69"/>
      <c r="P107" s="69"/>
      <c r="Q107" s="35"/>
      <c r="R107" s="35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BN107" s="69"/>
      <c r="BO107" s="69"/>
      <c r="BP107" s="69"/>
      <c r="BQ107" s="69"/>
      <c r="BR107" s="69"/>
      <c r="BS107" s="69"/>
      <c r="BT107" s="69"/>
      <c r="BU107" s="69"/>
      <c r="BV107" s="69"/>
      <c r="BW107" s="69"/>
      <c r="BX107" s="69"/>
      <c r="BY107" s="69"/>
      <c r="BZ107" s="69"/>
      <c r="CA107" s="69"/>
      <c r="CB107" s="69"/>
      <c r="CC107" s="69"/>
      <c r="CD107" s="69"/>
      <c r="CE107" s="69"/>
      <c r="CF107" s="69"/>
      <c r="CG107" s="69"/>
      <c r="CH107" s="69"/>
      <c r="CI107" s="69"/>
      <c r="CJ107" s="69"/>
      <c r="CK107" s="69"/>
      <c r="CL107" s="69"/>
      <c r="CM107" s="69"/>
      <c r="CN107" s="69"/>
      <c r="CO107" s="69"/>
      <c r="CP107" s="69"/>
      <c r="CQ107" s="69"/>
      <c r="CR107" s="69"/>
      <c r="CS107" s="69"/>
      <c r="CT107" s="69"/>
      <c r="CU107" s="69"/>
      <c r="CV107" s="69"/>
    </row>
    <row r="108" spans="1:100" s="43" customFormat="1">
      <c r="A108" s="56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69"/>
      <c r="O108" s="69"/>
      <c r="P108" s="69"/>
      <c r="Q108" s="35"/>
      <c r="R108" s="35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BN108" s="69"/>
      <c r="BO108" s="69"/>
      <c r="BP108" s="69"/>
      <c r="BQ108" s="69"/>
      <c r="BR108" s="69"/>
      <c r="BS108" s="69"/>
      <c r="BT108" s="69"/>
      <c r="BU108" s="69"/>
      <c r="BV108" s="69"/>
      <c r="BW108" s="69"/>
      <c r="BX108" s="69"/>
      <c r="BY108" s="69"/>
      <c r="BZ108" s="69"/>
      <c r="CA108" s="69"/>
      <c r="CB108" s="69"/>
      <c r="CC108" s="69"/>
      <c r="CD108" s="69"/>
      <c r="CE108" s="69"/>
      <c r="CF108" s="69"/>
      <c r="CG108" s="69"/>
      <c r="CH108" s="69"/>
      <c r="CI108" s="69"/>
      <c r="CJ108" s="69"/>
      <c r="CK108" s="69"/>
      <c r="CL108" s="69"/>
      <c r="CM108" s="69"/>
      <c r="CN108" s="69"/>
      <c r="CO108" s="69"/>
      <c r="CP108" s="69"/>
      <c r="CQ108" s="69"/>
      <c r="CR108" s="69"/>
      <c r="CS108" s="69"/>
      <c r="CT108" s="69"/>
      <c r="CU108" s="69"/>
      <c r="CV108" s="69"/>
    </row>
    <row r="109" spans="1:100" s="43" customFormat="1">
      <c r="A109" s="56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69"/>
      <c r="O109" s="69"/>
      <c r="P109" s="69"/>
      <c r="Q109" s="35"/>
      <c r="R109" s="35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CS109" s="69"/>
      <c r="CT109" s="69"/>
      <c r="CU109" s="69"/>
      <c r="CV109" s="69"/>
    </row>
    <row r="110" spans="1:100" s="43" customFormat="1">
      <c r="A110" s="56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69"/>
      <c r="O110" s="69"/>
      <c r="P110" s="69"/>
      <c r="Q110" s="35"/>
      <c r="R110" s="35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CS110" s="69"/>
      <c r="CT110" s="69"/>
      <c r="CU110" s="69"/>
      <c r="CV110" s="69"/>
    </row>
    <row r="111" spans="1:100" s="43" customFormat="1">
      <c r="A111" s="56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69"/>
      <c r="O111" s="69"/>
      <c r="P111" s="69"/>
      <c r="Q111" s="35"/>
      <c r="R111" s="35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CS111" s="69"/>
      <c r="CT111" s="69"/>
      <c r="CU111" s="69"/>
      <c r="CV111" s="69"/>
    </row>
    <row r="112" spans="1:100" s="43" customFormat="1">
      <c r="A112" s="56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69"/>
      <c r="O112" s="69"/>
      <c r="P112" s="69"/>
      <c r="Q112" s="35"/>
      <c r="R112" s="35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CS112" s="69"/>
      <c r="CT112" s="69"/>
      <c r="CU112" s="69"/>
      <c r="CV112" s="69"/>
    </row>
    <row r="113" spans="1:100" s="43" customFormat="1">
      <c r="A113" s="56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69"/>
      <c r="O113" s="69"/>
      <c r="P113" s="69"/>
      <c r="Q113" s="35"/>
      <c r="R113" s="35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CS113" s="69"/>
      <c r="CT113" s="69"/>
      <c r="CU113" s="69"/>
      <c r="CV113" s="69"/>
    </row>
    <row r="114" spans="1:100" s="43" customFormat="1">
      <c r="A114" s="56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69"/>
      <c r="O114" s="69"/>
      <c r="P114" s="69"/>
      <c r="Q114" s="35"/>
      <c r="R114" s="35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CS114" s="69"/>
      <c r="CT114" s="69"/>
      <c r="CU114" s="69"/>
      <c r="CV114" s="69"/>
    </row>
    <row r="115" spans="1:100" s="43" customFormat="1">
      <c r="A115" s="56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69"/>
      <c r="O115" s="69"/>
      <c r="P115" s="69"/>
      <c r="Q115" s="35"/>
      <c r="R115" s="35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CS115" s="69"/>
      <c r="CT115" s="69"/>
      <c r="CU115" s="69"/>
      <c r="CV115" s="69"/>
    </row>
    <row r="116" spans="1:100" s="43" customFormat="1">
      <c r="A116" s="56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69"/>
      <c r="O116" s="69"/>
      <c r="P116" s="69"/>
      <c r="Q116" s="35"/>
      <c r="R116" s="35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CS116" s="69"/>
      <c r="CT116" s="69"/>
      <c r="CU116" s="69"/>
      <c r="CV116" s="69"/>
    </row>
    <row r="117" spans="1:100" s="43" customFormat="1">
      <c r="A117" s="56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69"/>
      <c r="O117" s="69"/>
      <c r="P117" s="69"/>
      <c r="Q117" s="35"/>
      <c r="R117" s="35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CS117" s="69"/>
      <c r="CT117" s="69"/>
      <c r="CU117" s="69"/>
      <c r="CV117" s="69"/>
    </row>
    <row r="118" spans="1:100" s="43" customFormat="1">
      <c r="A118" s="56"/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69"/>
      <c r="O118" s="69"/>
      <c r="P118" s="69"/>
      <c r="Q118" s="35"/>
      <c r="R118" s="35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CS118" s="69"/>
      <c r="CT118" s="69"/>
      <c r="CU118" s="69"/>
      <c r="CV118" s="69"/>
    </row>
    <row r="119" spans="1:100" s="43" customFormat="1">
      <c r="A119" s="56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69"/>
      <c r="O119" s="69"/>
      <c r="P119" s="69"/>
      <c r="Q119" s="35"/>
      <c r="R119" s="35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CS119" s="69"/>
      <c r="CT119" s="69"/>
      <c r="CU119" s="69"/>
      <c r="CV119" s="69"/>
    </row>
    <row r="120" spans="1:100" s="43" customFormat="1">
      <c r="A120" s="56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69"/>
      <c r="O120" s="69"/>
      <c r="P120" s="69"/>
      <c r="Q120" s="35"/>
      <c r="R120" s="35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CS120" s="69"/>
      <c r="CT120" s="69"/>
      <c r="CU120" s="69"/>
      <c r="CV120" s="69"/>
    </row>
    <row r="121" spans="1:100" s="43" customFormat="1">
      <c r="A121" s="56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69"/>
      <c r="O121" s="69"/>
      <c r="P121" s="69"/>
      <c r="Q121" s="35"/>
      <c r="R121" s="35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CS121" s="69"/>
      <c r="CT121" s="69"/>
      <c r="CU121" s="69"/>
      <c r="CV121" s="69"/>
    </row>
    <row r="122" spans="1:100" s="43" customFormat="1">
      <c r="A122" s="56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69"/>
      <c r="O122" s="69"/>
      <c r="P122" s="69"/>
      <c r="Q122" s="35"/>
      <c r="R122" s="35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CS122" s="69"/>
      <c r="CT122" s="69"/>
      <c r="CU122" s="69"/>
      <c r="CV122" s="69"/>
    </row>
    <row r="123" spans="1:100" s="43" customFormat="1">
      <c r="A123" s="56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69"/>
      <c r="O123" s="69"/>
      <c r="P123" s="69"/>
      <c r="Q123" s="35"/>
      <c r="R123" s="35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CS123" s="69"/>
      <c r="CT123" s="69"/>
      <c r="CU123" s="69"/>
      <c r="CV123" s="69"/>
    </row>
    <row r="124" spans="1:100" s="43" customFormat="1">
      <c r="A124" s="56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69"/>
      <c r="O124" s="69"/>
      <c r="P124" s="69"/>
      <c r="Q124" s="35"/>
      <c r="R124" s="35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CS124" s="69"/>
      <c r="CT124" s="69"/>
      <c r="CU124" s="69"/>
      <c r="CV124" s="69"/>
    </row>
    <row r="125" spans="1:100" s="43" customFormat="1">
      <c r="A125" s="56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69"/>
      <c r="O125" s="69"/>
      <c r="P125" s="69"/>
      <c r="Q125" s="35"/>
      <c r="R125" s="35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CS125" s="69"/>
      <c r="CT125" s="69"/>
      <c r="CU125" s="69"/>
      <c r="CV125" s="69"/>
    </row>
    <row r="126" spans="1:100" s="43" customFormat="1">
      <c r="A126" s="56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69"/>
      <c r="O126" s="69"/>
      <c r="P126" s="69"/>
      <c r="Q126" s="35"/>
      <c r="R126" s="35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CS126" s="69"/>
      <c r="CT126" s="69"/>
      <c r="CU126" s="69"/>
      <c r="CV126" s="69"/>
    </row>
    <row r="127" spans="1:100" s="43" customFormat="1">
      <c r="A127" s="56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69"/>
      <c r="O127" s="69"/>
      <c r="P127" s="69"/>
      <c r="Q127" s="35"/>
      <c r="R127" s="35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CS127" s="69"/>
      <c r="CT127" s="69"/>
      <c r="CU127" s="69"/>
      <c r="CV127" s="69"/>
    </row>
    <row r="128" spans="1:100" s="43" customFormat="1">
      <c r="A128" s="56"/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69"/>
      <c r="O128" s="69"/>
      <c r="P128" s="69"/>
      <c r="Q128" s="35"/>
      <c r="R128" s="35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CS128" s="69"/>
      <c r="CT128" s="69"/>
      <c r="CU128" s="69"/>
      <c r="CV128" s="69"/>
    </row>
  </sheetData>
  <mergeCells count="39">
    <mergeCell ref="N3:O3"/>
    <mergeCell ref="A14:A17"/>
    <mergeCell ref="B14:C14"/>
    <mergeCell ref="D14:E14"/>
    <mergeCell ref="F14:G14"/>
    <mergeCell ref="H14:I14"/>
    <mergeCell ref="J14:K14"/>
    <mergeCell ref="L14:M14"/>
    <mergeCell ref="N14:O14"/>
    <mergeCell ref="B3:C3"/>
    <mergeCell ref="D3:E3"/>
    <mergeCell ref="F3:G3"/>
    <mergeCell ref="H3:I3"/>
    <mergeCell ref="J3:K3"/>
    <mergeCell ref="L3:M3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</mergeCells>
  <pageMargins left="0.7" right="0.7" top="0.75" bottom="0.75" header="0.3" footer="0.3"/>
  <pageSetup paperSize="8" scale="32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X77"/>
  <sheetViews>
    <sheetView tabSelected="1" topLeftCell="H1" workbookViewId="0">
      <selection activeCell="N15" sqref="N15"/>
    </sheetView>
  </sheetViews>
  <sheetFormatPr defaultRowHeight="15"/>
  <cols>
    <col min="1" max="1" width="24.85546875" style="32" bestFit="1" customWidth="1"/>
    <col min="2" max="4" width="9.140625" style="32"/>
    <col min="6" max="6" width="25.7109375" bestFit="1" customWidth="1"/>
    <col min="7" max="7" width="7.85546875" bestFit="1" customWidth="1"/>
    <col min="8" max="8" width="9.85546875" bestFit="1" customWidth="1"/>
    <col min="9" max="9" width="10" bestFit="1" customWidth="1"/>
    <col min="13" max="14" width="10" bestFit="1" customWidth="1"/>
    <col min="17" max="17" width="25.7109375" bestFit="1" customWidth="1"/>
    <col min="18" max="18" width="7.85546875" bestFit="1" customWidth="1"/>
    <col min="19" max="19" width="9.85546875" bestFit="1" customWidth="1"/>
    <col min="20" max="20" width="10" bestFit="1" customWidth="1"/>
    <col min="22" max="22" width="35.140625" bestFit="1" customWidth="1"/>
    <col min="23" max="23" width="6.140625" bestFit="1" customWidth="1"/>
    <col min="24" max="24" width="6" bestFit="1" customWidth="1"/>
  </cols>
  <sheetData>
    <row r="1" spans="1:24">
      <c r="E1" s="115" t="s">
        <v>203</v>
      </c>
      <c r="K1" s="115" t="s">
        <v>204</v>
      </c>
      <c r="V1" s="115" t="s">
        <v>205</v>
      </c>
    </row>
    <row r="2" spans="1:24" ht="18">
      <c r="A2" s="38" t="s">
        <v>44</v>
      </c>
      <c r="B2" s="38" t="s">
        <v>1</v>
      </c>
      <c r="C2" s="38" t="s">
        <v>0</v>
      </c>
      <c r="E2" s="109" t="s">
        <v>9</v>
      </c>
      <c r="F2" s="109"/>
      <c r="G2" s="109"/>
      <c r="H2" s="107" t="s">
        <v>8</v>
      </c>
      <c r="I2" s="107"/>
      <c r="K2" s="10" t="s">
        <v>10</v>
      </c>
      <c r="L2" s="10" t="s">
        <v>12</v>
      </c>
      <c r="M2" s="111" t="s">
        <v>13</v>
      </c>
      <c r="N2" s="107"/>
      <c r="P2" s="109" t="s">
        <v>9</v>
      </c>
      <c r="Q2" s="109"/>
      <c r="R2" s="109"/>
      <c r="S2" s="107" t="s">
        <v>8</v>
      </c>
      <c r="T2" s="107"/>
      <c r="V2" s="109" t="s">
        <v>14</v>
      </c>
      <c r="W2" s="109"/>
      <c r="X2" s="40" t="s">
        <v>17</v>
      </c>
    </row>
    <row r="3" spans="1:24">
      <c r="A3" s="58" t="s">
        <v>36</v>
      </c>
      <c r="B3" s="58"/>
      <c r="C3" s="58"/>
      <c r="D3" s="34"/>
      <c r="E3" s="109"/>
      <c r="F3" s="109"/>
      <c r="G3" s="109"/>
      <c r="H3" s="6" t="s">
        <v>47</v>
      </c>
      <c r="I3" s="6" t="s">
        <v>48</v>
      </c>
      <c r="K3" s="11"/>
      <c r="L3" s="11" t="s">
        <v>11</v>
      </c>
      <c r="M3" s="12" t="s">
        <v>45</v>
      </c>
      <c r="N3" s="6" t="s">
        <v>46</v>
      </c>
      <c r="P3" s="109"/>
      <c r="Q3" s="109"/>
      <c r="R3" s="109"/>
      <c r="S3" s="59" t="s">
        <v>47</v>
      </c>
      <c r="T3" s="59" t="s">
        <v>48</v>
      </c>
      <c r="V3" s="7" t="s">
        <v>16</v>
      </c>
      <c r="W3" s="9" t="s">
        <v>19</v>
      </c>
      <c r="X3" s="8">
        <v>1</v>
      </c>
    </row>
    <row r="4" spans="1:24">
      <c r="A4" s="35">
        <v>15</v>
      </c>
      <c r="B4" s="35" t="s">
        <v>38</v>
      </c>
      <c r="C4" s="27">
        <v>0.7</v>
      </c>
      <c r="D4" s="22">
        <f>0.1*EXP(0.13*A4)</f>
        <v>0.70286875805892945</v>
      </c>
      <c r="E4" s="108" t="s">
        <v>2</v>
      </c>
      <c r="F4" s="7" t="s">
        <v>57</v>
      </c>
      <c r="G4" s="7" t="s">
        <v>4</v>
      </c>
      <c r="H4" s="8">
        <v>1.1000000000000001</v>
      </c>
      <c r="I4" s="9">
        <v>1.3</v>
      </c>
      <c r="K4" s="9" t="s">
        <v>57</v>
      </c>
      <c r="L4" s="13" t="s">
        <v>93</v>
      </c>
      <c r="M4" s="9">
        <v>0.7</v>
      </c>
      <c r="N4" s="8">
        <v>1</v>
      </c>
      <c r="P4" s="108" t="s">
        <v>2</v>
      </c>
      <c r="Q4" s="7" t="s">
        <v>57</v>
      </c>
      <c r="R4" s="9" t="s">
        <v>4</v>
      </c>
      <c r="S4" s="8">
        <v>1.1000000000000001</v>
      </c>
      <c r="T4" s="9">
        <v>1.3</v>
      </c>
      <c r="V4" s="7" t="s">
        <v>15</v>
      </c>
      <c r="W4" s="9" t="s">
        <v>20</v>
      </c>
      <c r="X4" s="9">
        <v>0.6</v>
      </c>
    </row>
    <row r="5" spans="1:24">
      <c r="A5" s="35">
        <v>17</v>
      </c>
      <c r="B5" s="35" t="s">
        <v>39</v>
      </c>
      <c r="C5" s="27">
        <v>0.9</v>
      </c>
      <c r="D5" s="22">
        <f t="shared" ref="D5:D10" si="0">0.1*EXP(0.13*A5)</f>
        <v>0.91157163930403051</v>
      </c>
      <c r="E5" s="108"/>
      <c r="F5" s="7" t="s">
        <v>58</v>
      </c>
      <c r="G5" s="7" t="s">
        <v>5</v>
      </c>
      <c r="H5" s="8">
        <v>1.7</v>
      </c>
      <c r="I5" s="9">
        <v>5.2</v>
      </c>
      <c r="K5" s="9" t="s">
        <v>58</v>
      </c>
      <c r="L5" s="13" t="s">
        <v>92</v>
      </c>
      <c r="M5" s="9">
        <v>0.8</v>
      </c>
      <c r="N5" s="8">
        <v>1</v>
      </c>
      <c r="P5" s="108"/>
      <c r="Q5" s="7" t="s">
        <v>58</v>
      </c>
      <c r="R5" s="9" t="s">
        <v>5</v>
      </c>
      <c r="S5" s="8">
        <v>1.7</v>
      </c>
      <c r="T5" s="9">
        <v>5.2</v>
      </c>
      <c r="V5" s="115" t="s">
        <v>206</v>
      </c>
    </row>
    <row r="6" spans="1:24" ht="18">
      <c r="A6" s="35">
        <v>19</v>
      </c>
      <c r="B6" s="35" t="s">
        <v>40</v>
      </c>
      <c r="C6" s="27">
        <v>1.2</v>
      </c>
      <c r="D6" s="22">
        <f t="shared" si="0"/>
        <v>1.1822446851646364</v>
      </c>
      <c r="E6" s="108"/>
      <c r="F6" s="7" t="s">
        <v>59</v>
      </c>
      <c r="G6" s="7" t="s">
        <v>6</v>
      </c>
      <c r="H6" s="8">
        <v>3.4</v>
      </c>
      <c r="I6" s="9">
        <v>8.8000000000000007</v>
      </c>
      <c r="K6" s="9" t="s">
        <v>59</v>
      </c>
      <c r="L6" s="13" t="s">
        <v>94</v>
      </c>
      <c r="M6" s="8">
        <v>1</v>
      </c>
      <c r="N6" s="8">
        <v>1</v>
      </c>
      <c r="P6" s="108"/>
      <c r="Q6" s="7" t="s">
        <v>59</v>
      </c>
      <c r="R6" s="9" t="s">
        <v>6</v>
      </c>
      <c r="S6" s="8">
        <v>3.4</v>
      </c>
      <c r="T6" s="9">
        <v>8.8000000000000007</v>
      </c>
      <c r="V6" s="112" t="s">
        <v>21</v>
      </c>
      <c r="W6" s="113"/>
      <c r="X6" s="39" t="s">
        <v>26</v>
      </c>
    </row>
    <row r="7" spans="1:24">
      <c r="A7" s="35">
        <v>21</v>
      </c>
      <c r="B7" s="35" t="s">
        <v>41</v>
      </c>
      <c r="C7" s="27">
        <v>1.6</v>
      </c>
      <c r="D7" s="22">
        <f t="shared" si="0"/>
        <v>1.5332887019907195</v>
      </c>
      <c r="E7" s="108"/>
      <c r="F7" s="7" t="s">
        <v>60</v>
      </c>
      <c r="G7" s="7" t="s">
        <v>7</v>
      </c>
      <c r="H7" s="8">
        <v>17</v>
      </c>
      <c r="I7" s="8">
        <v>25</v>
      </c>
      <c r="P7" s="108"/>
      <c r="Q7" s="7" t="s">
        <v>60</v>
      </c>
      <c r="R7" s="9" t="s">
        <v>7</v>
      </c>
      <c r="S7" s="8">
        <v>17</v>
      </c>
      <c r="T7" s="8">
        <v>25</v>
      </c>
      <c r="V7" s="7" t="s">
        <v>22</v>
      </c>
      <c r="W7" s="9" t="s">
        <v>24</v>
      </c>
      <c r="X7" s="9">
        <v>0.5</v>
      </c>
    </row>
    <row r="8" spans="1:24">
      <c r="A8" s="35">
        <v>23</v>
      </c>
      <c r="B8" s="35" t="s">
        <v>37</v>
      </c>
      <c r="C8" s="27">
        <v>2</v>
      </c>
      <c r="D8" s="22">
        <f t="shared" si="0"/>
        <v>1.9885682491564731</v>
      </c>
      <c r="E8" s="108" t="s">
        <v>49</v>
      </c>
      <c r="F8" s="7" t="s">
        <v>61</v>
      </c>
      <c r="G8" s="7" t="s">
        <v>62</v>
      </c>
      <c r="H8" s="8">
        <v>40</v>
      </c>
      <c r="I8" s="8">
        <v>40</v>
      </c>
      <c r="P8" s="108" t="s">
        <v>49</v>
      </c>
      <c r="Q8" s="7" t="s">
        <v>61</v>
      </c>
      <c r="R8" s="9" t="s">
        <v>62</v>
      </c>
      <c r="S8" s="8">
        <v>40</v>
      </c>
      <c r="T8" s="8">
        <v>40</v>
      </c>
      <c r="V8" s="7" t="s">
        <v>23</v>
      </c>
      <c r="W8" s="9" t="s">
        <v>25</v>
      </c>
      <c r="X8" s="8">
        <v>1</v>
      </c>
    </row>
    <row r="9" spans="1:24">
      <c r="A9" s="35">
        <v>28</v>
      </c>
      <c r="B9" s="35" t="s">
        <v>42</v>
      </c>
      <c r="C9" s="27">
        <v>3</v>
      </c>
      <c r="D9" s="22">
        <f t="shared" si="0"/>
        <v>3.809183672539902</v>
      </c>
      <c r="E9" s="108"/>
      <c r="F9" s="7" t="s">
        <v>50</v>
      </c>
      <c r="G9" s="7" t="s">
        <v>63</v>
      </c>
      <c r="H9" s="8">
        <v>1.7</v>
      </c>
      <c r="I9" s="8">
        <v>1.7</v>
      </c>
      <c r="P9" s="108"/>
      <c r="Q9" s="7" t="s">
        <v>50</v>
      </c>
      <c r="R9" s="9" t="s">
        <v>63</v>
      </c>
      <c r="S9" s="8">
        <v>1.7</v>
      </c>
      <c r="T9" s="8">
        <v>1.7</v>
      </c>
      <c r="V9" s="115" t="s">
        <v>207</v>
      </c>
    </row>
    <row r="10" spans="1:24" ht="18">
      <c r="A10" s="35">
        <v>28</v>
      </c>
      <c r="B10" s="35" t="s">
        <v>43</v>
      </c>
      <c r="C10" s="27">
        <v>3.8</v>
      </c>
      <c r="D10" s="22">
        <f t="shared" si="0"/>
        <v>3.809183672539902</v>
      </c>
      <c r="E10" s="108"/>
      <c r="F10" s="7" t="s">
        <v>51</v>
      </c>
      <c r="G10" s="7" t="s">
        <v>64</v>
      </c>
      <c r="H10" s="8">
        <v>1</v>
      </c>
      <c r="I10" s="8">
        <v>1</v>
      </c>
      <c r="P10" s="108"/>
      <c r="Q10" s="7" t="s">
        <v>51</v>
      </c>
      <c r="R10" s="9" t="s">
        <v>64</v>
      </c>
      <c r="S10" s="8">
        <v>1</v>
      </c>
      <c r="T10" s="8">
        <v>1</v>
      </c>
      <c r="V10" s="109" t="s">
        <v>28</v>
      </c>
      <c r="W10" s="109"/>
      <c r="X10" s="40" t="s">
        <v>32</v>
      </c>
    </row>
    <row r="11" spans="1:24">
      <c r="E11" s="108"/>
      <c r="F11" s="7" t="s">
        <v>52</v>
      </c>
      <c r="G11" s="7" t="s">
        <v>65</v>
      </c>
      <c r="H11" s="8">
        <v>4.7</v>
      </c>
      <c r="I11" s="8">
        <v>4.7</v>
      </c>
      <c r="P11" s="108"/>
      <c r="Q11" s="7" t="s">
        <v>52</v>
      </c>
      <c r="R11" s="9" t="s">
        <v>65</v>
      </c>
      <c r="S11" s="8">
        <v>4.7</v>
      </c>
      <c r="T11" s="8">
        <v>4.7</v>
      </c>
      <c r="V11" s="7" t="s">
        <v>29</v>
      </c>
      <c r="W11" s="62" t="s">
        <v>30</v>
      </c>
      <c r="X11" s="63">
        <v>2</v>
      </c>
    </row>
    <row r="12" spans="1:24">
      <c r="E12" s="108"/>
      <c r="F12" s="7" t="s">
        <v>53</v>
      </c>
      <c r="G12" s="7" t="s">
        <v>66</v>
      </c>
      <c r="H12" s="8">
        <v>3</v>
      </c>
      <c r="I12" s="8">
        <v>3</v>
      </c>
      <c r="P12" s="108"/>
      <c r="Q12" s="7" t="s">
        <v>53</v>
      </c>
      <c r="R12" s="9" t="s">
        <v>66</v>
      </c>
      <c r="S12" s="8">
        <v>3</v>
      </c>
      <c r="T12" s="8">
        <v>3</v>
      </c>
      <c r="V12" s="7" t="s">
        <v>23</v>
      </c>
      <c r="W12" s="62" t="s">
        <v>31</v>
      </c>
      <c r="X12" s="63">
        <v>1</v>
      </c>
    </row>
    <row r="13" spans="1:24">
      <c r="E13" s="108"/>
      <c r="F13" s="7" t="s">
        <v>54</v>
      </c>
      <c r="G13" s="7" t="s">
        <v>67</v>
      </c>
      <c r="H13" s="8">
        <v>1.8</v>
      </c>
      <c r="I13" s="8">
        <v>1.8</v>
      </c>
      <c r="P13" s="108"/>
      <c r="Q13" s="7" t="s">
        <v>54</v>
      </c>
      <c r="R13" s="9" t="s">
        <v>67</v>
      </c>
      <c r="S13" s="8">
        <v>1.8</v>
      </c>
      <c r="T13" s="8">
        <v>1.8</v>
      </c>
      <c r="V13" s="115" t="s">
        <v>208</v>
      </c>
    </row>
    <row r="14" spans="1:24" ht="18">
      <c r="E14" s="108"/>
      <c r="F14" s="7" t="s">
        <v>55</v>
      </c>
      <c r="G14" s="7" t="s">
        <v>68</v>
      </c>
      <c r="H14" s="8">
        <v>1</v>
      </c>
      <c r="I14" s="8">
        <v>1</v>
      </c>
      <c r="P14" s="108"/>
      <c r="Q14" s="7" t="s">
        <v>55</v>
      </c>
      <c r="R14" s="9" t="s">
        <v>68</v>
      </c>
      <c r="S14" s="8">
        <v>1</v>
      </c>
      <c r="T14" s="8">
        <v>1</v>
      </c>
      <c r="V14" s="109" t="s">
        <v>83</v>
      </c>
      <c r="W14" s="109"/>
      <c r="X14" s="40" t="s">
        <v>82</v>
      </c>
    </row>
    <row r="15" spans="1:24">
      <c r="E15" s="108"/>
      <c r="F15" s="7" t="s">
        <v>3</v>
      </c>
      <c r="G15" s="7" t="s">
        <v>69</v>
      </c>
      <c r="H15" s="8">
        <v>0.9</v>
      </c>
      <c r="I15" s="8">
        <v>0.9</v>
      </c>
      <c r="P15" s="108"/>
      <c r="Q15" s="7" t="s">
        <v>3</v>
      </c>
      <c r="R15" s="9" t="s">
        <v>69</v>
      </c>
      <c r="S15" s="8">
        <v>0.9</v>
      </c>
      <c r="T15" s="8">
        <v>0.9</v>
      </c>
      <c r="V15" s="7" t="s">
        <v>84</v>
      </c>
      <c r="W15" s="9" t="s">
        <v>86</v>
      </c>
      <c r="X15" s="8">
        <v>2</v>
      </c>
    </row>
    <row r="16" spans="1:24">
      <c r="E16" s="108" t="s">
        <v>56</v>
      </c>
      <c r="F16" s="7" t="s">
        <v>61</v>
      </c>
      <c r="G16" s="7" t="s">
        <v>70</v>
      </c>
      <c r="H16" s="8">
        <v>25</v>
      </c>
      <c r="I16" s="8">
        <v>25</v>
      </c>
      <c r="P16" s="108" t="s">
        <v>56</v>
      </c>
      <c r="Q16" s="7" t="s">
        <v>61</v>
      </c>
      <c r="R16" s="9" t="s">
        <v>70</v>
      </c>
      <c r="S16" s="8">
        <v>25</v>
      </c>
      <c r="T16" s="8">
        <v>25</v>
      </c>
      <c r="V16" s="7" t="s">
        <v>85</v>
      </c>
      <c r="W16" s="9" t="s">
        <v>88</v>
      </c>
      <c r="X16" s="8">
        <v>1</v>
      </c>
    </row>
    <row r="17" spans="5:24">
      <c r="E17" s="108"/>
      <c r="F17" s="7" t="s">
        <v>77</v>
      </c>
      <c r="G17" s="7" t="s">
        <v>71</v>
      </c>
      <c r="H17" s="8">
        <v>0.8</v>
      </c>
      <c r="I17" s="8">
        <v>0.8</v>
      </c>
      <c r="P17" s="108"/>
      <c r="Q17" s="7" t="s">
        <v>77</v>
      </c>
      <c r="R17" s="9" t="s">
        <v>71</v>
      </c>
      <c r="S17" s="8">
        <v>0.8</v>
      </c>
      <c r="T17" s="8">
        <v>0.8</v>
      </c>
      <c r="V17" s="7" t="s">
        <v>23</v>
      </c>
      <c r="W17" s="9" t="s">
        <v>87</v>
      </c>
      <c r="X17" s="8">
        <v>1</v>
      </c>
    </row>
    <row r="18" spans="5:24">
      <c r="E18" s="108"/>
      <c r="F18" s="7" t="s">
        <v>78</v>
      </c>
      <c r="G18" s="7" t="s">
        <v>72</v>
      </c>
      <c r="H18" s="8">
        <v>0.6</v>
      </c>
      <c r="I18" s="8">
        <v>0.6</v>
      </c>
      <c r="P18" s="108"/>
      <c r="Q18" s="7" t="s">
        <v>78</v>
      </c>
      <c r="R18" s="9" t="s">
        <v>72</v>
      </c>
      <c r="S18" s="8">
        <v>0.6</v>
      </c>
      <c r="T18" s="8">
        <v>0.6</v>
      </c>
    </row>
    <row r="19" spans="5:24">
      <c r="E19" s="108"/>
      <c r="F19" s="7" t="s">
        <v>79</v>
      </c>
      <c r="G19" s="7" t="s">
        <v>74</v>
      </c>
      <c r="H19" s="8">
        <v>3.2</v>
      </c>
      <c r="I19" s="8">
        <v>3.2</v>
      </c>
      <c r="P19" s="108"/>
      <c r="Q19" s="7" t="s">
        <v>79</v>
      </c>
      <c r="R19" s="9" t="s">
        <v>74</v>
      </c>
      <c r="S19" s="8">
        <v>3.2</v>
      </c>
      <c r="T19" s="8">
        <v>3.2</v>
      </c>
    </row>
    <row r="20" spans="5:24">
      <c r="E20" s="108"/>
      <c r="F20" s="7" t="s">
        <v>80</v>
      </c>
      <c r="G20" s="7" t="s">
        <v>73</v>
      </c>
      <c r="H20" s="8">
        <v>1.8</v>
      </c>
      <c r="I20" s="8">
        <v>1.8</v>
      </c>
      <c r="P20" s="108"/>
      <c r="Q20" s="7" t="s">
        <v>80</v>
      </c>
      <c r="R20" s="9" t="s">
        <v>73</v>
      </c>
      <c r="S20" s="8">
        <v>1.8</v>
      </c>
      <c r="T20" s="8">
        <v>1.8</v>
      </c>
    </row>
    <row r="21" spans="5:24">
      <c r="E21" s="108"/>
      <c r="F21" s="7" t="s">
        <v>81</v>
      </c>
      <c r="G21" s="7" t="s">
        <v>75</v>
      </c>
      <c r="H21" s="8">
        <v>1.1000000000000001</v>
      </c>
      <c r="I21" s="8">
        <v>1.1000000000000001</v>
      </c>
      <c r="P21" s="108"/>
      <c r="Q21" s="7" t="s">
        <v>81</v>
      </c>
      <c r="R21" s="9" t="s">
        <v>75</v>
      </c>
      <c r="S21" s="8">
        <v>1.1000000000000001</v>
      </c>
      <c r="T21" s="8">
        <v>1.1000000000000001</v>
      </c>
    </row>
    <row r="22" spans="5:24">
      <c r="E22" s="108"/>
      <c r="F22" s="7" t="s">
        <v>3</v>
      </c>
      <c r="G22" s="7" t="s">
        <v>76</v>
      </c>
      <c r="H22" s="8">
        <v>0.5</v>
      </c>
      <c r="I22" s="8">
        <v>0.5</v>
      </c>
      <c r="P22" s="108"/>
      <c r="Q22" s="7" t="s">
        <v>3</v>
      </c>
      <c r="R22" s="9" t="s">
        <v>76</v>
      </c>
      <c r="S22" s="8">
        <v>0.5</v>
      </c>
      <c r="T22" s="8">
        <v>0.5</v>
      </c>
    </row>
    <row r="23" spans="5:24">
      <c r="K23" s="32"/>
      <c r="Q23" t="s">
        <v>97</v>
      </c>
      <c r="S23" s="1"/>
    </row>
    <row r="24" spans="5:24">
      <c r="K24" s="34"/>
    </row>
    <row r="25" spans="5:24">
      <c r="K25" s="32"/>
    </row>
    <row r="26" spans="5:24">
      <c r="K26" s="32"/>
    </row>
    <row r="27" spans="5:24">
      <c r="E27" t="s">
        <v>34</v>
      </c>
      <c r="F27" t="s">
        <v>35</v>
      </c>
      <c r="K27" s="32"/>
    </row>
    <row r="28" spans="5:24" ht="18">
      <c r="E28" t="s">
        <v>111</v>
      </c>
      <c r="F28" t="s">
        <v>112</v>
      </c>
      <c r="K28" s="32"/>
    </row>
    <row r="29" spans="5:24">
      <c r="E29" s="4" t="s">
        <v>110</v>
      </c>
      <c r="F29" t="s">
        <v>119</v>
      </c>
      <c r="K29" s="32"/>
    </row>
    <row r="30" spans="5:24" ht="18">
      <c r="E30" s="2" t="s">
        <v>105</v>
      </c>
      <c r="F30" t="s">
        <v>114</v>
      </c>
      <c r="K30" s="32"/>
    </row>
    <row r="31" spans="5:24" ht="18">
      <c r="E31" s="2" t="s">
        <v>115</v>
      </c>
      <c r="F31" t="s">
        <v>118</v>
      </c>
      <c r="K31" s="32"/>
    </row>
    <row r="32" spans="5:24" ht="18">
      <c r="E32" s="2" t="s">
        <v>116</v>
      </c>
      <c r="F32" t="s">
        <v>117</v>
      </c>
      <c r="K32" s="32"/>
      <c r="L32" s="32"/>
      <c r="M32" s="32"/>
      <c r="N32" s="32"/>
      <c r="O32" s="32"/>
    </row>
    <row r="48" spans="16:20">
      <c r="P48" s="61"/>
      <c r="Q48" s="61"/>
      <c r="R48" s="61"/>
      <c r="S48" s="114"/>
      <c r="T48" s="114"/>
    </row>
    <row r="49" spans="11:20">
      <c r="P49" s="61"/>
      <c r="Q49" s="61"/>
      <c r="R49" s="61"/>
      <c r="S49" s="32"/>
      <c r="T49" s="32"/>
    </row>
    <row r="50" spans="11:20">
      <c r="P50" s="61"/>
      <c r="Q50" s="32"/>
      <c r="R50" s="32"/>
      <c r="S50" s="32"/>
      <c r="T50" s="32"/>
    </row>
    <row r="51" spans="11:20">
      <c r="P51" s="61"/>
      <c r="Q51" s="32"/>
      <c r="R51" s="32"/>
      <c r="S51" s="32"/>
      <c r="T51" s="32"/>
    </row>
    <row r="52" spans="11:20">
      <c r="P52" s="61"/>
      <c r="Q52" s="32"/>
      <c r="R52" s="32"/>
      <c r="S52" s="32"/>
      <c r="T52" s="32"/>
    </row>
    <row r="53" spans="11:20">
      <c r="P53" s="61"/>
      <c r="Q53" s="32"/>
      <c r="R53" s="32"/>
      <c r="S53" s="32"/>
      <c r="T53" s="32"/>
    </row>
    <row r="54" spans="11:20">
      <c r="P54" s="61"/>
      <c r="Q54" s="32"/>
      <c r="R54" s="32"/>
      <c r="S54" s="32"/>
      <c r="T54" s="32"/>
    </row>
    <row r="55" spans="11:20">
      <c r="K55" s="32"/>
      <c r="L55" s="32"/>
      <c r="M55" s="32"/>
      <c r="N55" s="32"/>
      <c r="O55" s="32"/>
      <c r="P55" s="61"/>
      <c r="Q55" s="32"/>
      <c r="R55" s="32"/>
      <c r="S55" s="32"/>
      <c r="T55" s="32"/>
    </row>
    <row r="56" spans="11:20" ht="18">
      <c r="K56" s="32"/>
      <c r="L56" s="33" t="s">
        <v>10</v>
      </c>
      <c r="M56" s="33" t="s">
        <v>12</v>
      </c>
      <c r="N56" s="110" t="s">
        <v>13</v>
      </c>
      <c r="O56" s="110"/>
      <c r="P56" s="61"/>
      <c r="Q56" s="32"/>
      <c r="R56" s="32"/>
      <c r="S56" s="32"/>
      <c r="T56" s="32"/>
    </row>
    <row r="57" spans="11:20">
      <c r="K57" s="32"/>
      <c r="L57" s="32"/>
      <c r="M57" s="32" t="s">
        <v>11</v>
      </c>
      <c r="N57" s="32" t="s">
        <v>45</v>
      </c>
      <c r="O57" s="32" t="s">
        <v>46</v>
      </c>
      <c r="P57" s="61"/>
      <c r="Q57" s="32"/>
      <c r="R57" s="32"/>
      <c r="S57" s="32"/>
      <c r="T57" s="32"/>
    </row>
    <row r="58" spans="11:20">
      <c r="K58" s="32"/>
      <c r="L58" s="32" t="s">
        <v>57</v>
      </c>
      <c r="M58" s="3" t="s">
        <v>93</v>
      </c>
      <c r="N58" s="32">
        <v>0.7</v>
      </c>
      <c r="O58" s="22">
        <v>1</v>
      </c>
      <c r="P58" s="61"/>
      <c r="Q58" s="32"/>
      <c r="R58" s="32"/>
      <c r="S58" s="32"/>
      <c r="T58" s="32"/>
    </row>
    <row r="59" spans="11:20">
      <c r="K59" s="32"/>
      <c r="L59" s="32" t="s">
        <v>58</v>
      </c>
      <c r="M59" s="3" t="s">
        <v>92</v>
      </c>
      <c r="N59" s="32">
        <v>0.8</v>
      </c>
      <c r="O59" s="22">
        <v>1</v>
      </c>
      <c r="P59" s="61"/>
      <c r="Q59" s="32"/>
      <c r="R59" s="32"/>
      <c r="S59" s="32"/>
      <c r="T59" s="32"/>
    </row>
    <row r="60" spans="11:20">
      <c r="K60" s="32"/>
      <c r="L60" s="32" t="s">
        <v>59</v>
      </c>
      <c r="M60" s="3" t="s">
        <v>94</v>
      </c>
      <c r="N60" s="22">
        <v>1</v>
      </c>
      <c r="O60" s="22">
        <v>1</v>
      </c>
      <c r="P60" s="61"/>
      <c r="Q60" s="32"/>
      <c r="R60" s="32"/>
      <c r="S60" s="32"/>
      <c r="T60" s="32"/>
    </row>
    <row r="61" spans="11:20">
      <c r="K61" s="32"/>
      <c r="L61" s="32"/>
      <c r="M61" s="32"/>
      <c r="N61" s="32"/>
      <c r="O61" s="32"/>
      <c r="P61" s="61"/>
      <c r="Q61" s="32"/>
      <c r="R61" s="32"/>
      <c r="S61" s="32"/>
      <c r="T61" s="32"/>
    </row>
    <row r="62" spans="11:20" ht="18">
      <c r="K62" s="32"/>
      <c r="L62" s="33" t="s">
        <v>14</v>
      </c>
      <c r="M62" s="33"/>
      <c r="N62" s="33" t="s">
        <v>17</v>
      </c>
      <c r="O62" s="32"/>
      <c r="P62" s="61"/>
      <c r="Q62" s="32"/>
      <c r="R62" s="32"/>
      <c r="S62" s="32"/>
      <c r="T62" s="32"/>
    </row>
    <row r="63" spans="11:20">
      <c r="K63" s="32"/>
      <c r="L63" s="32" t="s">
        <v>16</v>
      </c>
      <c r="M63" s="32" t="s">
        <v>19</v>
      </c>
      <c r="N63" s="22">
        <v>1</v>
      </c>
      <c r="O63" s="32"/>
      <c r="P63" s="61"/>
      <c r="Q63" s="32"/>
      <c r="R63" s="32"/>
      <c r="S63" s="32"/>
      <c r="T63" s="32"/>
    </row>
    <row r="64" spans="11:20">
      <c r="K64" s="32"/>
      <c r="L64" s="32" t="s">
        <v>15</v>
      </c>
      <c r="M64" s="32" t="s">
        <v>20</v>
      </c>
      <c r="N64" s="32">
        <v>0.6</v>
      </c>
      <c r="O64" s="32"/>
      <c r="P64" s="61"/>
      <c r="Q64" s="32"/>
      <c r="R64" s="32"/>
      <c r="S64" s="32"/>
      <c r="T64" s="32"/>
    </row>
    <row r="65" spans="11:20">
      <c r="K65" s="32"/>
      <c r="L65" s="32"/>
      <c r="M65" s="32"/>
      <c r="N65" s="32"/>
      <c r="O65" s="32"/>
      <c r="P65" s="61"/>
      <c r="Q65" s="32"/>
      <c r="R65" s="32"/>
      <c r="S65" s="32"/>
      <c r="T65" s="32"/>
    </row>
    <row r="66" spans="11:20" ht="18">
      <c r="K66" s="32"/>
      <c r="L66" s="33" t="s">
        <v>21</v>
      </c>
      <c r="M66" s="33"/>
      <c r="N66" s="33" t="s">
        <v>26</v>
      </c>
      <c r="O66" s="32"/>
      <c r="P66" s="61"/>
      <c r="Q66" s="32"/>
      <c r="R66" s="32"/>
      <c r="S66" s="32"/>
      <c r="T66" s="32"/>
    </row>
    <row r="67" spans="11:20">
      <c r="K67" s="32"/>
      <c r="L67" s="32" t="s">
        <v>22</v>
      </c>
      <c r="M67" s="32" t="s">
        <v>24</v>
      </c>
      <c r="N67" s="32">
        <v>0.5</v>
      </c>
      <c r="O67" s="32"/>
      <c r="P67" s="61"/>
      <c r="Q67" s="32"/>
      <c r="R67" s="32"/>
      <c r="S67" s="32"/>
      <c r="T67" s="32"/>
    </row>
    <row r="68" spans="11:20">
      <c r="K68" s="32"/>
      <c r="L68" s="32" t="s">
        <v>23</v>
      </c>
      <c r="M68" s="32" t="s">
        <v>25</v>
      </c>
      <c r="N68" s="22">
        <v>1</v>
      </c>
      <c r="O68" s="32"/>
      <c r="P68" s="61"/>
      <c r="Q68" s="32"/>
      <c r="R68" s="32"/>
      <c r="S68" s="32"/>
      <c r="T68" s="32"/>
    </row>
    <row r="69" spans="11:20">
      <c r="K69" s="32"/>
      <c r="L69" s="32"/>
      <c r="M69" s="32"/>
      <c r="N69" s="32"/>
      <c r="O69" s="32"/>
      <c r="P69" s="32"/>
      <c r="Q69" s="32"/>
      <c r="R69" s="32"/>
      <c r="S69" s="32"/>
      <c r="T69" s="32"/>
    </row>
    <row r="70" spans="11:20" ht="18">
      <c r="K70" s="32"/>
      <c r="L70" s="33" t="s">
        <v>28</v>
      </c>
      <c r="M70" s="33"/>
      <c r="N70" s="33" t="s">
        <v>32</v>
      </c>
      <c r="O70" s="32"/>
    </row>
    <row r="71" spans="11:20">
      <c r="K71" s="32"/>
      <c r="L71" s="32" t="s">
        <v>29</v>
      </c>
      <c r="M71" s="32" t="s">
        <v>30</v>
      </c>
      <c r="N71" s="22">
        <v>2</v>
      </c>
      <c r="O71" s="32"/>
    </row>
    <row r="72" spans="11:20">
      <c r="K72" s="32"/>
      <c r="L72" s="32" t="s">
        <v>23</v>
      </c>
      <c r="M72" s="32" t="s">
        <v>31</v>
      </c>
      <c r="N72" s="22">
        <v>1</v>
      </c>
      <c r="O72" s="32"/>
    </row>
    <row r="73" spans="11:20">
      <c r="K73" s="32"/>
      <c r="L73" s="32"/>
      <c r="M73" s="32"/>
      <c r="N73" s="32"/>
      <c r="O73" s="32"/>
    </row>
    <row r="74" spans="11:20" ht="18">
      <c r="K74" s="32"/>
      <c r="L74" s="33" t="s">
        <v>83</v>
      </c>
      <c r="M74" s="33"/>
      <c r="N74" s="33" t="s">
        <v>82</v>
      </c>
      <c r="O74" s="32"/>
    </row>
    <row r="75" spans="11:20">
      <c r="K75" s="32"/>
      <c r="L75" s="32" t="s">
        <v>84</v>
      </c>
      <c r="M75" s="32" t="s">
        <v>86</v>
      </c>
      <c r="N75" s="22">
        <v>2</v>
      </c>
      <c r="O75" s="32"/>
    </row>
    <row r="76" spans="11:20">
      <c r="K76" s="32"/>
      <c r="L76" s="32" t="s">
        <v>85</v>
      </c>
      <c r="M76" s="32" t="s">
        <v>88</v>
      </c>
      <c r="N76" s="22">
        <v>1</v>
      </c>
      <c r="O76" s="32"/>
    </row>
    <row r="77" spans="11:20">
      <c r="K77" s="32"/>
      <c r="L77" s="32" t="s">
        <v>23</v>
      </c>
      <c r="M77" s="32" t="s">
        <v>87</v>
      </c>
      <c r="N77" s="22">
        <v>1</v>
      </c>
      <c r="O77" s="32"/>
    </row>
  </sheetData>
  <mergeCells count="17">
    <mergeCell ref="V2:W2"/>
    <mergeCell ref="V10:W10"/>
    <mergeCell ref="V6:W6"/>
    <mergeCell ref="V14:W14"/>
    <mergeCell ref="S48:T48"/>
    <mergeCell ref="N56:O56"/>
    <mergeCell ref="P4:P7"/>
    <mergeCell ref="P8:P15"/>
    <mergeCell ref="P16:P22"/>
    <mergeCell ref="S2:T2"/>
    <mergeCell ref="P2:R3"/>
    <mergeCell ref="M2:N2"/>
    <mergeCell ref="H2:I2"/>
    <mergeCell ref="E4:E7"/>
    <mergeCell ref="E8:E15"/>
    <mergeCell ref="E16:E22"/>
    <mergeCell ref="E2:G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/>
  <dimension ref="A1:O18"/>
  <sheetViews>
    <sheetView workbookViewId="0">
      <selection activeCell="D19" sqref="D19"/>
    </sheetView>
  </sheetViews>
  <sheetFormatPr defaultRowHeight="15"/>
  <cols>
    <col min="1" max="1" width="10.85546875" style="32" bestFit="1" customWidth="1"/>
    <col min="2" max="2" width="13.140625" style="32" bestFit="1" customWidth="1"/>
    <col min="3" max="3" width="24" style="32" customWidth="1"/>
    <col min="4" max="4" width="15.5703125" style="60" bestFit="1" customWidth="1"/>
    <col min="5" max="5" width="12.7109375" style="32" customWidth="1"/>
    <col min="6" max="6" width="14.28515625" style="32" bestFit="1" customWidth="1"/>
    <col min="7" max="7" width="9.140625" style="32"/>
    <col min="8" max="8" width="11.85546875" style="32" bestFit="1" customWidth="1"/>
    <col min="9" max="9" width="8.5703125" style="32" bestFit="1" customWidth="1"/>
    <col min="10" max="10" width="10.28515625" style="32" bestFit="1" customWidth="1"/>
    <col min="11" max="16384" width="9.140625" style="32"/>
  </cols>
  <sheetData>
    <row r="1" spans="1:15">
      <c r="A1" s="32" t="s">
        <v>152</v>
      </c>
      <c r="B1" s="32">
        <v>2012</v>
      </c>
    </row>
    <row r="3" spans="1:15" ht="18">
      <c r="B3" s="20" t="s">
        <v>129</v>
      </c>
      <c r="C3" s="64" t="s">
        <v>154</v>
      </c>
      <c r="D3" s="21" t="s">
        <v>163</v>
      </c>
      <c r="E3" s="20" t="s">
        <v>95</v>
      </c>
      <c r="F3" s="20" t="s">
        <v>96</v>
      </c>
      <c r="G3" s="21" t="s">
        <v>116</v>
      </c>
      <c r="H3" s="21" t="s">
        <v>105</v>
      </c>
      <c r="I3" s="21" t="s">
        <v>126</v>
      </c>
      <c r="J3" s="20" t="s">
        <v>27</v>
      </c>
      <c r="K3" s="20" t="s">
        <v>28</v>
      </c>
      <c r="L3" s="20" t="s">
        <v>89</v>
      </c>
      <c r="M3" s="20" t="s">
        <v>1</v>
      </c>
      <c r="N3" s="20" t="s">
        <v>18</v>
      </c>
    </row>
    <row r="4" spans="1:15">
      <c r="A4" s="23" t="s">
        <v>153</v>
      </c>
      <c r="B4" s="20"/>
      <c r="C4" s="64"/>
      <c r="D4" s="20"/>
      <c r="E4" s="20"/>
      <c r="F4" s="20"/>
      <c r="G4" s="20" t="s">
        <v>108</v>
      </c>
      <c r="H4" s="20" t="s">
        <v>108</v>
      </c>
      <c r="I4" s="20"/>
      <c r="J4" s="20"/>
      <c r="K4" s="20"/>
      <c r="L4" s="20"/>
      <c r="M4" s="20"/>
      <c r="N4" s="20"/>
    </row>
    <row r="5" spans="1:15">
      <c r="A5" s="32" t="s">
        <v>155</v>
      </c>
      <c r="B5" s="35">
        <v>2005</v>
      </c>
      <c r="C5" s="32" t="s">
        <v>157</v>
      </c>
      <c r="D5" s="35" t="s">
        <v>164</v>
      </c>
      <c r="E5" s="35" t="s">
        <v>4</v>
      </c>
      <c r="F5" s="35" t="s">
        <v>70</v>
      </c>
      <c r="G5" s="35">
        <v>400</v>
      </c>
      <c r="H5" s="35">
        <v>20</v>
      </c>
      <c r="I5" s="35">
        <v>200</v>
      </c>
      <c r="J5" s="35" t="s">
        <v>25</v>
      </c>
      <c r="K5" s="35" t="s">
        <v>31</v>
      </c>
      <c r="L5" s="35" t="s">
        <v>87</v>
      </c>
      <c r="M5" s="35" t="s">
        <v>37</v>
      </c>
      <c r="N5" s="35" t="s">
        <v>19</v>
      </c>
    </row>
    <row r="6" spans="1:15">
      <c r="A6" s="32" t="s">
        <v>156</v>
      </c>
      <c r="B6" s="35">
        <v>2006</v>
      </c>
      <c r="C6" s="32" t="s">
        <v>158</v>
      </c>
      <c r="D6" s="35" t="s">
        <v>166</v>
      </c>
      <c r="E6" s="35" t="s">
        <v>5</v>
      </c>
      <c r="F6" s="35" t="s">
        <v>70</v>
      </c>
      <c r="G6" s="35">
        <v>500</v>
      </c>
      <c r="H6" s="35">
        <v>20</v>
      </c>
      <c r="I6" s="35">
        <v>200</v>
      </c>
      <c r="J6" s="35" t="s">
        <v>159</v>
      </c>
      <c r="K6" s="35" t="s">
        <v>160</v>
      </c>
      <c r="L6" s="35" t="s">
        <v>161</v>
      </c>
      <c r="M6" s="35" t="s">
        <v>37</v>
      </c>
      <c r="N6" s="35" t="s">
        <v>20</v>
      </c>
    </row>
    <row r="12" spans="1:15">
      <c r="B12" s="35"/>
      <c r="D12" s="35"/>
      <c r="F12" s="27"/>
      <c r="G12" s="35"/>
      <c r="H12" s="35"/>
      <c r="I12" s="35"/>
      <c r="J12" s="35"/>
      <c r="K12" s="35"/>
      <c r="L12" s="35"/>
      <c r="M12" s="35"/>
      <c r="N12" s="35"/>
      <c r="O12" s="35"/>
    </row>
    <row r="13" spans="1:15">
      <c r="B13" s="35"/>
      <c r="D13" s="35"/>
      <c r="F13" s="27"/>
      <c r="G13" s="35"/>
      <c r="H13" s="35"/>
      <c r="I13" s="35"/>
      <c r="J13" s="35"/>
      <c r="K13" s="35"/>
      <c r="L13" s="35"/>
      <c r="M13" s="35"/>
      <c r="N13" s="35"/>
      <c r="O13" s="35"/>
    </row>
    <row r="14" spans="1:15">
      <c r="B14" s="35"/>
      <c r="D14" s="35"/>
      <c r="F14" s="27"/>
      <c r="G14" s="35"/>
      <c r="H14" s="35"/>
      <c r="I14" s="35"/>
      <c r="J14" s="35"/>
      <c r="K14" s="35"/>
      <c r="L14" s="35"/>
      <c r="M14" s="35"/>
      <c r="N14" s="35"/>
      <c r="O14" s="35"/>
    </row>
    <row r="15" spans="1:15">
      <c r="B15" s="35"/>
      <c r="D15" s="35"/>
      <c r="F15" s="27"/>
      <c r="G15" s="35"/>
      <c r="H15" s="35"/>
      <c r="I15" s="35"/>
      <c r="J15" s="35"/>
      <c r="K15" s="35"/>
      <c r="L15" s="35"/>
      <c r="M15" s="35"/>
      <c r="N15" s="35"/>
      <c r="O15" s="35"/>
    </row>
    <row r="16" spans="1:15">
      <c r="B16" s="35"/>
      <c r="D16" s="35"/>
      <c r="F16" s="27"/>
      <c r="G16" s="35"/>
      <c r="H16" s="35"/>
      <c r="I16" s="35"/>
      <c r="J16" s="35"/>
      <c r="K16" s="35"/>
      <c r="L16" s="35"/>
      <c r="M16" s="35"/>
      <c r="N16" s="35"/>
      <c r="O16" s="35"/>
    </row>
    <row r="17" spans="2:15">
      <c r="B17" s="35"/>
      <c r="D17" s="35"/>
      <c r="F17" s="27"/>
      <c r="G17" s="35"/>
      <c r="H17" s="35"/>
      <c r="I17" s="35"/>
      <c r="J17" s="35"/>
      <c r="K17" s="35"/>
      <c r="L17" s="35"/>
      <c r="M17" s="35"/>
      <c r="N17" s="35"/>
      <c r="O17" s="35"/>
    </row>
    <row r="18" spans="2:15">
      <c r="B18" s="35"/>
      <c r="D18" s="35"/>
      <c r="F18" s="27"/>
      <c r="G18" s="35"/>
      <c r="H18" s="35"/>
      <c r="I18" s="35"/>
      <c r="J18" s="35"/>
      <c r="K18" s="35"/>
      <c r="L18" s="35"/>
      <c r="M18" s="35"/>
      <c r="N18" s="35"/>
      <c r="O18" s="35"/>
    </row>
  </sheetData>
  <pageMargins left="0.7" right="0.7" top="0.75" bottom="0.75" header="0.3" footer="0.3"/>
  <pageSetup paperSize="9" orientation="landscape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BJ513"/>
  <sheetViews>
    <sheetView topLeftCell="Q6" zoomScale="85" zoomScaleNormal="85" workbookViewId="0">
      <pane ySplit="1725" activePane="bottomLeft"/>
      <selection activeCell="BJ7" sqref="BJ7:BJ513"/>
      <selection pane="bottomLeft" activeCell="AQ12" sqref="AQ12"/>
    </sheetView>
  </sheetViews>
  <sheetFormatPr defaultRowHeight="15"/>
  <cols>
    <col min="1" max="1" width="13.7109375" bestFit="1" customWidth="1"/>
    <col min="3" max="3" width="14.7109375" bestFit="1" customWidth="1"/>
    <col min="5" max="5" width="9.140625" style="32"/>
    <col min="6" max="6" width="17.7109375" style="32" bestFit="1" customWidth="1"/>
    <col min="7" max="7" width="13.140625" bestFit="1" customWidth="1"/>
    <col min="8" max="8" width="26.28515625" style="32" customWidth="1"/>
    <col min="9" max="9" width="18.140625" style="60" customWidth="1"/>
    <col min="20" max="26" width="9.140625" style="34"/>
    <col min="27" max="27" width="9.140625" style="93"/>
    <col min="28" max="38" width="9.140625" style="34"/>
    <col min="57" max="58" width="9.5703125" bestFit="1" customWidth="1"/>
    <col min="59" max="59" width="9.5703125" customWidth="1"/>
  </cols>
  <sheetData>
    <row r="1" spans="1:62" ht="18">
      <c r="BE1" t="s">
        <v>111</v>
      </c>
      <c r="BF1">
        <v>1.5</v>
      </c>
    </row>
    <row r="2" spans="1:62">
      <c r="BE2" s="4" t="s">
        <v>110</v>
      </c>
      <c r="BF2">
        <v>0.8</v>
      </c>
      <c r="BG2" s="4"/>
    </row>
    <row r="3" spans="1:62" ht="18">
      <c r="BE3" t="s">
        <v>121</v>
      </c>
      <c r="BF3">
        <v>200</v>
      </c>
    </row>
    <row r="4" spans="1:62">
      <c r="B4" s="65" t="s">
        <v>162</v>
      </c>
      <c r="C4" s="7">
        <v>2012</v>
      </c>
    </row>
    <row r="5" spans="1:62">
      <c r="AA5" s="93" t="s">
        <v>201</v>
      </c>
    </row>
    <row r="6" spans="1:62">
      <c r="AO6" s="2"/>
    </row>
    <row r="7" spans="1:62" ht="18">
      <c r="B7" s="19" t="s">
        <v>130</v>
      </c>
      <c r="C7" s="19" t="s">
        <v>131</v>
      </c>
      <c r="D7" s="19" t="s">
        <v>90</v>
      </c>
      <c r="E7" s="19" t="s">
        <v>12</v>
      </c>
      <c r="F7" s="92" t="s">
        <v>144</v>
      </c>
      <c r="G7" s="20" t="s">
        <v>129</v>
      </c>
      <c r="H7" s="21" t="s">
        <v>154</v>
      </c>
      <c r="I7" s="21" t="s">
        <v>163</v>
      </c>
      <c r="J7" s="20" t="s">
        <v>95</v>
      </c>
      <c r="K7" s="20" t="s">
        <v>96</v>
      </c>
      <c r="L7" s="21" t="s">
        <v>116</v>
      </c>
      <c r="M7" s="21" t="s">
        <v>105</v>
      </c>
      <c r="N7" s="21" t="s">
        <v>126</v>
      </c>
      <c r="O7" s="20" t="s">
        <v>27</v>
      </c>
      <c r="P7" s="20" t="s">
        <v>28</v>
      </c>
      <c r="Q7" s="20" t="s">
        <v>89</v>
      </c>
      <c r="R7" s="20" t="s">
        <v>1</v>
      </c>
      <c r="S7" s="20" t="s">
        <v>18</v>
      </c>
      <c r="T7" s="94"/>
      <c r="U7" s="94"/>
      <c r="V7" s="94"/>
      <c r="W7" s="94"/>
      <c r="X7" s="94"/>
      <c r="Y7" s="94"/>
      <c r="Z7" s="94"/>
      <c r="AA7" s="98" t="s">
        <v>128</v>
      </c>
      <c r="AB7" s="99" t="s">
        <v>109</v>
      </c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66" t="s">
        <v>165</v>
      </c>
      <c r="AN7" s="18" t="s">
        <v>12</v>
      </c>
      <c r="AO7" s="18" t="s">
        <v>0</v>
      </c>
      <c r="AP7" s="18" t="s">
        <v>124</v>
      </c>
      <c r="AQ7" s="18" t="s">
        <v>125</v>
      </c>
      <c r="AR7" s="18" t="s">
        <v>13</v>
      </c>
      <c r="AS7" s="18" t="s">
        <v>17</v>
      </c>
      <c r="AT7" s="18" t="s">
        <v>26</v>
      </c>
      <c r="AU7" s="18" t="s">
        <v>32</v>
      </c>
      <c r="AV7" s="18" t="s">
        <v>82</v>
      </c>
      <c r="AW7" s="18" t="s">
        <v>98</v>
      </c>
      <c r="AX7" s="18" t="s">
        <v>99</v>
      </c>
      <c r="AY7" s="18" t="s">
        <v>33</v>
      </c>
      <c r="AZ7" s="18" t="s">
        <v>100</v>
      </c>
      <c r="BA7" s="18" t="s">
        <v>103</v>
      </c>
      <c r="BB7" s="18" t="s">
        <v>101</v>
      </c>
      <c r="BC7" s="18" t="s">
        <v>102</v>
      </c>
      <c r="BD7" s="18" t="s">
        <v>107</v>
      </c>
      <c r="BE7" s="18" t="s">
        <v>109</v>
      </c>
      <c r="BF7" s="18" t="s">
        <v>127</v>
      </c>
      <c r="BG7" s="18" t="s">
        <v>128</v>
      </c>
      <c r="BH7" s="18" t="s">
        <v>113</v>
      </c>
      <c r="BI7" s="18" t="s">
        <v>115</v>
      </c>
      <c r="BJ7" s="18" t="s">
        <v>120</v>
      </c>
    </row>
    <row r="8" spans="1:62">
      <c r="B8" s="19"/>
      <c r="C8" s="19"/>
      <c r="D8" s="19"/>
      <c r="E8" s="19" t="s">
        <v>122</v>
      </c>
      <c r="F8" s="19" t="s">
        <v>36</v>
      </c>
      <c r="G8" s="20"/>
      <c r="H8" s="20"/>
      <c r="I8" s="20"/>
      <c r="J8" s="20"/>
      <c r="K8" s="20"/>
      <c r="L8" s="20" t="s">
        <v>108</v>
      </c>
      <c r="M8" s="20" t="s">
        <v>108</v>
      </c>
      <c r="N8" s="20"/>
      <c r="O8" s="20"/>
      <c r="P8" s="20"/>
      <c r="Q8" s="20"/>
      <c r="R8" s="20"/>
      <c r="S8" s="20"/>
      <c r="T8" s="94"/>
      <c r="U8" s="94"/>
      <c r="V8" s="94"/>
      <c r="W8" s="94"/>
      <c r="X8" s="94"/>
      <c r="Y8" s="94"/>
      <c r="Z8" s="94"/>
      <c r="AA8" s="100"/>
      <c r="AB8" s="101" t="s">
        <v>108</v>
      </c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37" t="s">
        <v>106</v>
      </c>
      <c r="AN8" s="37" t="s">
        <v>11</v>
      </c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 t="s">
        <v>104</v>
      </c>
      <c r="BA8" s="37" t="s">
        <v>106</v>
      </c>
      <c r="BB8" s="37" t="s">
        <v>104</v>
      </c>
      <c r="BC8" s="37" t="s">
        <v>106</v>
      </c>
      <c r="BD8" s="37" t="s">
        <v>106</v>
      </c>
      <c r="BE8" s="37" t="s">
        <v>108</v>
      </c>
      <c r="BF8" s="37" t="s">
        <v>108</v>
      </c>
      <c r="BG8" s="37"/>
      <c r="BH8" s="37" t="s">
        <v>108</v>
      </c>
      <c r="BI8" s="37" t="s">
        <v>108</v>
      </c>
      <c r="BJ8" s="37" t="s">
        <v>106</v>
      </c>
    </row>
    <row r="9" spans="1:62" s="86" customFormat="1">
      <c r="A9" s="86" t="s">
        <v>168</v>
      </c>
      <c r="B9" s="86" t="str">
        <f>B10&amp;" "&amp;C10</f>
        <v>Base (Reference)</v>
      </c>
    </row>
    <row r="10" spans="1:62">
      <c r="B10" s="14" t="s">
        <v>134</v>
      </c>
      <c r="C10" s="14" t="s">
        <v>135</v>
      </c>
      <c r="D10" s="14">
        <v>2000</v>
      </c>
      <c r="E10" s="5">
        <f>Baseline!$B$8</f>
        <v>35.5</v>
      </c>
      <c r="F10" s="14">
        <f>Baseline!$C$9</f>
        <v>21.5</v>
      </c>
      <c r="G10" s="14">
        <v>2005</v>
      </c>
      <c r="H10" s="91" t="s">
        <v>157</v>
      </c>
      <c r="I10" s="35" t="s">
        <v>164</v>
      </c>
      <c r="J10" s="14" t="s">
        <v>4</v>
      </c>
      <c r="K10" s="14" t="s">
        <v>70</v>
      </c>
      <c r="L10" s="14">
        <v>400</v>
      </c>
      <c r="M10" s="14">
        <v>20</v>
      </c>
      <c r="N10" s="14">
        <v>200</v>
      </c>
      <c r="O10" s="14" t="s">
        <v>25</v>
      </c>
      <c r="P10" s="14" t="s">
        <v>31</v>
      </c>
      <c r="Q10" s="14" t="s">
        <v>87</v>
      </c>
      <c r="R10" s="14" t="s">
        <v>37</v>
      </c>
      <c r="S10" s="14" t="s">
        <v>19</v>
      </c>
      <c r="T10" s="58"/>
      <c r="U10" s="58"/>
      <c r="V10" s="58"/>
      <c r="W10" s="58"/>
      <c r="X10" s="58"/>
      <c r="Y10" s="58"/>
      <c r="Z10" s="58"/>
      <c r="AA10" s="95">
        <f>BG10</f>
        <v>0</v>
      </c>
      <c r="AB10" s="96">
        <f>BE10</f>
        <v>0</v>
      </c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14">
        <f>MAX(0,D10-G10)</f>
        <v>0</v>
      </c>
      <c r="AN10" s="5">
        <f t="shared" ref="AN10:AN41" si="0">E10</f>
        <v>35.5</v>
      </c>
      <c r="AO10" s="14">
        <f t="shared" ref="AO10:AO41" si="1">0.1*EXP(0.13*F10)</f>
        <v>1.6362628753157216</v>
      </c>
      <c r="AP10" s="14">
        <f>IF((OR(R10="A",R10="B",R10="C")),INDEX(Coefficients!$S$4:$S$22,MATCH(J10,Coefficients!$R$4:$R$22)),INDEX(Coefficients!$T$4:$T$22,MATCH(J10,Coefficients!$R$4:$R$22)))</f>
        <v>1.3</v>
      </c>
      <c r="AQ10" s="15">
        <f>IF((OR(R10="A",R10="B",R10="C")),INDEX(Coefficients!$S$4:$S$22,MATCH(K10,Coefficients!$R$4:$R$22)),INDEX(Coefficients!$T$4:$T$22,MATCH(K10,Coefficients!$R$4:$R$22)))</f>
        <v>25</v>
      </c>
      <c r="AR10" s="15">
        <f>IF(OR(R10="A",R10="B",R10="C",R10="D"),IF(AN10&gt;=11,IF(AN10&gt;=26,Coefficients!$M$6,Coefficients!$M$5),Coefficients!$M$4),IF(AN10&gt;=11,IF(AN10&gt;=26,Coefficients!$N$6,Coefficients!$N$5),Coefficients!$N$4))</f>
        <v>1</v>
      </c>
      <c r="AS10" s="15">
        <f>INDEX(Coefficients!$X$3:$X$4,MATCH(S10,Coefficients!$W$3:$W$4))</f>
        <v>1</v>
      </c>
      <c r="AT10" s="15">
        <f>INDEX(Coefficients!$X$7:$X$8,MATCH(O10,Coefficients!$W$7:$W$8))</f>
        <v>1</v>
      </c>
      <c r="AU10" s="15">
        <f>INDEX(Coefficients!$X$11:$X$12,MATCH(P10,Coefficients!$W$11:$W$12))</f>
        <v>1</v>
      </c>
      <c r="AV10" s="15">
        <f>INDEX(Coefficients!$X$15:$X$17,MATCH(Q10,Coefficients!$W$15:$W$17))</f>
        <v>1</v>
      </c>
      <c r="AW10" s="15">
        <f>AR10*AS10</f>
        <v>1</v>
      </c>
      <c r="AX10" s="15">
        <f>AT10*AU10*AV10</f>
        <v>1</v>
      </c>
      <c r="AY10" s="15">
        <f>AP10*AR10*AS10*AT10*AU10*AV10</f>
        <v>1.3</v>
      </c>
      <c r="AZ10" s="14">
        <f>AO10*AQ10*AW10*AX10</f>
        <v>40.90657188289304</v>
      </c>
      <c r="BA10" s="14">
        <f>IF(AZ10&gt;=20,0,2-0.1*AZ10)</f>
        <v>0</v>
      </c>
      <c r="BB10" s="14">
        <f>AO10*AP10*AR10*AS10*AT10*AU10*AV10</f>
        <v>2.127141737910438</v>
      </c>
      <c r="BC10" s="14">
        <f>IF(BB10&gt;=20,0,2-0.1*BB10)</f>
        <v>1.7872858262089562</v>
      </c>
      <c r="BD10" s="14">
        <f t="shared" ref="BD10:BD41" si="2">M10/AZ10+BA10</f>
        <v>0.48891899466070676</v>
      </c>
      <c r="BE10" s="16">
        <f t="shared" ref="BE10:BE41" si="3">IF(AM10&lt;=0,0,IF(AM10&gt;(BD10+BC10),M10+(AM10-BD10-BC10)*BB10,M10))</f>
        <v>0</v>
      </c>
      <c r="BF10" s="16">
        <f t="shared" ref="BF10:BF41" si="4">L10-2*BE10</f>
        <v>400</v>
      </c>
      <c r="BG10" s="17">
        <f t="shared" ref="BG10:BG41" si="5">IF(2*BE10&gt;(L10-N10),1,BE10/((L10-N10)/2))</f>
        <v>0</v>
      </c>
      <c r="BH10" s="14">
        <f t="shared" ref="BH10:BH41" si="6">BE10*(1+$BF$1*$BF$2)</f>
        <v>0</v>
      </c>
      <c r="BI10" s="14">
        <f t="shared" ref="BI10:BI41" si="7">L10-2*BH10</f>
        <v>400</v>
      </c>
      <c r="BJ10" s="14">
        <f t="shared" ref="BJ10:BJ41" si="8">($BF$3/2-M10)/BB10+BD10+BC10</f>
        <v>39.885358256308649</v>
      </c>
    </row>
    <row r="11" spans="1:62">
      <c r="B11" s="35" t="s">
        <v>134</v>
      </c>
      <c r="C11" s="35" t="s">
        <v>135</v>
      </c>
      <c r="D11" s="14">
        <v>2001</v>
      </c>
      <c r="E11" s="5">
        <f>E10</f>
        <v>35.5</v>
      </c>
      <c r="F11" s="14">
        <f>F10</f>
        <v>21.5</v>
      </c>
      <c r="G11" s="14">
        <f>$G$10</f>
        <v>2005</v>
      </c>
      <c r="H11" s="91" t="str">
        <f>$H$10</f>
        <v>Pile 32 @ Berth 201</v>
      </c>
      <c r="I11" s="35" t="str">
        <f>$I$10</f>
        <v>Turpentine Gum</v>
      </c>
      <c r="J11" s="14" t="str">
        <f>$J$10</f>
        <v>HW1</v>
      </c>
      <c r="K11" s="35" t="str">
        <f>$K$10</f>
        <v>SPHU</v>
      </c>
      <c r="L11" s="14">
        <f>$L$10</f>
        <v>400</v>
      </c>
      <c r="M11" s="14">
        <f>$M$10</f>
        <v>20</v>
      </c>
      <c r="N11" s="14">
        <f>$N$10</f>
        <v>200</v>
      </c>
      <c r="O11" s="14" t="str">
        <f>$O$10</f>
        <v>MTN2</v>
      </c>
      <c r="P11" s="14" t="str">
        <f>$P$10</f>
        <v>CNT2</v>
      </c>
      <c r="Q11" s="14" t="str">
        <f>$Q$10</f>
        <v>KNT3</v>
      </c>
      <c r="R11" s="14" t="str">
        <f>$R$10</f>
        <v>E</v>
      </c>
      <c r="S11" s="14" t="str">
        <f>$S$10</f>
        <v>EXP1</v>
      </c>
      <c r="T11" s="58"/>
      <c r="U11" s="58"/>
      <c r="V11" s="58"/>
      <c r="W11" s="58"/>
      <c r="X11" s="58"/>
      <c r="Y11" s="58"/>
      <c r="Z11" s="58"/>
      <c r="AA11" s="95">
        <f t="shared" ref="AA11:AA74" si="9">BG11</f>
        <v>0</v>
      </c>
      <c r="AB11" s="96">
        <f t="shared" ref="AB11:AB74" si="10">BE11</f>
        <v>0</v>
      </c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89">
        <f t="shared" ref="AM11:AM74" si="11">MAX(0,D11-G11)</f>
        <v>0</v>
      </c>
      <c r="AN11" s="5">
        <f t="shared" si="0"/>
        <v>35.5</v>
      </c>
      <c r="AO11" s="14">
        <f t="shared" si="1"/>
        <v>1.6362628753157216</v>
      </c>
      <c r="AP11" s="14">
        <f>IF((OR(R11="A",R11="B",R11="C")),INDEX(Coefficients!$S$4:$S$22,MATCH(J11,Coefficients!$R$4:$R$22)),INDEX(Coefficients!$T$4:$T$22,MATCH(J11,Coefficients!$R$4:$R$22)))</f>
        <v>1.3</v>
      </c>
      <c r="AQ11" s="27">
        <f>IF((OR(R11="A",R11="B",R11="C")),INDEX(Coefficients!$S$4:$S$22,MATCH(K11,Coefficients!$R$4:$R$22)),INDEX(Coefficients!$T$4:$T$22,MATCH(K11,Coefficients!$R$4:$R$22)))</f>
        <v>25</v>
      </c>
      <c r="AR11" s="15">
        <f>IF(OR(R11="A",R11="B",R11="C",R11="D"),IF(AN11&gt;=11,IF(AN11&gt;=26,Coefficients!$M$6,Coefficients!$M$5),Coefficients!$M$4),IF(AN11&gt;=11,IF(AN11&gt;=26,Coefficients!$N$6,Coefficients!$N$5),Coefficients!$N$4))</f>
        <v>1</v>
      </c>
      <c r="AS11" s="15">
        <f>INDEX(Coefficients!$X$3:$X$4,MATCH(S11,Coefficients!$W$3:$W$4))</f>
        <v>1</v>
      </c>
      <c r="AT11" s="15">
        <f>INDEX(Coefficients!$X$7:$X$8,MATCH(O11,Coefficients!$W$7:$W$8))</f>
        <v>1</v>
      </c>
      <c r="AU11" s="15">
        <f>INDEX(Coefficients!$X$11:$X$12,MATCH(P11,Coefficients!$W$11:$W$12))</f>
        <v>1</v>
      </c>
      <c r="AV11" s="15">
        <f>INDEX(Coefficients!$X$15:$X$17,MATCH(Q11,Coefficients!$W$15:$W$17))</f>
        <v>1</v>
      </c>
      <c r="AW11" s="15">
        <f t="shared" ref="AW11:AW74" si="12">AR11*AS11</f>
        <v>1</v>
      </c>
      <c r="AX11" s="15">
        <f t="shared" ref="AX11:AX74" si="13">AT11*AU11*AV11</f>
        <v>1</v>
      </c>
      <c r="AY11" s="15">
        <f t="shared" ref="AY11:AY74" si="14">AP11*AR11*AS11*AT11*AU11*AV11</f>
        <v>1.3</v>
      </c>
      <c r="AZ11" s="14">
        <f t="shared" ref="AZ11:AZ74" si="15">AO11*AQ11*AW11*AX11</f>
        <v>40.90657188289304</v>
      </c>
      <c r="BA11" s="14">
        <f t="shared" ref="BA11:BA74" si="16">IF(AZ11&gt;=20,0,2-0.1*AZ11)</f>
        <v>0</v>
      </c>
      <c r="BB11" s="14">
        <f t="shared" ref="BB11:BB74" si="17">AO11*AP11*AR11*AS11*AT11*AU11*AV11</f>
        <v>2.127141737910438</v>
      </c>
      <c r="BC11" s="14">
        <f t="shared" ref="BC11:BC74" si="18">IF(BB11&gt;=20,0,2-0.1*BB11)</f>
        <v>1.7872858262089562</v>
      </c>
      <c r="BD11" s="14">
        <f t="shared" si="2"/>
        <v>0.48891899466070676</v>
      </c>
      <c r="BE11" s="16">
        <f t="shared" si="3"/>
        <v>0</v>
      </c>
      <c r="BF11" s="16">
        <f t="shared" si="4"/>
        <v>400</v>
      </c>
      <c r="BG11" s="17">
        <f t="shared" si="5"/>
        <v>0</v>
      </c>
      <c r="BH11" s="14">
        <f t="shared" si="6"/>
        <v>0</v>
      </c>
      <c r="BI11" s="14">
        <f t="shared" si="7"/>
        <v>400</v>
      </c>
      <c r="BJ11" s="14">
        <f t="shared" si="8"/>
        <v>39.885358256308649</v>
      </c>
    </row>
    <row r="12" spans="1:62">
      <c r="B12" s="35" t="s">
        <v>134</v>
      </c>
      <c r="C12" s="35" t="s">
        <v>135</v>
      </c>
      <c r="D12" s="14">
        <v>2002</v>
      </c>
      <c r="E12" s="90">
        <f t="shared" ref="E12:E75" si="19">E11</f>
        <v>35.5</v>
      </c>
      <c r="F12" s="89">
        <f t="shared" ref="F12:F75" si="20">F11</f>
        <v>21.5</v>
      </c>
      <c r="G12" s="35">
        <f t="shared" ref="G12:G75" si="21">$G$10</f>
        <v>2005</v>
      </c>
      <c r="H12" s="91" t="str">
        <f t="shared" ref="H12:H75" si="22">$H$10</f>
        <v>Pile 32 @ Berth 201</v>
      </c>
      <c r="I12" s="35" t="str">
        <f t="shared" ref="I12:I75" si="23">$I$10</f>
        <v>Turpentine Gum</v>
      </c>
      <c r="J12" s="35" t="str">
        <f t="shared" ref="J12:J75" si="24">$J$10</f>
        <v>HW1</v>
      </c>
      <c r="K12" s="35" t="str">
        <f t="shared" ref="K12:K75" si="25">$K$10</f>
        <v>SPHU</v>
      </c>
      <c r="L12" s="35">
        <f t="shared" ref="L12:L75" si="26">$L$10</f>
        <v>400</v>
      </c>
      <c r="M12" s="35">
        <f t="shared" ref="M12:M75" si="27">$M$10</f>
        <v>20</v>
      </c>
      <c r="N12" s="35">
        <f t="shared" ref="N12:N75" si="28">$N$10</f>
        <v>200</v>
      </c>
      <c r="O12" s="35" t="str">
        <f t="shared" ref="O12:O75" si="29">$O$10</f>
        <v>MTN2</v>
      </c>
      <c r="P12" s="35" t="str">
        <f t="shared" ref="P12:P75" si="30">$P$10</f>
        <v>CNT2</v>
      </c>
      <c r="Q12" s="35" t="str">
        <f t="shared" ref="Q12:Q75" si="31">$Q$10</f>
        <v>KNT3</v>
      </c>
      <c r="R12" s="35" t="str">
        <f t="shared" ref="R12:R75" si="32">$R$10</f>
        <v>E</v>
      </c>
      <c r="S12" s="35" t="str">
        <f t="shared" ref="S12:S75" si="33">$S$10</f>
        <v>EXP1</v>
      </c>
      <c r="T12" s="58"/>
      <c r="U12" s="58"/>
      <c r="V12" s="58"/>
      <c r="W12" s="58"/>
      <c r="X12" s="58"/>
      <c r="Y12" s="58"/>
      <c r="Z12" s="58"/>
      <c r="AA12" s="95">
        <f t="shared" si="9"/>
        <v>0</v>
      </c>
      <c r="AB12" s="96">
        <f t="shared" si="10"/>
        <v>0</v>
      </c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89">
        <f t="shared" si="11"/>
        <v>0</v>
      </c>
      <c r="AN12" s="5">
        <f t="shared" si="0"/>
        <v>35.5</v>
      </c>
      <c r="AO12" s="14">
        <f t="shared" si="1"/>
        <v>1.6362628753157216</v>
      </c>
      <c r="AP12" s="14">
        <f>IF((OR(R12="A",R12="B",R12="C")),INDEX(Coefficients!$S$4:$S$22,MATCH(J12,Coefficients!$R$4:$R$22)),INDEX(Coefficients!$T$4:$T$22,MATCH(J12,Coefficients!$R$4:$R$22)))</f>
        <v>1.3</v>
      </c>
      <c r="AQ12" s="27">
        <f>IF((OR(R12="A",R12="B",R12="C")),INDEX(Coefficients!$S$4:$S$22,MATCH(K12,Coefficients!$R$4:$R$22)),INDEX(Coefficients!$T$4:$T$22,MATCH(K12,Coefficients!$R$4:$R$22)))</f>
        <v>25</v>
      </c>
      <c r="AR12" s="15">
        <f>IF(OR(R12="A",R12="B",R12="C",R12="D"),IF(AN12&gt;=11,IF(AN12&gt;=26,Coefficients!$M$6,Coefficients!$M$5),Coefficients!$M$4),IF(AN12&gt;=11,IF(AN12&gt;=26,Coefficients!$N$6,Coefficients!$N$5),Coefficients!$N$4))</f>
        <v>1</v>
      </c>
      <c r="AS12" s="15">
        <f>INDEX(Coefficients!$X$3:$X$4,MATCH(S12,Coefficients!$W$3:$W$4))</f>
        <v>1</v>
      </c>
      <c r="AT12" s="15">
        <f>INDEX(Coefficients!$X$7:$X$8,MATCH(O12,Coefficients!$W$7:$W$8))</f>
        <v>1</v>
      </c>
      <c r="AU12" s="15">
        <f>INDEX(Coefficients!$X$11:$X$12,MATCH(P12,Coefficients!$W$11:$W$12))</f>
        <v>1</v>
      </c>
      <c r="AV12" s="15">
        <f>INDEX(Coefficients!$X$15:$X$17,MATCH(Q12,Coefficients!$W$15:$W$17))</f>
        <v>1</v>
      </c>
      <c r="AW12" s="15">
        <f t="shared" si="12"/>
        <v>1</v>
      </c>
      <c r="AX12" s="15">
        <f t="shared" si="13"/>
        <v>1</v>
      </c>
      <c r="AY12" s="15">
        <f t="shared" si="14"/>
        <v>1.3</v>
      </c>
      <c r="AZ12" s="14">
        <f t="shared" si="15"/>
        <v>40.90657188289304</v>
      </c>
      <c r="BA12" s="14">
        <f t="shared" si="16"/>
        <v>0</v>
      </c>
      <c r="BB12" s="14">
        <f t="shared" si="17"/>
        <v>2.127141737910438</v>
      </c>
      <c r="BC12" s="14">
        <f t="shared" si="18"/>
        <v>1.7872858262089562</v>
      </c>
      <c r="BD12" s="14">
        <f t="shared" si="2"/>
        <v>0.48891899466070676</v>
      </c>
      <c r="BE12" s="16">
        <f t="shared" si="3"/>
        <v>0</v>
      </c>
      <c r="BF12" s="16">
        <f t="shared" si="4"/>
        <v>400</v>
      </c>
      <c r="BG12" s="17">
        <f t="shared" si="5"/>
        <v>0</v>
      </c>
      <c r="BH12" s="14">
        <f t="shared" si="6"/>
        <v>0</v>
      </c>
      <c r="BI12" s="14">
        <f t="shared" si="7"/>
        <v>400</v>
      </c>
      <c r="BJ12" s="14">
        <f t="shared" si="8"/>
        <v>39.885358256308649</v>
      </c>
    </row>
    <row r="13" spans="1:62">
      <c r="B13" s="35" t="s">
        <v>134</v>
      </c>
      <c r="C13" s="35" t="s">
        <v>135</v>
      </c>
      <c r="D13" s="14">
        <v>2003</v>
      </c>
      <c r="E13" s="90">
        <f t="shared" si="19"/>
        <v>35.5</v>
      </c>
      <c r="F13" s="89">
        <f t="shared" si="20"/>
        <v>21.5</v>
      </c>
      <c r="G13" s="35">
        <f t="shared" si="21"/>
        <v>2005</v>
      </c>
      <c r="H13" s="91" t="str">
        <f t="shared" si="22"/>
        <v>Pile 32 @ Berth 201</v>
      </c>
      <c r="I13" s="35" t="str">
        <f t="shared" si="23"/>
        <v>Turpentine Gum</v>
      </c>
      <c r="J13" s="35" t="str">
        <f t="shared" si="24"/>
        <v>HW1</v>
      </c>
      <c r="K13" s="35" t="str">
        <f t="shared" si="25"/>
        <v>SPHU</v>
      </c>
      <c r="L13" s="35">
        <f t="shared" si="26"/>
        <v>400</v>
      </c>
      <c r="M13" s="35">
        <f t="shared" si="27"/>
        <v>20</v>
      </c>
      <c r="N13" s="35">
        <f t="shared" si="28"/>
        <v>200</v>
      </c>
      <c r="O13" s="35" t="str">
        <f t="shared" si="29"/>
        <v>MTN2</v>
      </c>
      <c r="P13" s="35" t="str">
        <f t="shared" si="30"/>
        <v>CNT2</v>
      </c>
      <c r="Q13" s="35" t="str">
        <f t="shared" si="31"/>
        <v>KNT3</v>
      </c>
      <c r="R13" s="35" t="str">
        <f t="shared" si="32"/>
        <v>E</v>
      </c>
      <c r="S13" s="35" t="str">
        <f t="shared" si="33"/>
        <v>EXP1</v>
      </c>
      <c r="T13" s="58"/>
      <c r="U13" s="58"/>
      <c r="V13" s="58"/>
      <c r="W13" s="58"/>
      <c r="X13" s="58"/>
      <c r="Y13" s="58"/>
      <c r="Z13" s="58"/>
      <c r="AA13" s="95">
        <f t="shared" si="9"/>
        <v>0</v>
      </c>
      <c r="AB13" s="96">
        <f t="shared" si="10"/>
        <v>0</v>
      </c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89">
        <f t="shared" si="11"/>
        <v>0</v>
      </c>
      <c r="AN13" s="5">
        <f t="shared" si="0"/>
        <v>35.5</v>
      </c>
      <c r="AO13" s="14">
        <f t="shared" si="1"/>
        <v>1.6362628753157216</v>
      </c>
      <c r="AP13" s="14">
        <f>IF((OR(R13="A",R13="B",R13="C")),INDEX(Coefficients!$S$4:$S$22,MATCH(J13,Coefficients!$R$4:$R$22)),INDEX(Coefficients!$T$4:$T$22,MATCH(J13,Coefficients!$R$4:$R$22)))</f>
        <v>1.3</v>
      </c>
      <c r="AQ13" s="27">
        <f>IF((OR(R13="A",R13="B",R13="C")),INDEX(Coefficients!$S$4:$S$22,MATCH(K13,Coefficients!$R$4:$R$22)),INDEX(Coefficients!$T$4:$T$22,MATCH(K13,Coefficients!$R$4:$R$22)))</f>
        <v>25</v>
      </c>
      <c r="AR13" s="15">
        <f>IF(OR(R13="A",R13="B",R13="C",R13="D"),IF(AN13&gt;=11,IF(AN13&gt;=26,Coefficients!$M$6,Coefficients!$M$5),Coefficients!$M$4),IF(AN13&gt;=11,IF(AN13&gt;=26,Coefficients!$N$6,Coefficients!$N$5),Coefficients!$N$4))</f>
        <v>1</v>
      </c>
      <c r="AS13" s="15">
        <f>INDEX(Coefficients!$X$3:$X$4,MATCH(S13,Coefficients!$W$3:$W$4))</f>
        <v>1</v>
      </c>
      <c r="AT13" s="15">
        <f>INDEX(Coefficients!$X$7:$X$8,MATCH(O13,Coefficients!$W$7:$W$8))</f>
        <v>1</v>
      </c>
      <c r="AU13" s="15">
        <f>INDEX(Coefficients!$X$11:$X$12,MATCH(P13,Coefficients!$W$11:$W$12))</f>
        <v>1</v>
      </c>
      <c r="AV13" s="15">
        <f>INDEX(Coefficients!$X$15:$X$17,MATCH(Q13,Coefficients!$W$15:$W$17))</f>
        <v>1</v>
      </c>
      <c r="AW13" s="15">
        <f t="shared" si="12"/>
        <v>1</v>
      </c>
      <c r="AX13" s="15">
        <f t="shared" si="13"/>
        <v>1</v>
      </c>
      <c r="AY13" s="15">
        <f t="shared" si="14"/>
        <v>1.3</v>
      </c>
      <c r="AZ13" s="14">
        <f t="shared" si="15"/>
        <v>40.90657188289304</v>
      </c>
      <c r="BA13" s="14">
        <f t="shared" si="16"/>
        <v>0</v>
      </c>
      <c r="BB13" s="14">
        <f t="shared" si="17"/>
        <v>2.127141737910438</v>
      </c>
      <c r="BC13" s="14">
        <f t="shared" si="18"/>
        <v>1.7872858262089562</v>
      </c>
      <c r="BD13" s="14">
        <f t="shared" si="2"/>
        <v>0.48891899466070676</v>
      </c>
      <c r="BE13" s="16">
        <f t="shared" si="3"/>
        <v>0</v>
      </c>
      <c r="BF13" s="16">
        <f t="shared" si="4"/>
        <v>400</v>
      </c>
      <c r="BG13" s="17">
        <f t="shared" si="5"/>
        <v>0</v>
      </c>
      <c r="BH13" s="14">
        <f t="shared" si="6"/>
        <v>0</v>
      </c>
      <c r="BI13" s="14">
        <f t="shared" si="7"/>
        <v>400</v>
      </c>
      <c r="BJ13" s="14">
        <f t="shared" si="8"/>
        <v>39.885358256308649</v>
      </c>
    </row>
    <row r="14" spans="1:62">
      <c r="B14" s="35" t="s">
        <v>134</v>
      </c>
      <c r="C14" s="35" t="s">
        <v>135</v>
      </c>
      <c r="D14" s="14">
        <v>2004</v>
      </c>
      <c r="E14" s="90">
        <f t="shared" si="19"/>
        <v>35.5</v>
      </c>
      <c r="F14" s="89">
        <f t="shared" si="20"/>
        <v>21.5</v>
      </c>
      <c r="G14" s="35">
        <f t="shared" si="21"/>
        <v>2005</v>
      </c>
      <c r="H14" s="91" t="str">
        <f t="shared" si="22"/>
        <v>Pile 32 @ Berth 201</v>
      </c>
      <c r="I14" s="35" t="str">
        <f t="shared" si="23"/>
        <v>Turpentine Gum</v>
      </c>
      <c r="J14" s="35" t="str">
        <f t="shared" si="24"/>
        <v>HW1</v>
      </c>
      <c r="K14" s="35" t="str">
        <f t="shared" si="25"/>
        <v>SPHU</v>
      </c>
      <c r="L14" s="35">
        <f t="shared" si="26"/>
        <v>400</v>
      </c>
      <c r="M14" s="35">
        <f t="shared" si="27"/>
        <v>20</v>
      </c>
      <c r="N14" s="35">
        <f t="shared" si="28"/>
        <v>200</v>
      </c>
      <c r="O14" s="35" t="str">
        <f t="shared" si="29"/>
        <v>MTN2</v>
      </c>
      <c r="P14" s="35" t="str">
        <f t="shared" si="30"/>
        <v>CNT2</v>
      </c>
      <c r="Q14" s="35" t="str">
        <f t="shared" si="31"/>
        <v>KNT3</v>
      </c>
      <c r="R14" s="35" t="str">
        <f t="shared" si="32"/>
        <v>E</v>
      </c>
      <c r="S14" s="35" t="str">
        <f t="shared" si="33"/>
        <v>EXP1</v>
      </c>
      <c r="T14" s="58"/>
      <c r="U14" s="58"/>
      <c r="V14" s="58"/>
      <c r="W14" s="58"/>
      <c r="X14" s="58"/>
      <c r="Y14" s="58"/>
      <c r="Z14" s="58"/>
      <c r="AA14" s="95">
        <f t="shared" si="9"/>
        <v>0</v>
      </c>
      <c r="AB14" s="96">
        <f t="shared" si="10"/>
        <v>0</v>
      </c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89">
        <f t="shared" si="11"/>
        <v>0</v>
      </c>
      <c r="AN14" s="5">
        <f t="shared" si="0"/>
        <v>35.5</v>
      </c>
      <c r="AO14" s="14">
        <f t="shared" si="1"/>
        <v>1.6362628753157216</v>
      </c>
      <c r="AP14" s="14">
        <f>IF((OR(R14="A",R14="B",R14="C")),INDEX(Coefficients!$S$4:$S$22,MATCH(J14,Coefficients!$R$4:$R$22)),INDEX(Coefficients!$T$4:$T$22,MATCH(J14,Coefficients!$R$4:$R$22)))</f>
        <v>1.3</v>
      </c>
      <c r="AQ14" s="27">
        <f>IF((OR(R14="A",R14="B",R14="C")),INDEX(Coefficients!$S$4:$S$22,MATCH(K14,Coefficients!$R$4:$R$22)),INDEX(Coefficients!$T$4:$T$22,MATCH(K14,Coefficients!$R$4:$R$22)))</f>
        <v>25</v>
      </c>
      <c r="AR14" s="15">
        <f>IF(OR(R14="A",R14="B",R14="C",R14="D"),IF(AN14&gt;=11,IF(AN14&gt;=26,Coefficients!$M$6,Coefficients!$M$5),Coefficients!$M$4),IF(AN14&gt;=11,IF(AN14&gt;=26,Coefficients!$N$6,Coefficients!$N$5),Coefficients!$N$4))</f>
        <v>1</v>
      </c>
      <c r="AS14" s="15">
        <f>INDEX(Coefficients!$X$3:$X$4,MATCH(S14,Coefficients!$W$3:$W$4))</f>
        <v>1</v>
      </c>
      <c r="AT14" s="15">
        <f>INDEX(Coefficients!$X$7:$X$8,MATCH(O14,Coefficients!$W$7:$W$8))</f>
        <v>1</v>
      </c>
      <c r="AU14" s="15">
        <f>INDEX(Coefficients!$X$11:$X$12,MATCH(P14,Coefficients!$W$11:$W$12))</f>
        <v>1</v>
      </c>
      <c r="AV14" s="15">
        <f>INDEX(Coefficients!$X$15:$X$17,MATCH(Q14,Coefficients!$W$15:$W$17))</f>
        <v>1</v>
      </c>
      <c r="AW14" s="15">
        <f t="shared" si="12"/>
        <v>1</v>
      </c>
      <c r="AX14" s="15">
        <f t="shared" si="13"/>
        <v>1</v>
      </c>
      <c r="AY14" s="15">
        <f t="shared" si="14"/>
        <v>1.3</v>
      </c>
      <c r="AZ14" s="14">
        <f t="shared" si="15"/>
        <v>40.90657188289304</v>
      </c>
      <c r="BA14" s="14">
        <f t="shared" si="16"/>
        <v>0</v>
      </c>
      <c r="BB14" s="14">
        <f t="shared" si="17"/>
        <v>2.127141737910438</v>
      </c>
      <c r="BC14" s="14">
        <f t="shared" si="18"/>
        <v>1.7872858262089562</v>
      </c>
      <c r="BD14" s="14">
        <f t="shared" si="2"/>
        <v>0.48891899466070676</v>
      </c>
      <c r="BE14" s="16">
        <f t="shared" si="3"/>
        <v>0</v>
      </c>
      <c r="BF14" s="16">
        <f t="shared" si="4"/>
        <v>400</v>
      </c>
      <c r="BG14" s="17">
        <f t="shared" si="5"/>
        <v>0</v>
      </c>
      <c r="BH14" s="14">
        <f t="shared" si="6"/>
        <v>0</v>
      </c>
      <c r="BI14" s="14">
        <f t="shared" si="7"/>
        <v>400</v>
      </c>
      <c r="BJ14" s="14">
        <f t="shared" si="8"/>
        <v>39.885358256308649</v>
      </c>
    </row>
    <row r="15" spans="1:62">
      <c r="B15" s="35" t="s">
        <v>134</v>
      </c>
      <c r="C15" s="35" t="s">
        <v>135</v>
      </c>
      <c r="D15" s="14">
        <v>2005</v>
      </c>
      <c r="E15" s="90">
        <f t="shared" si="19"/>
        <v>35.5</v>
      </c>
      <c r="F15" s="89">
        <f t="shared" si="20"/>
        <v>21.5</v>
      </c>
      <c r="G15" s="35">
        <f t="shared" si="21"/>
        <v>2005</v>
      </c>
      <c r="H15" s="91" t="str">
        <f t="shared" si="22"/>
        <v>Pile 32 @ Berth 201</v>
      </c>
      <c r="I15" s="35" t="str">
        <f t="shared" si="23"/>
        <v>Turpentine Gum</v>
      </c>
      <c r="J15" s="35" t="str">
        <f t="shared" si="24"/>
        <v>HW1</v>
      </c>
      <c r="K15" s="35" t="str">
        <f t="shared" si="25"/>
        <v>SPHU</v>
      </c>
      <c r="L15" s="35">
        <f t="shared" si="26"/>
        <v>400</v>
      </c>
      <c r="M15" s="35">
        <f t="shared" si="27"/>
        <v>20</v>
      </c>
      <c r="N15" s="35">
        <f t="shared" si="28"/>
        <v>200</v>
      </c>
      <c r="O15" s="35" t="str">
        <f t="shared" si="29"/>
        <v>MTN2</v>
      </c>
      <c r="P15" s="35" t="str">
        <f t="shared" si="30"/>
        <v>CNT2</v>
      </c>
      <c r="Q15" s="35" t="str">
        <f t="shared" si="31"/>
        <v>KNT3</v>
      </c>
      <c r="R15" s="35" t="str">
        <f t="shared" si="32"/>
        <v>E</v>
      </c>
      <c r="S15" s="35" t="str">
        <f t="shared" si="33"/>
        <v>EXP1</v>
      </c>
      <c r="T15" s="58"/>
      <c r="U15" s="58"/>
      <c r="V15" s="58"/>
      <c r="W15" s="58"/>
      <c r="X15" s="58"/>
      <c r="Y15" s="58"/>
      <c r="Z15" s="58"/>
      <c r="AA15" s="95">
        <f t="shared" si="9"/>
        <v>0</v>
      </c>
      <c r="AB15" s="96">
        <f t="shared" si="10"/>
        <v>0</v>
      </c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89">
        <f t="shared" si="11"/>
        <v>0</v>
      </c>
      <c r="AN15" s="5">
        <f t="shared" si="0"/>
        <v>35.5</v>
      </c>
      <c r="AO15" s="14">
        <f t="shared" si="1"/>
        <v>1.6362628753157216</v>
      </c>
      <c r="AP15" s="14">
        <f>IF((OR(R15="A",R15="B",R15="C")),INDEX(Coefficients!$S$4:$S$22,MATCH(J15,Coefficients!$R$4:$R$22)),INDEX(Coefficients!$T$4:$T$22,MATCH(J15,Coefficients!$R$4:$R$22)))</f>
        <v>1.3</v>
      </c>
      <c r="AQ15" s="27">
        <f>IF((OR(R15="A",R15="B",R15="C")),INDEX(Coefficients!$S$4:$S$22,MATCH(K15,Coefficients!$R$4:$R$22)),INDEX(Coefficients!$T$4:$T$22,MATCH(K15,Coefficients!$R$4:$R$22)))</f>
        <v>25</v>
      </c>
      <c r="AR15" s="15">
        <f>IF(OR(R15="A",R15="B",R15="C",R15="D"),IF(AN15&gt;=11,IF(AN15&gt;=26,Coefficients!$M$6,Coefficients!$M$5),Coefficients!$M$4),IF(AN15&gt;=11,IF(AN15&gt;=26,Coefficients!$N$6,Coefficients!$N$5),Coefficients!$N$4))</f>
        <v>1</v>
      </c>
      <c r="AS15" s="15">
        <f>INDEX(Coefficients!$X$3:$X$4,MATCH(S15,Coefficients!$W$3:$W$4))</f>
        <v>1</v>
      </c>
      <c r="AT15" s="15">
        <f>INDEX(Coefficients!$X$7:$X$8,MATCH(O15,Coefficients!$W$7:$W$8))</f>
        <v>1</v>
      </c>
      <c r="AU15" s="15">
        <f>INDEX(Coefficients!$X$11:$X$12,MATCH(P15,Coefficients!$W$11:$W$12))</f>
        <v>1</v>
      </c>
      <c r="AV15" s="15">
        <f>INDEX(Coefficients!$X$15:$X$17,MATCH(Q15,Coefficients!$W$15:$W$17))</f>
        <v>1</v>
      </c>
      <c r="AW15" s="15">
        <f t="shared" si="12"/>
        <v>1</v>
      </c>
      <c r="AX15" s="15">
        <f t="shared" si="13"/>
        <v>1</v>
      </c>
      <c r="AY15" s="15">
        <f t="shared" si="14"/>
        <v>1.3</v>
      </c>
      <c r="AZ15" s="14">
        <f t="shared" si="15"/>
        <v>40.90657188289304</v>
      </c>
      <c r="BA15" s="14">
        <f t="shared" si="16"/>
        <v>0</v>
      </c>
      <c r="BB15" s="14">
        <f t="shared" si="17"/>
        <v>2.127141737910438</v>
      </c>
      <c r="BC15" s="14">
        <f t="shared" si="18"/>
        <v>1.7872858262089562</v>
      </c>
      <c r="BD15" s="14">
        <f t="shared" si="2"/>
        <v>0.48891899466070676</v>
      </c>
      <c r="BE15" s="16">
        <f t="shared" si="3"/>
        <v>0</v>
      </c>
      <c r="BF15" s="16">
        <f t="shared" si="4"/>
        <v>400</v>
      </c>
      <c r="BG15" s="17">
        <f t="shared" si="5"/>
        <v>0</v>
      </c>
      <c r="BH15" s="14">
        <f t="shared" si="6"/>
        <v>0</v>
      </c>
      <c r="BI15" s="14">
        <f t="shared" si="7"/>
        <v>400</v>
      </c>
      <c r="BJ15" s="14">
        <f t="shared" si="8"/>
        <v>39.885358256308649</v>
      </c>
    </row>
    <row r="16" spans="1:62">
      <c r="B16" s="35" t="s">
        <v>134</v>
      </c>
      <c r="C16" s="35" t="s">
        <v>135</v>
      </c>
      <c r="D16" s="14">
        <v>2006</v>
      </c>
      <c r="E16" s="90">
        <f t="shared" si="19"/>
        <v>35.5</v>
      </c>
      <c r="F16" s="89">
        <f t="shared" si="20"/>
        <v>21.5</v>
      </c>
      <c r="G16" s="35">
        <f t="shared" si="21"/>
        <v>2005</v>
      </c>
      <c r="H16" s="91" t="str">
        <f t="shared" si="22"/>
        <v>Pile 32 @ Berth 201</v>
      </c>
      <c r="I16" s="35" t="str">
        <f t="shared" si="23"/>
        <v>Turpentine Gum</v>
      </c>
      <c r="J16" s="35" t="str">
        <f t="shared" si="24"/>
        <v>HW1</v>
      </c>
      <c r="K16" s="35" t="str">
        <f t="shared" si="25"/>
        <v>SPHU</v>
      </c>
      <c r="L16" s="35">
        <f t="shared" si="26"/>
        <v>400</v>
      </c>
      <c r="M16" s="35">
        <f t="shared" si="27"/>
        <v>20</v>
      </c>
      <c r="N16" s="35">
        <f t="shared" si="28"/>
        <v>200</v>
      </c>
      <c r="O16" s="35" t="str">
        <f t="shared" si="29"/>
        <v>MTN2</v>
      </c>
      <c r="P16" s="35" t="str">
        <f t="shared" si="30"/>
        <v>CNT2</v>
      </c>
      <c r="Q16" s="35" t="str">
        <f t="shared" si="31"/>
        <v>KNT3</v>
      </c>
      <c r="R16" s="35" t="str">
        <f t="shared" si="32"/>
        <v>E</v>
      </c>
      <c r="S16" s="35" t="str">
        <f t="shared" si="33"/>
        <v>EXP1</v>
      </c>
      <c r="T16" s="58"/>
      <c r="U16" s="58"/>
      <c r="V16" s="58"/>
      <c r="W16" s="58"/>
      <c r="X16" s="58"/>
      <c r="Y16" s="58"/>
      <c r="Z16" s="58"/>
      <c r="AA16" s="95">
        <f t="shared" si="9"/>
        <v>0.2</v>
      </c>
      <c r="AB16" s="96">
        <f t="shared" si="10"/>
        <v>20</v>
      </c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89">
        <f t="shared" si="11"/>
        <v>1</v>
      </c>
      <c r="AN16" s="5">
        <f t="shared" si="0"/>
        <v>35.5</v>
      </c>
      <c r="AO16" s="14">
        <f t="shared" si="1"/>
        <v>1.6362628753157216</v>
      </c>
      <c r="AP16" s="14">
        <f>IF((OR(R16="A",R16="B",R16="C")),INDEX(Coefficients!$S$4:$S$22,MATCH(J16,Coefficients!$R$4:$R$22)),INDEX(Coefficients!$T$4:$T$22,MATCH(J16,Coefficients!$R$4:$R$22)))</f>
        <v>1.3</v>
      </c>
      <c r="AQ16" s="27">
        <f>IF((OR(R16="A",R16="B",R16="C")),INDEX(Coefficients!$S$4:$S$22,MATCH(K16,Coefficients!$R$4:$R$22)),INDEX(Coefficients!$T$4:$T$22,MATCH(K16,Coefficients!$R$4:$R$22)))</f>
        <v>25</v>
      </c>
      <c r="AR16" s="15">
        <f>IF(OR(R16="A",R16="B",R16="C",R16="D"),IF(AN16&gt;=11,IF(AN16&gt;=26,Coefficients!$M$6,Coefficients!$M$5),Coefficients!$M$4),IF(AN16&gt;=11,IF(AN16&gt;=26,Coefficients!$N$6,Coefficients!$N$5),Coefficients!$N$4))</f>
        <v>1</v>
      </c>
      <c r="AS16" s="15">
        <f>INDEX(Coefficients!$X$3:$X$4,MATCH(S16,Coefficients!$W$3:$W$4))</f>
        <v>1</v>
      </c>
      <c r="AT16" s="15">
        <f>INDEX(Coefficients!$X$7:$X$8,MATCH(O16,Coefficients!$W$7:$W$8))</f>
        <v>1</v>
      </c>
      <c r="AU16" s="15">
        <f>INDEX(Coefficients!$X$11:$X$12,MATCH(P16,Coefficients!$W$11:$W$12))</f>
        <v>1</v>
      </c>
      <c r="AV16" s="15">
        <f>INDEX(Coefficients!$X$15:$X$17,MATCH(Q16,Coefficients!$W$15:$W$17))</f>
        <v>1</v>
      </c>
      <c r="AW16" s="15">
        <f t="shared" si="12"/>
        <v>1</v>
      </c>
      <c r="AX16" s="15">
        <f t="shared" si="13"/>
        <v>1</v>
      </c>
      <c r="AY16" s="15">
        <f t="shared" si="14"/>
        <v>1.3</v>
      </c>
      <c r="AZ16" s="14">
        <f t="shared" si="15"/>
        <v>40.90657188289304</v>
      </c>
      <c r="BA16" s="14">
        <f t="shared" si="16"/>
        <v>0</v>
      </c>
      <c r="BB16" s="14">
        <f t="shared" si="17"/>
        <v>2.127141737910438</v>
      </c>
      <c r="BC16" s="14">
        <f t="shared" si="18"/>
        <v>1.7872858262089562</v>
      </c>
      <c r="BD16" s="14">
        <f t="shared" si="2"/>
        <v>0.48891899466070676</v>
      </c>
      <c r="BE16" s="16">
        <f t="shared" si="3"/>
        <v>20</v>
      </c>
      <c r="BF16" s="16">
        <f t="shared" si="4"/>
        <v>360</v>
      </c>
      <c r="BG16" s="17">
        <f t="shared" si="5"/>
        <v>0.2</v>
      </c>
      <c r="BH16" s="14">
        <f t="shared" si="6"/>
        <v>44</v>
      </c>
      <c r="BI16" s="14">
        <f t="shared" si="7"/>
        <v>312</v>
      </c>
      <c r="BJ16" s="14">
        <f t="shared" si="8"/>
        <v>39.885358256308649</v>
      </c>
    </row>
    <row r="17" spans="2:62">
      <c r="B17" s="35" t="s">
        <v>134</v>
      </c>
      <c r="C17" s="35" t="s">
        <v>135</v>
      </c>
      <c r="D17" s="14">
        <v>2007</v>
      </c>
      <c r="E17" s="90">
        <f t="shared" si="19"/>
        <v>35.5</v>
      </c>
      <c r="F17" s="89">
        <f t="shared" si="20"/>
        <v>21.5</v>
      </c>
      <c r="G17" s="35">
        <f t="shared" si="21"/>
        <v>2005</v>
      </c>
      <c r="H17" s="91" t="str">
        <f t="shared" si="22"/>
        <v>Pile 32 @ Berth 201</v>
      </c>
      <c r="I17" s="35" t="str">
        <f t="shared" si="23"/>
        <v>Turpentine Gum</v>
      </c>
      <c r="J17" s="35" t="str">
        <f t="shared" si="24"/>
        <v>HW1</v>
      </c>
      <c r="K17" s="35" t="str">
        <f t="shared" si="25"/>
        <v>SPHU</v>
      </c>
      <c r="L17" s="35">
        <f t="shared" si="26"/>
        <v>400</v>
      </c>
      <c r="M17" s="35">
        <f t="shared" si="27"/>
        <v>20</v>
      </c>
      <c r="N17" s="35">
        <f t="shared" si="28"/>
        <v>200</v>
      </c>
      <c r="O17" s="35" t="str">
        <f t="shared" si="29"/>
        <v>MTN2</v>
      </c>
      <c r="P17" s="35" t="str">
        <f t="shared" si="30"/>
        <v>CNT2</v>
      </c>
      <c r="Q17" s="35" t="str">
        <f t="shared" si="31"/>
        <v>KNT3</v>
      </c>
      <c r="R17" s="35" t="str">
        <f t="shared" si="32"/>
        <v>E</v>
      </c>
      <c r="S17" s="35" t="str">
        <f t="shared" si="33"/>
        <v>EXP1</v>
      </c>
      <c r="T17" s="58"/>
      <c r="U17" s="58"/>
      <c r="V17" s="58"/>
      <c r="W17" s="58"/>
      <c r="X17" s="58"/>
      <c r="Y17" s="58"/>
      <c r="Z17" s="58"/>
      <c r="AA17" s="95">
        <f t="shared" si="9"/>
        <v>0.2</v>
      </c>
      <c r="AB17" s="96">
        <f t="shared" si="10"/>
        <v>20</v>
      </c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89">
        <f t="shared" si="11"/>
        <v>2</v>
      </c>
      <c r="AN17" s="5">
        <f t="shared" si="0"/>
        <v>35.5</v>
      </c>
      <c r="AO17" s="14">
        <f t="shared" si="1"/>
        <v>1.6362628753157216</v>
      </c>
      <c r="AP17" s="14">
        <f>IF((OR(R17="A",R17="B",R17="C")),INDEX(Coefficients!$S$4:$S$22,MATCH(J17,Coefficients!$R$4:$R$22)),INDEX(Coefficients!$T$4:$T$22,MATCH(J17,Coefficients!$R$4:$R$22)))</f>
        <v>1.3</v>
      </c>
      <c r="AQ17" s="27">
        <f>IF((OR(R17="A",R17="B",R17="C")),INDEX(Coefficients!$S$4:$S$22,MATCH(K17,Coefficients!$R$4:$R$22)),INDEX(Coefficients!$T$4:$T$22,MATCH(K17,Coefficients!$R$4:$R$22)))</f>
        <v>25</v>
      </c>
      <c r="AR17" s="15">
        <f>IF(OR(R17="A",R17="B",R17="C",R17="D"),IF(AN17&gt;=11,IF(AN17&gt;=26,Coefficients!$M$6,Coefficients!$M$5),Coefficients!$M$4),IF(AN17&gt;=11,IF(AN17&gt;=26,Coefficients!$N$6,Coefficients!$N$5),Coefficients!$N$4))</f>
        <v>1</v>
      </c>
      <c r="AS17" s="15">
        <f>INDEX(Coefficients!$X$3:$X$4,MATCH(S17,Coefficients!$W$3:$W$4))</f>
        <v>1</v>
      </c>
      <c r="AT17" s="15">
        <f>INDEX(Coefficients!$X$7:$X$8,MATCH(O17,Coefficients!$W$7:$W$8))</f>
        <v>1</v>
      </c>
      <c r="AU17" s="15">
        <f>INDEX(Coefficients!$X$11:$X$12,MATCH(P17,Coefficients!$W$11:$W$12))</f>
        <v>1</v>
      </c>
      <c r="AV17" s="15">
        <f>INDEX(Coefficients!$X$15:$X$17,MATCH(Q17,Coefficients!$W$15:$W$17))</f>
        <v>1</v>
      </c>
      <c r="AW17" s="15">
        <f t="shared" si="12"/>
        <v>1</v>
      </c>
      <c r="AX17" s="15">
        <f t="shared" si="13"/>
        <v>1</v>
      </c>
      <c r="AY17" s="15">
        <f t="shared" si="14"/>
        <v>1.3</v>
      </c>
      <c r="AZ17" s="14">
        <f t="shared" si="15"/>
        <v>40.90657188289304</v>
      </c>
      <c r="BA17" s="14">
        <f t="shared" si="16"/>
        <v>0</v>
      </c>
      <c r="BB17" s="14">
        <f t="shared" si="17"/>
        <v>2.127141737910438</v>
      </c>
      <c r="BC17" s="14">
        <f t="shared" si="18"/>
        <v>1.7872858262089562</v>
      </c>
      <c r="BD17" s="14">
        <f t="shared" si="2"/>
        <v>0.48891899466070676</v>
      </c>
      <c r="BE17" s="16">
        <f t="shared" si="3"/>
        <v>20</v>
      </c>
      <c r="BF17" s="16">
        <f t="shared" si="4"/>
        <v>360</v>
      </c>
      <c r="BG17" s="17">
        <f t="shared" si="5"/>
        <v>0.2</v>
      </c>
      <c r="BH17" s="14">
        <f t="shared" si="6"/>
        <v>44</v>
      </c>
      <c r="BI17" s="14">
        <f t="shared" si="7"/>
        <v>312</v>
      </c>
      <c r="BJ17" s="14">
        <f t="shared" si="8"/>
        <v>39.885358256308649</v>
      </c>
    </row>
    <row r="18" spans="2:62">
      <c r="B18" s="35" t="s">
        <v>134</v>
      </c>
      <c r="C18" s="35" t="s">
        <v>135</v>
      </c>
      <c r="D18" s="14">
        <v>2008</v>
      </c>
      <c r="E18" s="90">
        <f t="shared" si="19"/>
        <v>35.5</v>
      </c>
      <c r="F18" s="89">
        <f t="shared" si="20"/>
        <v>21.5</v>
      </c>
      <c r="G18" s="35">
        <f t="shared" si="21"/>
        <v>2005</v>
      </c>
      <c r="H18" s="91" t="str">
        <f t="shared" si="22"/>
        <v>Pile 32 @ Berth 201</v>
      </c>
      <c r="I18" s="35" t="str">
        <f t="shared" si="23"/>
        <v>Turpentine Gum</v>
      </c>
      <c r="J18" s="35" t="str">
        <f t="shared" si="24"/>
        <v>HW1</v>
      </c>
      <c r="K18" s="35" t="str">
        <f t="shared" si="25"/>
        <v>SPHU</v>
      </c>
      <c r="L18" s="35">
        <f t="shared" si="26"/>
        <v>400</v>
      </c>
      <c r="M18" s="35">
        <f t="shared" si="27"/>
        <v>20</v>
      </c>
      <c r="N18" s="35">
        <f t="shared" si="28"/>
        <v>200</v>
      </c>
      <c r="O18" s="35" t="str">
        <f t="shared" si="29"/>
        <v>MTN2</v>
      </c>
      <c r="P18" s="35" t="str">
        <f t="shared" si="30"/>
        <v>CNT2</v>
      </c>
      <c r="Q18" s="35" t="str">
        <f t="shared" si="31"/>
        <v>KNT3</v>
      </c>
      <c r="R18" s="35" t="str">
        <f t="shared" si="32"/>
        <v>E</v>
      </c>
      <c r="S18" s="35" t="str">
        <f t="shared" si="33"/>
        <v>EXP1</v>
      </c>
      <c r="T18" s="58"/>
      <c r="U18" s="58"/>
      <c r="V18" s="58"/>
      <c r="W18" s="58"/>
      <c r="X18" s="58"/>
      <c r="Y18" s="58"/>
      <c r="Z18" s="58"/>
      <c r="AA18" s="95">
        <f t="shared" si="9"/>
        <v>0.21539614935226503</v>
      </c>
      <c r="AB18" s="96">
        <f t="shared" si="10"/>
        <v>21.539614935226503</v>
      </c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89">
        <f t="shared" si="11"/>
        <v>3</v>
      </c>
      <c r="AN18" s="5">
        <f t="shared" si="0"/>
        <v>35.5</v>
      </c>
      <c r="AO18" s="14">
        <f t="shared" si="1"/>
        <v>1.6362628753157216</v>
      </c>
      <c r="AP18" s="14">
        <f>IF((OR(R18="A",R18="B",R18="C")),INDEX(Coefficients!$S$4:$S$22,MATCH(J18,Coefficients!$R$4:$R$22)),INDEX(Coefficients!$T$4:$T$22,MATCH(J18,Coefficients!$R$4:$R$22)))</f>
        <v>1.3</v>
      </c>
      <c r="AQ18" s="27">
        <f>IF((OR(R18="A",R18="B",R18="C")),INDEX(Coefficients!$S$4:$S$22,MATCH(K18,Coefficients!$R$4:$R$22)),INDEX(Coefficients!$T$4:$T$22,MATCH(K18,Coefficients!$R$4:$R$22)))</f>
        <v>25</v>
      </c>
      <c r="AR18" s="15">
        <f>IF(OR(R18="A",R18="B",R18="C",R18="D"),IF(AN18&gt;=11,IF(AN18&gt;=26,Coefficients!$M$6,Coefficients!$M$5),Coefficients!$M$4),IF(AN18&gt;=11,IF(AN18&gt;=26,Coefficients!$N$6,Coefficients!$N$5),Coefficients!$N$4))</f>
        <v>1</v>
      </c>
      <c r="AS18" s="15">
        <f>INDEX(Coefficients!$X$3:$X$4,MATCH(S18,Coefficients!$W$3:$W$4))</f>
        <v>1</v>
      </c>
      <c r="AT18" s="15">
        <f>INDEX(Coefficients!$X$7:$X$8,MATCH(O18,Coefficients!$W$7:$W$8))</f>
        <v>1</v>
      </c>
      <c r="AU18" s="15">
        <f>INDEX(Coefficients!$X$11:$X$12,MATCH(P18,Coefficients!$W$11:$W$12))</f>
        <v>1</v>
      </c>
      <c r="AV18" s="15">
        <f>INDEX(Coefficients!$X$15:$X$17,MATCH(Q18,Coefficients!$W$15:$W$17))</f>
        <v>1</v>
      </c>
      <c r="AW18" s="15">
        <f t="shared" si="12"/>
        <v>1</v>
      </c>
      <c r="AX18" s="15">
        <f t="shared" si="13"/>
        <v>1</v>
      </c>
      <c r="AY18" s="15">
        <f t="shared" si="14"/>
        <v>1.3</v>
      </c>
      <c r="AZ18" s="14">
        <f t="shared" si="15"/>
        <v>40.90657188289304</v>
      </c>
      <c r="BA18" s="14">
        <f t="shared" si="16"/>
        <v>0</v>
      </c>
      <c r="BB18" s="14">
        <f t="shared" si="17"/>
        <v>2.127141737910438</v>
      </c>
      <c r="BC18" s="14">
        <f t="shared" si="18"/>
        <v>1.7872858262089562</v>
      </c>
      <c r="BD18" s="14">
        <f t="shared" si="2"/>
        <v>0.48891899466070676</v>
      </c>
      <c r="BE18" s="16">
        <f t="shared" si="3"/>
        <v>21.539614935226503</v>
      </c>
      <c r="BF18" s="16">
        <f t="shared" si="4"/>
        <v>356.92077012954701</v>
      </c>
      <c r="BG18" s="17">
        <f t="shared" si="5"/>
        <v>0.21539614935226503</v>
      </c>
      <c r="BH18" s="14">
        <f t="shared" si="6"/>
        <v>47.387152857498307</v>
      </c>
      <c r="BI18" s="14">
        <f t="shared" si="7"/>
        <v>305.22569428500339</v>
      </c>
      <c r="BJ18" s="14">
        <f t="shared" si="8"/>
        <v>39.885358256308649</v>
      </c>
    </row>
    <row r="19" spans="2:62">
      <c r="B19" s="35" t="s">
        <v>134</v>
      </c>
      <c r="C19" s="35" t="s">
        <v>135</v>
      </c>
      <c r="D19" s="14">
        <v>2009</v>
      </c>
      <c r="E19" s="90">
        <f t="shared" si="19"/>
        <v>35.5</v>
      </c>
      <c r="F19" s="89">
        <f t="shared" si="20"/>
        <v>21.5</v>
      </c>
      <c r="G19" s="35">
        <f t="shared" si="21"/>
        <v>2005</v>
      </c>
      <c r="H19" s="91" t="str">
        <f t="shared" si="22"/>
        <v>Pile 32 @ Berth 201</v>
      </c>
      <c r="I19" s="35" t="str">
        <f t="shared" si="23"/>
        <v>Turpentine Gum</v>
      </c>
      <c r="J19" s="35" t="str">
        <f t="shared" si="24"/>
        <v>HW1</v>
      </c>
      <c r="K19" s="35" t="str">
        <f t="shared" si="25"/>
        <v>SPHU</v>
      </c>
      <c r="L19" s="35">
        <f t="shared" si="26"/>
        <v>400</v>
      </c>
      <c r="M19" s="35">
        <f t="shared" si="27"/>
        <v>20</v>
      </c>
      <c r="N19" s="35">
        <f t="shared" si="28"/>
        <v>200</v>
      </c>
      <c r="O19" s="35" t="str">
        <f t="shared" si="29"/>
        <v>MTN2</v>
      </c>
      <c r="P19" s="35" t="str">
        <f t="shared" si="30"/>
        <v>CNT2</v>
      </c>
      <c r="Q19" s="35" t="str">
        <f t="shared" si="31"/>
        <v>KNT3</v>
      </c>
      <c r="R19" s="35" t="str">
        <f t="shared" si="32"/>
        <v>E</v>
      </c>
      <c r="S19" s="35" t="str">
        <f t="shared" si="33"/>
        <v>EXP1</v>
      </c>
      <c r="T19" s="58"/>
      <c r="U19" s="58"/>
      <c r="V19" s="58"/>
      <c r="W19" s="58"/>
      <c r="X19" s="58"/>
      <c r="Y19" s="58"/>
      <c r="Z19" s="58"/>
      <c r="AA19" s="95">
        <f t="shared" si="9"/>
        <v>0.23666756673136941</v>
      </c>
      <c r="AB19" s="96">
        <f t="shared" si="10"/>
        <v>23.666756673136941</v>
      </c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89">
        <f t="shared" si="11"/>
        <v>4</v>
      </c>
      <c r="AN19" s="5">
        <f t="shared" si="0"/>
        <v>35.5</v>
      </c>
      <c r="AO19" s="14">
        <f t="shared" si="1"/>
        <v>1.6362628753157216</v>
      </c>
      <c r="AP19" s="14">
        <f>IF((OR(R19="A",R19="B",R19="C")),INDEX(Coefficients!$S$4:$S$22,MATCH(J19,Coefficients!$R$4:$R$22)),INDEX(Coefficients!$T$4:$T$22,MATCH(J19,Coefficients!$R$4:$R$22)))</f>
        <v>1.3</v>
      </c>
      <c r="AQ19" s="27">
        <f>IF((OR(R19="A",R19="B",R19="C")),INDEX(Coefficients!$S$4:$S$22,MATCH(K19,Coefficients!$R$4:$R$22)),INDEX(Coefficients!$T$4:$T$22,MATCH(K19,Coefficients!$R$4:$R$22)))</f>
        <v>25</v>
      </c>
      <c r="AR19" s="15">
        <f>IF(OR(R19="A",R19="B",R19="C",R19="D"),IF(AN19&gt;=11,IF(AN19&gt;=26,Coefficients!$M$6,Coefficients!$M$5),Coefficients!$M$4),IF(AN19&gt;=11,IF(AN19&gt;=26,Coefficients!$N$6,Coefficients!$N$5),Coefficients!$N$4))</f>
        <v>1</v>
      </c>
      <c r="AS19" s="15">
        <f>INDEX(Coefficients!$X$3:$X$4,MATCH(S19,Coefficients!$W$3:$W$4))</f>
        <v>1</v>
      </c>
      <c r="AT19" s="15">
        <f>INDEX(Coefficients!$X$7:$X$8,MATCH(O19,Coefficients!$W$7:$W$8))</f>
        <v>1</v>
      </c>
      <c r="AU19" s="15">
        <f>INDEX(Coefficients!$X$11:$X$12,MATCH(P19,Coefficients!$W$11:$W$12))</f>
        <v>1</v>
      </c>
      <c r="AV19" s="15">
        <f>INDEX(Coefficients!$X$15:$X$17,MATCH(Q19,Coefficients!$W$15:$W$17))</f>
        <v>1</v>
      </c>
      <c r="AW19" s="15">
        <f t="shared" si="12"/>
        <v>1</v>
      </c>
      <c r="AX19" s="15">
        <f t="shared" si="13"/>
        <v>1</v>
      </c>
      <c r="AY19" s="15">
        <f t="shared" si="14"/>
        <v>1.3</v>
      </c>
      <c r="AZ19" s="14">
        <f t="shared" si="15"/>
        <v>40.90657188289304</v>
      </c>
      <c r="BA19" s="14">
        <f t="shared" si="16"/>
        <v>0</v>
      </c>
      <c r="BB19" s="14">
        <f t="shared" si="17"/>
        <v>2.127141737910438</v>
      </c>
      <c r="BC19" s="14">
        <f t="shared" si="18"/>
        <v>1.7872858262089562</v>
      </c>
      <c r="BD19" s="14">
        <f t="shared" si="2"/>
        <v>0.48891899466070676</v>
      </c>
      <c r="BE19" s="16">
        <f t="shared" si="3"/>
        <v>23.666756673136941</v>
      </c>
      <c r="BF19" s="16">
        <f t="shared" si="4"/>
        <v>352.66648665372611</v>
      </c>
      <c r="BG19" s="17">
        <f t="shared" si="5"/>
        <v>0.23666756673136941</v>
      </c>
      <c r="BH19" s="14">
        <f t="shared" si="6"/>
        <v>52.066864680901276</v>
      </c>
      <c r="BI19" s="14">
        <f t="shared" si="7"/>
        <v>295.86627063819742</v>
      </c>
      <c r="BJ19" s="14">
        <f t="shared" si="8"/>
        <v>39.885358256308649</v>
      </c>
    </row>
    <row r="20" spans="2:62">
      <c r="B20" s="35" t="s">
        <v>134</v>
      </c>
      <c r="C20" s="35" t="s">
        <v>135</v>
      </c>
      <c r="D20" s="14">
        <v>2010</v>
      </c>
      <c r="E20" s="90">
        <f t="shared" si="19"/>
        <v>35.5</v>
      </c>
      <c r="F20" s="89">
        <f t="shared" si="20"/>
        <v>21.5</v>
      </c>
      <c r="G20" s="35">
        <f t="shared" si="21"/>
        <v>2005</v>
      </c>
      <c r="H20" s="91" t="str">
        <f t="shared" si="22"/>
        <v>Pile 32 @ Berth 201</v>
      </c>
      <c r="I20" s="35" t="str">
        <f t="shared" si="23"/>
        <v>Turpentine Gum</v>
      </c>
      <c r="J20" s="35" t="str">
        <f t="shared" si="24"/>
        <v>HW1</v>
      </c>
      <c r="K20" s="35" t="str">
        <f t="shared" si="25"/>
        <v>SPHU</v>
      </c>
      <c r="L20" s="35">
        <f t="shared" si="26"/>
        <v>400</v>
      </c>
      <c r="M20" s="35">
        <f t="shared" si="27"/>
        <v>20</v>
      </c>
      <c r="N20" s="35">
        <f t="shared" si="28"/>
        <v>200</v>
      </c>
      <c r="O20" s="35" t="str">
        <f t="shared" si="29"/>
        <v>MTN2</v>
      </c>
      <c r="P20" s="35" t="str">
        <f t="shared" si="30"/>
        <v>CNT2</v>
      </c>
      <c r="Q20" s="35" t="str">
        <f t="shared" si="31"/>
        <v>KNT3</v>
      </c>
      <c r="R20" s="35" t="str">
        <f t="shared" si="32"/>
        <v>E</v>
      </c>
      <c r="S20" s="35" t="str">
        <f t="shared" si="33"/>
        <v>EXP1</v>
      </c>
      <c r="T20" s="58"/>
      <c r="U20" s="58"/>
      <c r="V20" s="58"/>
      <c r="W20" s="58"/>
      <c r="X20" s="58"/>
      <c r="Y20" s="58"/>
      <c r="Z20" s="58"/>
      <c r="AA20" s="95">
        <f t="shared" si="9"/>
        <v>0.25793898411047378</v>
      </c>
      <c r="AB20" s="96">
        <f t="shared" si="10"/>
        <v>25.79389841104738</v>
      </c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89">
        <f t="shared" si="11"/>
        <v>5</v>
      </c>
      <c r="AN20" s="5">
        <f t="shared" si="0"/>
        <v>35.5</v>
      </c>
      <c r="AO20" s="14">
        <f t="shared" si="1"/>
        <v>1.6362628753157216</v>
      </c>
      <c r="AP20" s="14">
        <f>IF((OR(R20="A",R20="B",R20="C")),INDEX(Coefficients!$S$4:$S$22,MATCH(J20,Coefficients!$R$4:$R$22)),INDEX(Coefficients!$T$4:$T$22,MATCH(J20,Coefficients!$R$4:$R$22)))</f>
        <v>1.3</v>
      </c>
      <c r="AQ20" s="27">
        <f>IF((OR(R20="A",R20="B",R20="C")),INDEX(Coefficients!$S$4:$S$22,MATCH(K20,Coefficients!$R$4:$R$22)),INDEX(Coefficients!$T$4:$T$22,MATCH(K20,Coefficients!$R$4:$R$22)))</f>
        <v>25</v>
      </c>
      <c r="AR20" s="15">
        <f>IF(OR(R20="A",R20="B",R20="C",R20="D"),IF(AN20&gt;=11,IF(AN20&gt;=26,Coefficients!$M$6,Coefficients!$M$5),Coefficients!$M$4),IF(AN20&gt;=11,IF(AN20&gt;=26,Coefficients!$N$6,Coefficients!$N$5),Coefficients!$N$4))</f>
        <v>1</v>
      </c>
      <c r="AS20" s="15">
        <f>INDEX(Coefficients!$X$3:$X$4,MATCH(S20,Coefficients!$W$3:$W$4))</f>
        <v>1</v>
      </c>
      <c r="AT20" s="15">
        <f>INDEX(Coefficients!$X$7:$X$8,MATCH(O20,Coefficients!$W$7:$W$8))</f>
        <v>1</v>
      </c>
      <c r="AU20" s="15">
        <f>INDEX(Coefficients!$X$11:$X$12,MATCH(P20,Coefficients!$W$11:$W$12))</f>
        <v>1</v>
      </c>
      <c r="AV20" s="15">
        <f>INDEX(Coefficients!$X$15:$X$17,MATCH(Q20,Coefficients!$W$15:$W$17))</f>
        <v>1</v>
      </c>
      <c r="AW20" s="15">
        <f t="shared" si="12"/>
        <v>1</v>
      </c>
      <c r="AX20" s="15">
        <f t="shared" si="13"/>
        <v>1</v>
      </c>
      <c r="AY20" s="15">
        <f t="shared" si="14"/>
        <v>1.3</v>
      </c>
      <c r="AZ20" s="14">
        <f t="shared" si="15"/>
        <v>40.90657188289304</v>
      </c>
      <c r="BA20" s="14">
        <f t="shared" si="16"/>
        <v>0</v>
      </c>
      <c r="BB20" s="14">
        <f t="shared" si="17"/>
        <v>2.127141737910438</v>
      </c>
      <c r="BC20" s="14">
        <f t="shared" si="18"/>
        <v>1.7872858262089562</v>
      </c>
      <c r="BD20" s="14">
        <f t="shared" si="2"/>
        <v>0.48891899466070676</v>
      </c>
      <c r="BE20" s="16">
        <f t="shared" si="3"/>
        <v>25.79389841104738</v>
      </c>
      <c r="BF20" s="16">
        <f t="shared" si="4"/>
        <v>348.41220317790521</v>
      </c>
      <c r="BG20" s="17">
        <f t="shared" si="5"/>
        <v>0.25793898411047378</v>
      </c>
      <c r="BH20" s="14">
        <f t="shared" si="6"/>
        <v>56.746576504304237</v>
      </c>
      <c r="BI20" s="14">
        <f t="shared" si="7"/>
        <v>286.50684699139151</v>
      </c>
      <c r="BJ20" s="14">
        <f t="shared" si="8"/>
        <v>39.885358256308649</v>
      </c>
    </row>
    <row r="21" spans="2:62">
      <c r="B21" s="35" t="s">
        <v>134</v>
      </c>
      <c r="C21" s="35" t="s">
        <v>135</v>
      </c>
      <c r="D21" s="14">
        <v>2011</v>
      </c>
      <c r="E21" s="90">
        <f t="shared" si="19"/>
        <v>35.5</v>
      </c>
      <c r="F21" s="89">
        <f t="shared" si="20"/>
        <v>21.5</v>
      </c>
      <c r="G21" s="35">
        <f t="shared" si="21"/>
        <v>2005</v>
      </c>
      <c r="H21" s="91" t="str">
        <f t="shared" si="22"/>
        <v>Pile 32 @ Berth 201</v>
      </c>
      <c r="I21" s="35" t="str">
        <f t="shared" si="23"/>
        <v>Turpentine Gum</v>
      </c>
      <c r="J21" s="35" t="str">
        <f t="shared" si="24"/>
        <v>HW1</v>
      </c>
      <c r="K21" s="35" t="str">
        <f t="shared" si="25"/>
        <v>SPHU</v>
      </c>
      <c r="L21" s="35">
        <f t="shared" si="26"/>
        <v>400</v>
      </c>
      <c r="M21" s="35">
        <f t="shared" si="27"/>
        <v>20</v>
      </c>
      <c r="N21" s="35">
        <f t="shared" si="28"/>
        <v>200</v>
      </c>
      <c r="O21" s="35" t="str">
        <f t="shared" si="29"/>
        <v>MTN2</v>
      </c>
      <c r="P21" s="35" t="str">
        <f t="shared" si="30"/>
        <v>CNT2</v>
      </c>
      <c r="Q21" s="35" t="str">
        <f t="shared" si="31"/>
        <v>KNT3</v>
      </c>
      <c r="R21" s="35" t="str">
        <f t="shared" si="32"/>
        <v>E</v>
      </c>
      <c r="S21" s="35" t="str">
        <f t="shared" si="33"/>
        <v>EXP1</v>
      </c>
      <c r="T21" s="58"/>
      <c r="U21" s="58"/>
      <c r="V21" s="58"/>
      <c r="W21" s="58"/>
      <c r="X21" s="58"/>
      <c r="Y21" s="58"/>
      <c r="Z21" s="58"/>
      <c r="AA21" s="95">
        <f t="shared" si="9"/>
        <v>0.27921040148957815</v>
      </c>
      <c r="AB21" s="96">
        <f t="shared" si="10"/>
        <v>27.921040148957815</v>
      </c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89">
        <f t="shared" si="11"/>
        <v>6</v>
      </c>
      <c r="AN21" s="5">
        <f t="shared" si="0"/>
        <v>35.5</v>
      </c>
      <c r="AO21" s="14">
        <f t="shared" si="1"/>
        <v>1.6362628753157216</v>
      </c>
      <c r="AP21" s="14">
        <f>IF((OR(R21="A",R21="B",R21="C")),INDEX(Coefficients!$S$4:$S$22,MATCH(J21,Coefficients!$R$4:$R$22)),INDEX(Coefficients!$T$4:$T$22,MATCH(J21,Coefficients!$R$4:$R$22)))</f>
        <v>1.3</v>
      </c>
      <c r="AQ21" s="27">
        <f>IF((OR(R21="A",R21="B",R21="C")),INDEX(Coefficients!$S$4:$S$22,MATCH(K21,Coefficients!$R$4:$R$22)),INDEX(Coefficients!$T$4:$T$22,MATCH(K21,Coefficients!$R$4:$R$22)))</f>
        <v>25</v>
      </c>
      <c r="AR21" s="15">
        <f>IF(OR(R21="A",R21="B",R21="C",R21="D"),IF(AN21&gt;=11,IF(AN21&gt;=26,Coefficients!$M$6,Coefficients!$M$5),Coefficients!$M$4),IF(AN21&gt;=11,IF(AN21&gt;=26,Coefficients!$N$6,Coefficients!$N$5),Coefficients!$N$4))</f>
        <v>1</v>
      </c>
      <c r="AS21" s="15">
        <f>INDEX(Coefficients!$X$3:$X$4,MATCH(S21,Coefficients!$W$3:$W$4))</f>
        <v>1</v>
      </c>
      <c r="AT21" s="15">
        <f>INDEX(Coefficients!$X$7:$X$8,MATCH(O21,Coefficients!$W$7:$W$8))</f>
        <v>1</v>
      </c>
      <c r="AU21" s="15">
        <f>INDEX(Coefficients!$X$11:$X$12,MATCH(P21,Coefficients!$W$11:$W$12))</f>
        <v>1</v>
      </c>
      <c r="AV21" s="15">
        <f>INDEX(Coefficients!$X$15:$X$17,MATCH(Q21,Coefficients!$W$15:$W$17))</f>
        <v>1</v>
      </c>
      <c r="AW21" s="15">
        <f t="shared" si="12"/>
        <v>1</v>
      </c>
      <c r="AX21" s="15">
        <f t="shared" si="13"/>
        <v>1</v>
      </c>
      <c r="AY21" s="15">
        <f t="shared" si="14"/>
        <v>1.3</v>
      </c>
      <c r="AZ21" s="14">
        <f t="shared" si="15"/>
        <v>40.90657188289304</v>
      </c>
      <c r="BA21" s="14">
        <f t="shared" si="16"/>
        <v>0</v>
      </c>
      <c r="BB21" s="14">
        <f t="shared" si="17"/>
        <v>2.127141737910438</v>
      </c>
      <c r="BC21" s="14">
        <f t="shared" si="18"/>
        <v>1.7872858262089562</v>
      </c>
      <c r="BD21" s="14">
        <f t="shared" si="2"/>
        <v>0.48891899466070676</v>
      </c>
      <c r="BE21" s="16">
        <f t="shared" si="3"/>
        <v>27.921040148957815</v>
      </c>
      <c r="BF21" s="16">
        <f t="shared" si="4"/>
        <v>344.15791970208437</v>
      </c>
      <c r="BG21" s="17">
        <f t="shared" si="5"/>
        <v>0.27921040148957815</v>
      </c>
      <c r="BH21" s="14">
        <f t="shared" si="6"/>
        <v>61.426288327707198</v>
      </c>
      <c r="BI21" s="14">
        <f t="shared" si="7"/>
        <v>277.1474233445856</v>
      </c>
      <c r="BJ21" s="14">
        <f t="shared" si="8"/>
        <v>39.885358256308649</v>
      </c>
    </row>
    <row r="22" spans="2:62">
      <c r="B22" s="35" t="s">
        <v>134</v>
      </c>
      <c r="C22" s="35" t="s">
        <v>135</v>
      </c>
      <c r="D22" s="14">
        <v>2012</v>
      </c>
      <c r="E22" s="90">
        <f t="shared" si="19"/>
        <v>35.5</v>
      </c>
      <c r="F22" s="89">
        <f t="shared" si="20"/>
        <v>21.5</v>
      </c>
      <c r="G22" s="35">
        <f t="shared" si="21"/>
        <v>2005</v>
      </c>
      <c r="H22" s="91" t="str">
        <f t="shared" si="22"/>
        <v>Pile 32 @ Berth 201</v>
      </c>
      <c r="I22" s="35" t="str">
        <f t="shared" si="23"/>
        <v>Turpentine Gum</v>
      </c>
      <c r="J22" s="35" t="str">
        <f t="shared" si="24"/>
        <v>HW1</v>
      </c>
      <c r="K22" s="35" t="str">
        <f t="shared" si="25"/>
        <v>SPHU</v>
      </c>
      <c r="L22" s="35">
        <f t="shared" si="26"/>
        <v>400</v>
      </c>
      <c r="M22" s="35">
        <f t="shared" si="27"/>
        <v>20</v>
      </c>
      <c r="N22" s="35">
        <f t="shared" si="28"/>
        <v>200</v>
      </c>
      <c r="O22" s="35" t="str">
        <f t="shared" si="29"/>
        <v>MTN2</v>
      </c>
      <c r="P22" s="35" t="str">
        <f t="shared" si="30"/>
        <v>CNT2</v>
      </c>
      <c r="Q22" s="35" t="str">
        <f t="shared" si="31"/>
        <v>KNT3</v>
      </c>
      <c r="R22" s="35" t="str">
        <f t="shared" si="32"/>
        <v>E</v>
      </c>
      <c r="S22" s="35" t="str">
        <f t="shared" si="33"/>
        <v>EXP1</v>
      </c>
      <c r="T22" s="58"/>
      <c r="U22" s="58"/>
      <c r="V22" s="58"/>
      <c r="W22" s="58"/>
      <c r="X22" s="58"/>
      <c r="Y22" s="58"/>
      <c r="Z22" s="58"/>
      <c r="AA22" s="95">
        <f t="shared" si="9"/>
        <v>0.30048181886868258</v>
      </c>
      <c r="AB22" s="96">
        <f t="shared" si="10"/>
        <v>30.048181886868257</v>
      </c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89">
        <f t="shared" si="11"/>
        <v>7</v>
      </c>
      <c r="AN22" s="5">
        <f t="shared" si="0"/>
        <v>35.5</v>
      </c>
      <c r="AO22" s="14">
        <f t="shared" si="1"/>
        <v>1.6362628753157216</v>
      </c>
      <c r="AP22" s="14">
        <f>IF((OR(R22="A",R22="B",R22="C")),INDEX(Coefficients!$S$4:$S$22,MATCH(J22,Coefficients!$R$4:$R$22)),INDEX(Coefficients!$T$4:$T$22,MATCH(J22,Coefficients!$R$4:$R$22)))</f>
        <v>1.3</v>
      </c>
      <c r="AQ22" s="27">
        <f>IF((OR(R22="A",R22="B",R22="C")),INDEX(Coefficients!$S$4:$S$22,MATCH(K22,Coefficients!$R$4:$R$22)),INDEX(Coefficients!$T$4:$T$22,MATCH(K22,Coefficients!$R$4:$R$22)))</f>
        <v>25</v>
      </c>
      <c r="AR22" s="15">
        <f>IF(OR(R22="A",R22="B",R22="C",R22="D"),IF(AN22&gt;=11,IF(AN22&gt;=26,Coefficients!$M$6,Coefficients!$M$5),Coefficients!$M$4),IF(AN22&gt;=11,IF(AN22&gt;=26,Coefficients!$N$6,Coefficients!$N$5),Coefficients!$N$4))</f>
        <v>1</v>
      </c>
      <c r="AS22" s="15">
        <f>INDEX(Coefficients!$X$3:$X$4,MATCH(S22,Coefficients!$W$3:$W$4))</f>
        <v>1</v>
      </c>
      <c r="AT22" s="15">
        <f>INDEX(Coefficients!$X$7:$X$8,MATCH(O22,Coefficients!$W$7:$W$8))</f>
        <v>1</v>
      </c>
      <c r="AU22" s="15">
        <f>INDEX(Coefficients!$X$11:$X$12,MATCH(P22,Coefficients!$W$11:$W$12))</f>
        <v>1</v>
      </c>
      <c r="AV22" s="15">
        <f>INDEX(Coefficients!$X$15:$X$17,MATCH(Q22,Coefficients!$W$15:$W$17))</f>
        <v>1</v>
      </c>
      <c r="AW22" s="15">
        <f t="shared" si="12"/>
        <v>1</v>
      </c>
      <c r="AX22" s="15">
        <f t="shared" si="13"/>
        <v>1</v>
      </c>
      <c r="AY22" s="15">
        <f t="shared" si="14"/>
        <v>1.3</v>
      </c>
      <c r="AZ22" s="14">
        <f t="shared" si="15"/>
        <v>40.90657188289304</v>
      </c>
      <c r="BA22" s="14">
        <f t="shared" si="16"/>
        <v>0</v>
      </c>
      <c r="BB22" s="14">
        <f t="shared" si="17"/>
        <v>2.127141737910438</v>
      </c>
      <c r="BC22" s="14">
        <f t="shared" si="18"/>
        <v>1.7872858262089562</v>
      </c>
      <c r="BD22" s="14">
        <f t="shared" si="2"/>
        <v>0.48891899466070676</v>
      </c>
      <c r="BE22" s="16">
        <f t="shared" si="3"/>
        <v>30.048181886868257</v>
      </c>
      <c r="BF22" s="16">
        <f t="shared" si="4"/>
        <v>339.90363622626347</v>
      </c>
      <c r="BG22" s="17">
        <f t="shared" si="5"/>
        <v>0.30048181886868258</v>
      </c>
      <c r="BH22" s="14">
        <f t="shared" si="6"/>
        <v>66.106000151110166</v>
      </c>
      <c r="BI22" s="14">
        <f t="shared" si="7"/>
        <v>267.7879996977797</v>
      </c>
      <c r="BJ22" s="14">
        <f t="shared" si="8"/>
        <v>39.885358256308649</v>
      </c>
    </row>
    <row r="23" spans="2:62">
      <c r="B23" s="35" t="s">
        <v>134</v>
      </c>
      <c r="C23" s="35" t="s">
        <v>135</v>
      </c>
      <c r="D23" s="14">
        <v>2013</v>
      </c>
      <c r="E23" s="90">
        <f t="shared" si="19"/>
        <v>35.5</v>
      </c>
      <c r="F23" s="89">
        <f t="shared" si="20"/>
        <v>21.5</v>
      </c>
      <c r="G23" s="35">
        <f t="shared" si="21"/>
        <v>2005</v>
      </c>
      <c r="H23" s="91" t="str">
        <f t="shared" si="22"/>
        <v>Pile 32 @ Berth 201</v>
      </c>
      <c r="I23" s="35" t="str">
        <f t="shared" si="23"/>
        <v>Turpentine Gum</v>
      </c>
      <c r="J23" s="35" t="str">
        <f t="shared" si="24"/>
        <v>HW1</v>
      </c>
      <c r="K23" s="35" t="str">
        <f t="shared" si="25"/>
        <v>SPHU</v>
      </c>
      <c r="L23" s="35">
        <f t="shared" si="26"/>
        <v>400</v>
      </c>
      <c r="M23" s="35">
        <f t="shared" si="27"/>
        <v>20</v>
      </c>
      <c r="N23" s="35">
        <f t="shared" si="28"/>
        <v>200</v>
      </c>
      <c r="O23" s="35" t="str">
        <f t="shared" si="29"/>
        <v>MTN2</v>
      </c>
      <c r="P23" s="35" t="str">
        <f t="shared" si="30"/>
        <v>CNT2</v>
      </c>
      <c r="Q23" s="35" t="str">
        <f t="shared" si="31"/>
        <v>KNT3</v>
      </c>
      <c r="R23" s="35" t="str">
        <f t="shared" si="32"/>
        <v>E</v>
      </c>
      <c r="S23" s="35" t="str">
        <f t="shared" si="33"/>
        <v>EXP1</v>
      </c>
      <c r="T23" s="58"/>
      <c r="U23" s="58"/>
      <c r="V23" s="58"/>
      <c r="W23" s="58"/>
      <c r="X23" s="58"/>
      <c r="Y23" s="58"/>
      <c r="Z23" s="58"/>
      <c r="AA23" s="95">
        <f t="shared" si="9"/>
        <v>0.3217532362477869</v>
      </c>
      <c r="AB23" s="96">
        <f t="shared" si="10"/>
        <v>32.175323624778692</v>
      </c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89">
        <f t="shared" si="11"/>
        <v>8</v>
      </c>
      <c r="AN23" s="5">
        <f t="shared" si="0"/>
        <v>35.5</v>
      </c>
      <c r="AO23" s="14">
        <f t="shared" si="1"/>
        <v>1.6362628753157216</v>
      </c>
      <c r="AP23" s="14">
        <f>IF((OR(R23="A",R23="B",R23="C")),INDEX(Coefficients!$S$4:$S$22,MATCH(J23,Coefficients!$R$4:$R$22)),INDEX(Coefficients!$T$4:$T$22,MATCH(J23,Coefficients!$R$4:$R$22)))</f>
        <v>1.3</v>
      </c>
      <c r="AQ23" s="27">
        <f>IF((OR(R23="A",R23="B",R23="C")),INDEX(Coefficients!$S$4:$S$22,MATCH(K23,Coefficients!$R$4:$R$22)),INDEX(Coefficients!$T$4:$T$22,MATCH(K23,Coefficients!$R$4:$R$22)))</f>
        <v>25</v>
      </c>
      <c r="AR23" s="15">
        <f>IF(OR(R23="A",R23="B",R23="C",R23="D"),IF(AN23&gt;=11,IF(AN23&gt;=26,Coefficients!$M$6,Coefficients!$M$5),Coefficients!$M$4),IF(AN23&gt;=11,IF(AN23&gt;=26,Coefficients!$N$6,Coefficients!$N$5),Coefficients!$N$4))</f>
        <v>1</v>
      </c>
      <c r="AS23" s="15">
        <f>INDEX(Coefficients!$X$3:$X$4,MATCH(S23,Coefficients!$W$3:$W$4))</f>
        <v>1</v>
      </c>
      <c r="AT23" s="15">
        <f>INDEX(Coefficients!$X$7:$X$8,MATCH(O23,Coefficients!$W$7:$W$8))</f>
        <v>1</v>
      </c>
      <c r="AU23" s="15">
        <f>INDEX(Coefficients!$X$11:$X$12,MATCH(P23,Coefficients!$W$11:$W$12))</f>
        <v>1</v>
      </c>
      <c r="AV23" s="15">
        <f>INDEX(Coefficients!$X$15:$X$17,MATCH(Q23,Coefficients!$W$15:$W$17))</f>
        <v>1</v>
      </c>
      <c r="AW23" s="15">
        <f t="shared" si="12"/>
        <v>1</v>
      </c>
      <c r="AX23" s="15">
        <f t="shared" si="13"/>
        <v>1</v>
      </c>
      <c r="AY23" s="15">
        <f t="shared" si="14"/>
        <v>1.3</v>
      </c>
      <c r="AZ23" s="14">
        <f t="shared" si="15"/>
        <v>40.90657188289304</v>
      </c>
      <c r="BA23" s="14">
        <f t="shared" si="16"/>
        <v>0</v>
      </c>
      <c r="BB23" s="14">
        <f t="shared" si="17"/>
        <v>2.127141737910438</v>
      </c>
      <c r="BC23" s="14">
        <f t="shared" si="18"/>
        <v>1.7872858262089562</v>
      </c>
      <c r="BD23" s="14">
        <f t="shared" si="2"/>
        <v>0.48891899466070676</v>
      </c>
      <c r="BE23" s="16">
        <f t="shared" si="3"/>
        <v>32.175323624778692</v>
      </c>
      <c r="BF23" s="16">
        <f t="shared" si="4"/>
        <v>335.64935275044263</v>
      </c>
      <c r="BG23" s="17">
        <f t="shared" si="5"/>
        <v>0.3217532362477869</v>
      </c>
      <c r="BH23" s="14">
        <f t="shared" si="6"/>
        <v>70.785711974513134</v>
      </c>
      <c r="BI23" s="14">
        <f t="shared" si="7"/>
        <v>258.42857605097373</v>
      </c>
      <c r="BJ23" s="14">
        <f t="shared" si="8"/>
        <v>39.885358256308649</v>
      </c>
    </row>
    <row r="24" spans="2:62">
      <c r="B24" s="35" t="s">
        <v>134</v>
      </c>
      <c r="C24" s="35" t="s">
        <v>135</v>
      </c>
      <c r="D24" s="14">
        <v>2014</v>
      </c>
      <c r="E24" s="90">
        <f t="shared" si="19"/>
        <v>35.5</v>
      </c>
      <c r="F24" s="89">
        <f t="shared" si="20"/>
        <v>21.5</v>
      </c>
      <c r="G24" s="35">
        <f t="shared" si="21"/>
        <v>2005</v>
      </c>
      <c r="H24" s="91" t="str">
        <f t="shared" si="22"/>
        <v>Pile 32 @ Berth 201</v>
      </c>
      <c r="I24" s="35" t="str">
        <f t="shared" si="23"/>
        <v>Turpentine Gum</v>
      </c>
      <c r="J24" s="35" t="str">
        <f t="shared" si="24"/>
        <v>HW1</v>
      </c>
      <c r="K24" s="35" t="str">
        <f t="shared" si="25"/>
        <v>SPHU</v>
      </c>
      <c r="L24" s="35">
        <f t="shared" si="26"/>
        <v>400</v>
      </c>
      <c r="M24" s="35">
        <f t="shared" si="27"/>
        <v>20</v>
      </c>
      <c r="N24" s="35">
        <f t="shared" si="28"/>
        <v>200</v>
      </c>
      <c r="O24" s="35" t="str">
        <f t="shared" si="29"/>
        <v>MTN2</v>
      </c>
      <c r="P24" s="35" t="str">
        <f t="shared" si="30"/>
        <v>CNT2</v>
      </c>
      <c r="Q24" s="35" t="str">
        <f t="shared" si="31"/>
        <v>KNT3</v>
      </c>
      <c r="R24" s="35" t="str">
        <f t="shared" si="32"/>
        <v>E</v>
      </c>
      <c r="S24" s="35" t="str">
        <f t="shared" si="33"/>
        <v>EXP1</v>
      </c>
      <c r="T24" s="58"/>
      <c r="U24" s="58"/>
      <c r="V24" s="58"/>
      <c r="W24" s="58"/>
      <c r="X24" s="58"/>
      <c r="Y24" s="58"/>
      <c r="Z24" s="58"/>
      <c r="AA24" s="95">
        <f t="shared" si="9"/>
        <v>0.34302465362689127</v>
      </c>
      <c r="AB24" s="96">
        <f t="shared" si="10"/>
        <v>34.302465362689126</v>
      </c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89">
        <f t="shared" si="11"/>
        <v>9</v>
      </c>
      <c r="AN24" s="5">
        <f t="shared" si="0"/>
        <v>35.5</v>
      </c>
      <c r="AO24" s="14">
        <f t="shared" si="1"/>
        <v>1.6362628753157216</v>
      </c>
      <c r="AP24" s="14">
        <f>IF((OR(R24="A",R24="B",R24="C")),INDEX(Coefficients!$S$4:$S$22,MATCH(J24,Coefficients!$R$4:$R$22)),INDEX(Coefficients!$T$4:$T$22,MATCH(J24,Coefficients!$R$4:$R$22)))</f>
        <v>1.3</v>
      </c>
      <c r="AQ24" s="27">
        <f>IF((OR(R24="A",R24="B",R24="C")),INDEX(Coefficients!$S$4:$S$22,MATCH(K24,Coefficients!$R$4:$R$22)),INDEX(Coefficients!$T$4:$T$22,MATCH(K24,Coefficients!$R$4:$R$22)))</f>
        <v>25</v>
      </c>
      <c r="AR24" s="15">
        <f>IF(OR(R24="A",R24="B",R24="C",R24="D"),IF(AN24&gt;=11,IF(AN24&gt;=26,Coefficients!$M$6,Coefficients!$M$5),Coefficients!$M$4),IF(AN24&gt;=11,IF(AN24&gt;=26,Coefficients!$N$6,Coefficients!$N$5),Coefficients!$N$4))</f>
        <v>1</v>
      </c>
      <c r="AS24" s="15">
        <f>INDEX(Coefficients!$X$3:$X$4,MATCH(S24,Coefficients!$W$3:$W$4))</f>
        <v>1</v>
      </c>
      <c r="AT24" s="15">
        <f>INDEX(Coefficients!$X$7:$X$8,MATCH(O24,Coefficients!$W$7:$W$8))</f>
        <v>1</v>
      </c>
      <c r="AU24" s="15">
        <f>INDEX(Coefficients!$X$11:$X$12,MATCH(P24,Coefficients!$W$11:$W$12))</f>
        <v>1</v>
      </c>
      <c r="AV24" s="15">
        <f>INDEX(Coefficients!$X$15:$X$17,MATCH(Q24,Coefficients!$W$15:$W$17))</f>
        <v>1</v>
      </c>
      <c r="AW24" s="15">
        <f t="shared" si="12"/>
        <v>1</v>
      </c>
      <c r="AX24" s="15">
        <f t="shared" si="13"/>
        <v>1</v>
      </c>
      <c r="AY24" s="15">
        <f t="shared" si="14"/>
        <v>1.3</v>
      </c>
      <c r="AZ24" s="14">
        <f t="shared" si="15"/>
        <v>40.90657188289304</v>
      </c>
      <c r="BA24" s="14">
        <f t="shared" si="16"/>
        <v>0</v>
      </c>
      <c r="BB24" s="14">
        <f t="shared" si="17"/>
        <v>2.127141737910438</v>
      </c>
      <c r="BC24" s="14">
        <f t="shared" si="18"/>
        <v>1.7872858262089562</v>
      </c>
      <c r="BD24" s="14">
        <f t="shared" si="2"/>
        <v>0.48891899466070676</v>
      </c>
      <c r="BE24" s="16">
        <f t="shared" si="3"/>
        <v>34.302465362689126</v>
      </c>
      <c r="BF24" s="16">
        <f t="shared" si="4"/>
        <v>331.39506927462173</v>
      </c>
      <c r="BG24" s="17">
        <f t="shared" si="5"/>
        <v>0.34302465362689127</v>
      </c>
      <c r="BH24" s="14">
        <f t="shared" si="6"/>
        <v>75.465423797916088</v>
      </c>
      <c r="BI24" s="14">
        <f t="shared" si="7"/>
        <v>249.06915240416782</v>
      </c>
      <c r="BJ24" s="14">
        <f t="shared" si="8"/>
        <v>39.885358256308649</v>
      </c>
    </row>
    <row r="25" spans="2:62">
      <c r="B25" s="35" t="s">
        <v>134</v>
      </c>
      <c r="C25" s="35" t="s">
        <v>135</v>
      </c>
      <c r="D25" s="14">
        <v>2015</v>
      </c>
      <c r="E25" s="90">
        <f t="shared" si="19"/>
        <v>35.5</v>
      </c>
      <c r="F25" s="89">
        <f t="shared" si="20"/>
        <v>21.5</v>
      </c>
      <c r="G25" s="35">
        <f t="shared" si="21"/>
        <v>2005</v>
      </c>
      <c r="H25" s="91" t="str">
        <f t="shared" si="22"/>
        <v>Pile 32 @ Berth 201</v>
      </c>
      <c r="I25" s="35" t="str">
        <f t="shared" si="23"/>
        <v>Turpentine Gum</v>
      </c>
      <c r="J25" s="35" t="str">
        <f t="shared" si="24"/>
        <v>HW1</v>
      </c>
      <c r="K25" s="35" t="str">
        <f t="shared" si="25"/>
        <v>SPHU</v>
      </c>
      <c r="L25" s="35">
        <f t="shared" si="26"/>
        <v>400</v>
      </c>
      <c r="M25" s="35">
        <f t="shared" si="27"/>
        <v>20</v>
      </c>
      <c r="N25" s="35">
        <f t="shared" si="28"/>
        <v>200</v>
      </c>
      <c r="O25" s="35" t="str">
        <f t="shared" si="29"/>
        <v>MTN2</v>
      </c>
      <c r="P25" s="35" t="str">
        <f t="shared" si="30"/>
        <v>CNT2</v>
      </c>
      <c r="Q25" s="35" t="str">
        <f t="shared" si="31"/>
        <v>KNT3</v>
      </c>
      <c r="R25" s="35" t="str">
        <f t="shared" si="32"/>
        <v>E</v>
      </c>
      <c r="S25" s="35" t="str">
        <f t="shared" si="33"/>
        <v>EXP1</v>
      </c>
      <c r="T25" s="58"/>
      <c r="U25" s="58"/>
      <c r="V25" s="58"/>
      <c r="W25" s="58"/>
      <c r="X25" s="58"/>
      <c r="Y25" s="58"/>
      <c r="Z25" s="58"/>
      <c r="AA25" s="95">
        <f t="shared" si="9"/>
        <v>0.3642960710059957</v>
      </c>
      <c r="AB25" s="96">
        <f t="shared" si="10"/>
        <v>36.429607100599569</v>
      </c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89">
        <f t="shared" si="11"/>
        <v>10</v>
      </c>
      <c r="AN25" s="5">
        <f t="shared" si="0"/>
        <v>35.5</v>
      </c>
      <c r="AO25" s="14">
        <f t="shared" si="1"/>
        <v>1.6362628753157216</v>
      </c>
      <c r="AP25" s="14">
        <f>IF((OR(R25="A",R25="B",R25="C")),INDEX(Coefficients!$S$4:$S$22,MATCH(J25,Coefficients!$R$4:$R$22)),INDEX(Coefficients!$T$4:$T$22,MATCH(J25,Coefficients!$R$4:$R$22)))</f>
        <v>1.3</v>
      </c>
      <c r="AQ25" s="27">
        <f>IF((OR(R25="A",R25="B",R25="C")),INDEX(Coefficients!$S$4:$S$22,MATCH(K25,Coefficients!$R$4:$R$22)),INDEX(Coefficients!$T$4:$T$22,MATCH(K25,Coefficients!$R$4:$R$22)))</f>
        <v>25</v>
      </c>
      <c r="AR25" s="15">
        <f>IF(OR(R25="A",R25="B",R25="C",R25="D"),IF(AN25&gt;=11,IF(AN25&gt;=26,Coefficients!$M$6,Coefficients!$M$5),Coefficients!$M$4),IF(AN25&gt;=11,IF(AN25&gt;=26,Coefficients!$N$6,Coefficients!$N$5),Coefficients!$N$4))</f>
        <v>1</v>
      </c>
      <c r="AS25" s="15">
        <f>INDEX(Coefficients!$X$3:$X$4,MATCH(S25,Coefficients!$W$3:$W$4))</f>
        <v>1</v>
      </c>
      <c r="AT25" s="15">
        <f>INDEX(Coefficients!$X$7:$X$8,MATCH(O25,Coefficients!$W$7:$W$8))</f>
        <v>1</v>
      </c>
      <c r="AU25" s="15">
        <f>INDEX(Coefficients!$X$11:$X$12,MATCH(P25,Coefficients!$W$11:$W$12))</f>
        <v>1</v>
      </c>
      <c r="AV25" s="15">
        <f>INDEX(Coefficients!$X$15:$X$17,MATCH(Q25,Coefficients!$W$15:$W$17))</f>
        <v>1</v>
      </c>
      <c r="AW25" s="15">
        <f t="shared" si="12"/>
        <v>1</v>
      </c>
      <c r="AX25" s="15">
        <f t="shared" si="13"/>
        <v>1</v>
      </c>
      <c r="AY25" s="15">
        <f t="shared" si="14"/>
        <v>1.3</v>
      </c>
      <c r="AZ25" s="14">
        <f t="shared" si="15"/>
        <v>40.90657188289304</v>
      </c>
      <c r="BA25" s="14">
        <f t="shared" si="16"/>
        <v>0</v>
      </c>
      <c r="BB25" s="14">
        <f t="shared" si="17"/>
        <v>2.127141737910438</v>
      </c>
      <c r="BC25" s="14">
        <f t="shared" si="18"/>
        <v>1.7872858262089562</v>
      </c>
      <c r="BD25" s="14">
        <f t="shared" si="2"/>
        <v>0.48891899466070676</v>
      </c>
      <c r="BE25" s="16">
        <f t="shared" si="3"/>
        <v>36.429607100599569</v>
      </c>
      <c r="BF25" s="16">
        <f t="shared" si="4"/>
        <v>327.14078579880083</v>
      </c>
      <c r="BG25" s="17">
        <f t="shared" si="5"/>
        <v>0.3642960710059957</v>
      </c>
      <c r="BH25" s="14">
        <f t="shared" si="6"/>
        <v>80.145135621319056</v>
      </c>
      <c r="BI25" s="14">
        <f t="shared" si="7"/>
        <v>239.70972875736189</v>
      </c>
      <c r="BJ25" s="14">
        <f t="shared" si="8"/>
        <v>39.885358256308649</v>
      </c>
    </row>
    <row r="26" spans="2:62">
      <c r="B26" s="35" t="s">
        <v>134</v>
      </c>
      <c r="C26" s="35" t="s">
        <v>135</v>
      </c>
      <c r="D26" s="14">
        <v>2016</v>
      </c>
      <c r="E26" s="90">
        <f t="shared" si="19"/>
        <v>35.5</v>
      </c>
      <c r="F26" s="89">
        <f t="shared" si="20"/>
        <v>21.5</v>
      </c>
      <c r="G26" s="35">
        <f t="shared" si="21"/>
        <v>2005</v>
      </c>
      <c r="H26" s="91" t="str">
        <f t="shared" si="22"/>
        <v>Pile 32 @ Berth 201</v>
      </c>
      <c r="I26" s="35" t="str">
        <f t="shared" si="23"/>
        <v>Turpentine Gum</v>
      </c>
      <c r="J26" s="35" t="str">
        <f t="shared" si="24"/>
        <v>HW1</v>
      </c>
      <c r="K26" s="35" t="str">
        <f t="shared" si="25"/>
        <v>SPHU</v>
      </c>
      <c r="L26" s="35">
        <f t="shared" si="26"/>
        <v>400</v>
      </c>
      <c r="M26" s="35">
        <f t="shared" si="27"/>
        <v>20</v>
      </c>
      <c r="N26" s="35">
        <f t="shared" si="28"/>
        <v>200</v>
      </c>
      <c r="O26" s="35" t="str">
        <f t="shared" si="29"/>
        <v>MTN2</v>
      </c>
      <c r="P26" s="35" t="str">
        <f t="shared" si="30"/>
        <v>CNT2</v>
      </c>
      <c r="Q26" s="35" t="str">
        <f t="shared" si="31"/>
        <v>KNT3</v>
      </c>
      <c r="R26" s="35" t="str">
        <f t="shared" si="32"/>
        <v>E</v>
      </c>
      <c r="S26" s="35" t="str">
        <f t="shared" si="33"/>
        <v>EXP1</v>
      </c>
      <c r="T26" s="58"/>
      <c r="U26" s="58"/>
      <c r="V26" s="58"/>
      <c r="W26" s="58"/>
      <c r="X26" s="58"/>
      <c r="Y26" s="58"/>
      <c r="Z26" s="58"/>
      <c r="AA26" s="95">
        <f t="shared" si="9"/>
        <v>0.38556748838510002</v>
      </c>
      <c r="AB26" s="96">
        <f t="shared" si="10"/>
        <v>38.556748838510003</v>
      </c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89">
        <f t="shared" si="11"/>
        <v>11</v>
      </c>
      <c r="AN26" s="5">
        <f t="shared" si="0"/>
        <v>35.5</v>
      </c>
      <c r="AO26" s="14">
        <f t="shared" si="1"/>
        <v>1.6362628753157216</v>
      </c>
      <c r="AP26" s="14">
        <f>IF((OR(R26="A",R26="B",R26="C")),INDEX(Coefficients!$S$4:$S$22,MATCH(J26,Coefficients!$R$4:$R$22)),INDEX(Coefficients!$T$4:$T$22,MATCH(J26,Coefficients!$R$4:$R$22)))</f>
        <v>1.3</v>
      </c>
      <c r="AQ26" s="27">
        <f>IF((OR(R26="A",R26="B",R26="C")),INDEX(Coefficients!$S$4:$S$22,MATCH(K26,Coefficients!$R$4:$R$22)),INDEX(Coefficients!$T$4:$T$22,MATCH(K26,Coefficients!$R$4:$R$22)))</f>
        <v>25</v>
      </c>
      <c r="AR26" s="15">
        <f>IF(OR(R26="A",R26="B",R26="C",R26="D"),IF(AN26&gt;=11,IF(AN26&gt;=26,Coefficients!$M$6,Coefficients!$M$5),Coefficients!$M$4),IF(AN26&gt;=11,IF(AN26&gt;=26,Coefficients!$N$6,Coefficients!$N$5),Coefficients!$N$4))</f>
        <v>1</v>
      </c>
      <c r="AS26" s="15">
        <f>INDEX(Coefficients!$X$3:$X$4,MATCH(S26,Coefficients!$W$3:$W$4))</f>
        <v>1</v>
      </c>
      <c r="AT26" s="15">
        <f>INDEX(Coefficients!$X$7:$X$8,MATCH(O26,Coefficients!$W$7:$W$8))</f>
        <v>1</v>
      </c>
      <c r="AU26" s="15">
        <f>INDEX(Coefficients!$X$11:$X$12,MATCH(P26,Coefficients!$W$11:$W$12))</f>
        <v>1</v>
      </c>
      <c r="AV26" s="15">
        <f>INDEX(Coefficients!$X$15:$X$17,MATCH(Q26,Coefficients!$W$15:$W$17))</f>
        <v>1</v>
      </c>
      <c r="AW26" s="15">
        <f t="shared" si="12"/>
        <v>1</v>
      </c>
      <c r="AX26" s="15">
        <f t="shared" si="13"/>
        <v>1</v>
      </c>
      <c r="AY26" s="15">
        <f t="shared" si="14"/>
        <v>1.3</v>
      </c>
      <c r="AZ26" s="14">
        <f t="shared" si="15"/>
        <v>40.90657188289304</v>
      </c>
      <c r="BA26" s="14">
        <f t="shared" si="16"/>
        <v>0</v>
      </c>
      <c r="BB26" s="14">
        <f t="shared" si="17"/>
        <v>2.127141737910438</v>
      </c>
      <c r="BC26" s="14">
        <f t="shared" si="18"/>
        <v>1.7872858262089562</v>
      </c>
      <c r="BD26" s="14">
        <f t="shared" si="2"/>
        <v>0.48891899466070676</v>
      </c>
      <c r="BE26" s="16">
        <f t="shared" si="3"/>
        <v>38.556748838510003</v>
      </c>
      <c r="BF26" s="16">
        <f t="shared" si="4"/>
        <v>322.88650232297999</v>
      </c>
      <c r="BG26" s="17">
        <f t="shared" si="5"/>
        <v>0.38556748838510002</v>
      </c>
      <c r="BH26" s="14">
        <f t="shared" si="6"/>
        <v>84.82484744472201</v>
      </c>
      <c r="BI26" s="14">
        <f t="shared" si="7"/>
        <v>230.35030511055598</v>
      </c>
      <c r="BJ26" s="14">
        <f t="shared" si="8"/>
        <v>39.885358256308649</v>
      </c>
    </row>
    <row r="27" spans="2:62">
      <c r="B27" s="35" t="s">
        <v>134</v>
      </c>
      <c r="C27" s="35" t="s">
        <v>135</v>
      </c>
      <c r="D27" s="14">
        <v>2017</v>
      </c>
      <c r="E27" s="90">
        <f t="shared" si="19"/>
        <v>35.5</v>
      </c>
      <c r="F27" s="89">
        <f t="shared" si="20"/>
        <v>21.5</v>
      </c>
      <c r="G27" s="35">
        <f t="shared" si="21"/>
        <v>2005</v>
      </c>
      <c r="H27" s="91" t="str">
        <f t="shared" si="22"/>
        <v>Pile 32 @ Berth 201</v>
      </c>
      <c r="I27" s="35" t="str">
        <f t="shared" si="23"/>
        <v>Turpentine Gum</v>
      </c>
      <c r="J27" s="35" t="str">
        <f t="shared" si="24"/>
        <v>HW1</v>
      </c>
      <c r="K27" s="35" t="str">
        <f t="shared" si="25"/>
        <v>SPHU</v>
      </c>
      <c r="L27" s="35">
        <f t="shared" si="26"/>
        <v>400</v>
      </c>
      <c r="M27" s="35">
        <f t="shared" si="27"/>
        <v>20</v>
      </c>
      <c r="N27" s="35">
        <f t="shared" si="28"/>
        <v>200</v>
      </c>
      <c r="O27" s="35" t="str">
        <f t="shared" si="29"/>
        <v>MTN2</v>
      </c>
      <c r="P27" s="35" t="str">
        <f t="shared" si="30"/>
        <v>CNT2</v>
      </c>
      <c r="Q27" s="35" t="str">
        <f t="shared" si="31"/>
        <v>KNT3</v>
      </c>
      <c r="R27" s="35" t="str">
        <f t="shared" si="32"/>
        <v>E</v>
      </c>
      <c r="S27" s="35" t="str">
        <f t="shared" si="33"/>
        <v>EXP1</v>
      </c>
      <c r="T27" s="58"/>
      <c r="U27" s="58"/>
      <c r="V27" s="58"/>
      <c r="W27" s="58"/>
      <c r="X27" s="58"/>
      <c r="Y27" s="58"/>
      <c r="Z27" s="58"/>
      <c r="AA27" s="95">
        <f t="shared" si="9"/>
        <v>0.40683890576420439</v>
      </c>
      <c r="AB27" s="96">
        <f t="shared" si="10"/>
        <v>40.683890576420438</v>
      </c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89">
        <f t="shared" si="11"/>
        <v>12</v>
      </c>
      <c r="AN27" s="5">
        <f t="shared" si="0"/>
        <v>35.5</v>
      </c>
      <c r="AO27" s="14">
        <f t="shared" si="1"/>
        <v>1.6362628753157216</v>
      </c>
      <c r="AP27" s="14">
        <f>IF((OR(R27="A",R27="B",R27="C")),INDEX(Coefficients!$S$4:$S$22,MATCH(J27,Coefficients!$R$4:$R$22)),INDEX(Coefficients!$T$4:$T$22,MATCH(J27,Coefficients!$R$4:$R$22)))</f>
        <v>1.3</v>
      </c>
      <c r="AQ27" s="27">
        <f>IF((OR(R27="A",R27="B",R27="C")),INDEX(Coefficients!$S$4:$S$22,MATCH(K27,Coefficients!$R$4:$R$22)),INDEX(Coefficients!$T$4:$T$22,MATCH(K27,Coefficients!$R$4:$R$22)))</f>
        <v>25</v>
      </c>
      <c r="AR27" s="15">
        <f>IF(OR(R27="A",R27="B",R27="C",R27="D"),IF(AN27&gt;=11,IF(AN27&gt;=26,Coefficients!$M$6,Coefficients!$M$5),Coefficients!$M$4),IF(AN27&gt;=11,IF(AN27&gt;=26,Coefficients!$N$6,Coefficients!$N$5),Coefficients!$N$4))</f>
        <v>1</v>
      </c>
      <c r="AS27" s="15">
        <f>INDEX(Coefficients!$X$3:$X$4,MATCH(S27,Coefficients!$W$3:$W$4))</f>
        <v>1</v>
      </c>
      <c r="AT27" s="15">
        <f>INDEX(Coefficients!$X$7:$X$8,MATCH(O27,Coefficients!$W$7:$W$8))</f>
        <v>1</v>
      </c>
      <c r="AU27" s="15">
        <f>INDEX(Coefficients!$X$11:$X$12,MATCH(P27,Coefficients!$W$11:$W$12))</f>
        <v>1</v>
      </c>
      <c r="AV27" s="15">
        <f>INDEX(Coefficients!$X$15:$X$17,MATCH(Q27,Coefficients!$W$15:$W$17))</f>
        <v>1</v>
      </c>
      <c r="AW27" s="15">
        <f t="shared" si="12"/>
        <v>1</v>
      </c>
      <c r="AX27" s="15">
        <f t="shared" si="13"/>
        <v>1</v>
      </c>
      <c r="AY27" s="15">
        <f t="shared" si="14"/>
        <v>1.3</v>
      </c>
      <c r="AZ27" s="14">
        <f t="shared" si="15"/>
        <v>40.90657188289304</v>
      </c>
      <c r="BA27" s="14">
        <f t="shared" si="16"/>
        <v>0</v>
      </c>
      <c r="BB27" s="14">
        <f t="shared" si="17"/>
        <v>2.127141737910438</v>
      </c>
      <c r="BC27" s="14">
        <f t="shared" si="18"/>
        <v>1.7872858262089562</v>
      </c>
      <c r="BD27" s="14">
        <f t="shared" si="2"/>
        <v>0.48891899466070676</v>
      </c>
      <c r="BE27" s="16">
        <f t="shared" si="3"/>
        <v>40.683890576420438</v>
      </c>
      <c r="BF27" s="16">
        <f t="shared" si="4"/>
        <v>318.63221884715915</v>
      </c>
      <c r="BG27" s="17">
        <f t="shared" si="5"/>
        <v>0.40683890576420439</v>
      </c>
      <c r="BH27" s="14">
        <f t="shared" si="6"/>
        <v>89.504559268124979</v>
      </c>
      <c r="BI27" s="14">
        <f t="shared" si="7"/>
        <v>220.99088146375004</v>
      </c>
      <c r="BJ27" s="14">
        <f t="shared" si="8"/>
        <v>39.885358256308649</v>
      </c>
    </row>
    <row r="28" spans="2:62">
      <c r="B28" s="35" t="s">
        <v>134</v>
      </c>
      <c r="C28" s="35" t="s">
        <v>135</v>
      </c>
      <c r="D28" s="14">
        <v>2018</v>
      </c>
      <c r="E28" s="90">
        <f t="shared" si="19"/>
        <v>35.5</v>
      </c>
      <c r="F28" s="89">
        <f t="shared" si="20"/>
        <v>21.5</v>
      </c>
      <c r="G28" s="35">
        <f t="shared" si="21"/>
        <v>2005</v>
      </c>
      <c r="H28" s="91" t="str">
        <f t="shared" si="22"/>
        <v>Pile 32 @ Berth 201</v>
      </c>
      <c r="I28" s="35" t="str">
        <f t="shared" si="23"/>
        <v>Turpentine Gum</v>
      </c>
      <c r="J28" s="35" t="str">
        <f t="shared" si="24"/>
        <v>HW1</v>
      </c>
      <c r="K28" s="35" t="str">
        <f t="shared" si="25"/>
        <v>SPHU</v>
      </c>
      <c r="L28" s="35">
        <f t="shared" si="26"/>
        <v>400</v>
      </c>
      <c r="M28" s="35">
        <f t="shared" si="27"/>
        <v>20</v>
      </c>
      <c r="N28" s="35">
        <f t="shared" si="28"/>
        <v>200</v>
      </c>
      <c r="O28" s="35" t="str">
        <f t="shared" si="29"/>
        <v>MTN2</v>
      </c>
      <c r="P28" s="35" t="str">
        <f t="shared" si="30"/>
        <v>CNT2</v>
      </c>
      <c r="Q28" s="35" t="str">
        <f t="shared" si="31"/>
        <v>KNT3</v>
      </c>
      <c r="R28" s="35" t="str">
        <f t="shared" si="32"/>
        <v>E</v>
      </c>
      <c r="S28" s="35" t="str">
        <f t="shared" si="33"/>
        <v>EXP1</v>
      </c>
      <c r="T28" s="58"/>
      <c r="U28" s="58"/>
      <c r="V28" s="58"/>
      <c r="W28" s="58"/>
      <c r="X28" s="58"/>
      <c r="Y28" s="58"/>
      <c r="Z28" s="58"/>
      <c r="AA28" s="95">
        <f t="shared" si="9"/>
        <v>0.42811032314330882</v>
      </c>
      <c r="AB28" s="96">
        <f t="shared" si="10"/>
        <v>42.81103231433088</v>
      </c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89">
        <f t="shared" si="11"/>
        <v>13</v>
      </c>
      <c r="AN28" s="5">
        <f t="shared" si="0"/>
        <v>35.5</v>
      </c>
      <c r="AO28" s="14">
        <f t="shared" si="1"/>
        <v>1.6362628753157216</v>
      </c>
      <c r="AP28" s="14">
        <f>IF((OR(R28="A",R28="B",R28="C")),INDEX(Coefficients!$S$4:$S$22,MATCH(J28,Coefficients!$R$4:$R$22)),INDEX(Coefficients!$T$4:$T$22,MATCH(J28,Coefficients!$R$4:$R$22)))</f>
        <v>1.3</v>
      </c>
      <c r="AQ28" s="27">
        <f>IF((OR(R28="A",R28="B",R28="C")),INDEX(Coefficients!$S$4:$S$22,MATCH(K28,Coefficients!$R$4:$R$22)),INDEX(Coefficients!$T$4:$T$22,MATCH(K28,Coefficients!$R$4:$R$22)))</f>
        <v>25</v>
      </c>
      <c r="AR28" s="15">
        <f>IF(OR(R28="A",R28="B",R28="C",R28="D"),IF(AN28&gt;=11,IF(AN28&gt;=26,Coefficients!$M$6,Coefficients!$M$5),Coefficients!$M$4),IF(AN28&gt;=11,IF(AN28&gt;=26,Coefficients!$N$6,Coefficients!$N$5),Coefficients!$N$4))</f>
        <v>1</v>
      </c>
      <c r="AS28" s="15">
        <f>INDEX(Coefficients!$X$3:$X$4,MATCH(S28,Coefficients!$W$3:$W$4))</f>
        <v>1</v>
      </c>
      <c r="AT28" s="15">
        <f>INDEX(Coefficients!$X$7:$X$8,MATCH(O28,Coefficients!$W$7:$W$8))</f>
        <v>1</v>
      </c>
      <c r="AU28" s="15">
        <f>INDEX(Coefficients!$X$11:$X$12,MATCH(P28,Coefficients!$W$11:$W$12))</f>
        <v>1</v>
      </c>
      <c r="AV28" s="15">
        <f>INDEX(Coefficients!$X$15:$X$17,MATCH(Q28,Coefficients!$W$15:$W$17))</f>
        <v>1</v>
      </c>
      <c r="AW28" s="15">
        <f t="shared" si="12"/>
        <v>1</v>
      </c>
      <c r="AX28" s="15">
        <f t="shared" si="13"/>
        <v>1</v>
      </c>
      <c r="AY28" s="15">
        <f t="shared" si="14"/>
        <v>1.3</v>
      </c>
      <c r="AZ28" s="14">
        <f t="shared" si="15"/>
        <v>40.90657188289304</v>
      </c>
      <c r="BA28" s="14">
        <f t="shared" si="16"/>
        <v>0</v>
      </c>
      <c r="BB28" s="14">
        <f t="shared" si="17"/>
        <v>2.127141737910438</v>
      </c>
      <c r="BC28" s="14">
        <f t="shared" si="18"/>
        <v>1.7872858262089562</v>
      </c>
      <c r="BD28" s="14">
        <f t="shared" si="2"/>
        <v>0.48891899466070676</v>
      </c>
      <c r="BE28" s="16">
        <f t="shared" si="3"/>
        <v>42.81103231433088</v>
      </c>
      <c r="BF28" s="16">
        <f t="shared" si="4"/>
        <v>314.37793537133825</v>
      </c>
      <c r="BG28" s="17">
        <f t="shared" si="5"/>
        <v>0.42811032314330882</v>
      </c>
      <c r="BH28" s="14">
        <f t="shared" si="6"/>
        <v>94.184271091527947</v>
      </c>
      <c r="BI28" s="14">
        <f t="shared" si="7"/>
        <v>211.63145781694411</v>
      </c>
      <c r="BJ28" s="14">
        <f t="shared" si="8"/>
        <v>39.885358256308649</v>
      </c>
    </row>
    <row r="29" spans="2:62">
      <c r="B29" s="35" t="s">
        <v>134</v>
      </c>
      <c r="C29" s="35" t="s">
        <v>135</v>
      </c>
      <c r="D29" s="14">
        <v>2019</v>
      </c>
      <c r="E29" s="90">
        <f t="shared" si="19"/>
        <v>35.5</v>
      </c>
      <c r="F29" s="89">
        <f t="shared" si="20"/>
        <v>21.5</v>
      </c>
      <c r="G29" s="35">
        <f t="shared" si="21"/>
        <v>2005</v>
      </c>
      <c r="H29" s="91" t="str">
        <f t="shared" si="22"/>
        <v>Pile 32 @ Berth 201</v>
      </c>
      <c r="I29" s="35" t="str">
        <f t="shared" si="23"/>
        <v>Turpentine Gum</v>
      </c>
      <c r="J29" s="35" t="str">
        <f t="shared" si="24"/>
        <v>HW1</v>
      </c>
      <c r="K29" s="35" t="str">
        <f t="shared" si="25"/>
        <v>SPHU</v>
      </c>
      <c r="L29" s="35">
        <f t="shared" si="26"/>
        <v>400</v>
      </c>
      <c r="M29" s="35">
        <f t="shared" si="27"/>
        <v>20</v>
      </c>
      <c r="N29" s="35">
        <f t="shared" si="28"/>
        <v>200</v>
      </c>
      <c r="O29" s="35" t="str">
        <f t="shared" si="29"/>
        <v>MTN2</v>
      </c>
      <c r="P29" s="35" t="str">
        <f t="shared" si="30"/>
        <v>CNT2</v>
      </c>
      <c r="Q29" s="35" t="str">
        <f t="shared" si="31"/>
        <v>KNT3</v>
      </c>
      <c r="R29" s="35" t="str">
        <f t="shared" si="32"/>
        <v>E</v>
      </c>
      <c r="S29" s="35" t="str">
        <f t="shared" si="33"/>
        <v>EXP1</v>
      </c>
      <c r="T29" s="58"/>
      <c r="U29" s="58"/>
      <c r="V29" s="58"/>
      <c r="W29" s="58"/>
      <c r="X29" s="58"/>
      <c r="Y29" s="58"/>
      <c r="Z29" s="58"/>
      <c r="AA29" s="95">
        <f t="shared" si="9"/>
        <v>0.4493817405224132</v>
      </c>
      <c r="AB29" s="96">
        <f t="shared" si="10"/>
        <v>44.938174052241322</v>
      </c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89">
        <f t="shared" si="11"/>
        <v>14</v>
      </c>
      <c r="AN29" s="5">
        <f t="shared" si="0"/>
        <v>35.5</v>
      </c>
      <c r="AO29" s="14">
        <f t="shared" si="1"/>
        <v>1.6362628753157216</v>
      </c>
      <c r="AP29" s="14">
        <f>IF((OR(R29="A",R29="B",R29="C")),INDEX(Coefficients!$S$4:$S$22,MATCH(J29,Coefficients!$R$4:$R$22)),INDEX(Coefficients!$T$4:$T$22,MATCH(J29,Coefficients!$R$4:$R$22)))</f>
        <v>1.3</v>
      </c>
      <c r="AQ29" s="27">
        <f>IF((OR(R29="A",R29="B",R29="C")),INDEX(Coefficients!$S$4:$S$22,MATCH(K29,Coefficients!$R$4:$R$22)),INDEX(Coefficients!$T$4:$T$22,MATCH(K29,Coefficients!$R$4:$R$22)))</f>
        <v>25</v>
      </c>
      <c r="AR29" s="15">
        <f>IF(OR(R29="A",R29="B",R29="C",R29="D"),IF(AN29&gt;=11,IF(AN29&gt;=26,Coefficients!$M$6,Coefficients!$M$5),Coefficients!$M$4),IF(AN29&gt;=11,IF(AN29&gt;=26,Coefficients!$N$6,Coefficients!$N$5),Coefficients!$N$4))</f>
        <v>1</v>
      </c>
      <c r="AS29" s="15">
        <f>INDEX(Coefficients!$X$3:$X$4,MATCH(S29,Coefficients!$W$3:$W$4))</f>
        <v>1</v>
      </c>
      <c r="AT29" s="15">
        <f>INDEX(Coefficients!$X$7:$X$8,MATCH(O29,Coefficients!$W$7:$W$8))</f>
        <v>1</v>
      </c>
      <c r="AU29" s="15">
        <f>INDEX(Coefficients!$X$11:$X$12,MATCH(P29,Coefficients!$W$11:$W$12))</f>
        <v>1</v>
      </c>
      <c r="AV29" s="15">
        <f>INDEX(Coefficients!$X$15:$X$17,MATCH(Q29,Coefficients!$W$15:$W$17))</f>
        <v>1</v>
      </c>
      <c r="AW29" s="15">
        <f t="shared" si="12"/>
        <v>1</v>
      </c>
      <c r="AX29" s="15">
        <f t="shared" si="13"/>
        <v>1</v>
      </c>
      <c r="AY29" s="15">
        <f t="shared" si="14"/>
        <v>1.3</v>
      </c>
      <c r="AZ29" s="14">
        <f t="shared" si="15"/>
        <v>40.90657188289304</v>
      </c>
      <c r="BA29" s="14">
        <f t="shared" si="16"/>
        <v>0</v>
      </c>
      <c r="BB29" s="14">
        <f t="shared" si="17"/>
        <v>2.127141737910438</v>
      </c>
      <c r="BC29" s="14">
        <f t="shared" si="18"/>
        <v>1.7872858262089562</v>
      </c>
      <c r="BD29" s="14">
        <f t="shared" si="2"/>
        <v>0.48891899466070676</v>
      </c>
      <c r="BE29" s="16">
        <f t="shared" si="3"/>
        <v>44.938174052241322</v>
      </c>
      <c r="BF29" s="16">
        <f t="shared" si="4"/>
        <v>310.12365189551736</v>
      </c>
      <c r="BG29" s="17">
        <f t="shared" si="5"/>
        <v>0.4493817405224132</v>
      </c>
      <c r="BH29" s="14">
        <f t="shared" si="6"/>
        <v>98.863982914930915</v>
      </c>
      <c r="BI29" s="14">
        <f t="shared" si="7"/>
        <v>202.27203417013817</v>
      </c>
      <c r="BJ29" s="14">
        <f t="shared" si="8"/>
        <v>39.885358256308649</v>
      </c>
    </row>
    <row r="30" spans="2:62">
      <c r="B30" s="35" t="s">
        <v>134</v>
      </c>
      <c r="C30" s="35" t="s">
        <v>135</v>
      </c>
      <c r="D30" s="14">
        <v>2020</v>
      </c>
      <c r="E30" s="90">
        <f t="shared" si="19"/>
        <v>35.5</v>
      </c>
      <c r="F30" s="89">
        <f t="shared" si="20"/>
        <v>21.5</v>
      </c>
      <c r="G30" s="35">
        <f t="shared" si="21"/>
        <v>2005</v>
      </c>
      <c r="H30" s="91" t="str">
        <f t="shared" si="22"/>
        <v>Pile 32 @ Berth 201</v>
      </c>
      <c r="I30" s="35" t="str">
        <f t="shared" si="23"/>
        <v>Turpentine Gum</v>
      </c>
      <c r="J30" s="35" t="str">
        <f t="shared" si="24"/>
        <v>HW1</v>
      </c>
      <c r="K30" s="35" t="str">
        <f t="shared" si="25"/>
        <v>SPHU</v>
      </c>
      <c r="L30" s="35">
        <f t="shared" si="26"/>
        <v>400</v>
      </c>
      <c r="M30" s="35">
        <f t="shared" si="27"/>
        <v>20</v>
      </c>
      <c r="N30" s="35">
        <f t="shared" si="28"/>
        <v>200</v>
      </c>
      <c r="O30" s="35" t="str">
        <f t="shared" si="29"/>
        <v>MTN2</v>
      </c>
      <c r="P30" s="35" t="str">
        <f t="shared" si="30"/>
        <v>CNT2</v>
      </c>
      <c r="Q30" s="35" t="str">
        <f t="shared" si="31"/>
        <v>KNT3</v>
      </c>
      <c r="R30" s="35" t="str">
        <f t="shared" si="32"/>
        <v>E</v>
      </c>
      <c r="S30" s="35" t="str">
        <f t="shared" si="33"/>
        <v>EXP1</v>
      </c>
      <c r="T30" s="58"/>
      <c r="U30" s="58"/>
      <c r="V30" s="58"/>
      <c r="W30" s="58"/>
      <c r="X30" s="58"/>
      <c r="Y30" s="58"/>
      <c r="Z30" s="58"/>
      <c r="AA30" s="95">
        <f t="shared" si="9"/>
        <v>0.47065315790151757</v>
      </c>
      <c r="AB30" s="96">
        <f t="shared" si="10"/>
        <v>47.065315790151757</v>
      </c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89">
        <f t="shared" si="11"/>
        <v>15</v>
      </c>
      <c r="AN30" s="5">
        <f t="shared" si="0"/>
        <v>35.5</v>
      </c>
      <c r="AO30" s="14">
        <f t="shared" si="1"/>
        <v>1.6362628753157216</v>
      </c>
      <c r="AP30" s="14">
        <f>IF((OR(R30="A",R30="B",R30="C")),INDEX(Coefficients!$S$4:$S$22,MATCH(J30,Coefficients!$R$4:$R$22)),INDEX(Coefficients!$T$4:$T$22,MATCH(J30,Coefficients!$R$4:$R$22)))</f>
        <v>1.3</v>
      </c>
      <c r="AQ30" s="27">
        <f>IF((OR(R30="A",R30="B",R30="C")),INDEX(Coefficients!$S$4:$S$22,MATCH(K30,Coefficients!$R$4:$R$22)),INDEX(Coefficients!$T$4:$T$22,MATCH(K30,Coefficients!$R$4:$R$22)))</f>
        <v>25</v>
      </c>
      <c r="AR30" s="15">
        <f>IF(OR(R30="A",R30="B",R30="C",R30="D"),IF(AN30&gt;=11,IF(AN30&gt;=26,Coefficients!$M$6,Coefficients!$M$5),Coefficients!$M$4),IF(AN30&gt;=11,IF(AN30&gt;=26,Coefficients!$N$6,Coefficients!$N$5),Coefficients!$N$4))</f>
        <v>1</v>
      </c>
      <c r="AS30" s="15">
        <f>INDEX(Coefficients!$X$3:$X$4,MATCH(S30,Coefficients!$W$3:$W$4))</f>
        <v>1</v>
      </c>
      <c r="AT30" s="15">
        <f>INDEX(Coefficients!$X$7:$X$8,MATCH(O30,Coefficients!$W$7:$W$8))</f>
        <v>1</v>
      </c>
      <c r="AU30" s="15">
        <f>INDEX(Coefficients!$X$11:$X$12,MATCH(P30,Coefficients!$W$11:$W$12))</f>
        <v>1</v>
      </c>
      <c r="AV30" s="15">
        <f>INDEX(Coefficients!$X$15:$X$17,MATCH(Q30,Coefficients!$W$15:$W$17))</f>
        <v>1</v>
      </c>
      <c r="AW30" s="15">
        <f t="shared" si="12"/>
        <v>1</v>
      </c>
      <c r="AX30" s="15">
        <f t="shared" si="13"/>
        <v>1</v>
      </c>
      <c r="AY30" s="15">
        <f t="shared" si="14"/>
        <v>1.3</v>
      </c>
      <c r="AZ30" s="14">
        <f t="shared" si="15"/>
        <v>40.90657188289304</v>
      </c>
      <c r="BA30" s="14">
        <f t="shared" si="16"/>
        <v>0</v>
      </c>
      <c r="BB30" s="14">
        <f t="shared" si="17"/>
        <v>2.127141737910438</v>
      </c>
      <c r="BC30" s="14">
        <f t="shared" si="18"/>
        <v>1.7872858262089562</v>
      </c>
      <c r="BD30" s="14">
        <f t="shared" si="2"/>
        <v>0.48891899466070676</v>
      </c>
      <c r="BE30" s="16">
        <f t="shared" si="3"/>
        <v>47.065315790151757</v>
      </c>
      <c r="BF30" s="16">
        <f t="shared" si="4"/>
        <v>305.86936841969646</v>
      </c>
      <c r="BG30" s="17">
        <f t="shared" si="5"/>
        <v>0.47065315790151757</v>
      </c>
      <c r="BH30" s="14">
        <f t="shared" si="6"/>
        <v>103.54369473833387</v>
      </c>
      <c r="BI30" s="14">
        <f t="shared" si="7"/>
        <v>192.91261052333226</v>
      </c>
      <c r="BJ30" s="14">
        <f t="shared" si="8"/>
        <v>39.885358256308649</v>
      </c>
    </row>
    <row r="31" spans="2:62">
      <c r="B31" s="35" t="s">
        <v>134</v>
      </c>
      <c r="C31" s="35" t="s">
        <v>135</v>
      </c>
      <c r="D31" s="14">
        <v>2021</v>
      </c>
      <c r="E31" s="90">
        <f t="shared" si="19"/>
        <v>35.5</v>
      </c>
      <c r="F31" s="89">
        <f t="shared" si="20"/>
        <v>21.5</v>
      </c>
      <c r="G31" s="35">
        <f t="shared" si="21"/>
        <v>2005</v>
      </c>
      <c r="H31" s="91" t="str">
        <f t="shared" si="22"/>
        <v>Pile 32 @ Berth 201</v>
      </c>
      <c r="I31" s="35" t="str">
        <f t="shared" si="23"/>
        <v>Turpentine Gum</v>
      </c>
      <c r="J31" s="35" t="str">
        <f t="shared" si="24"/>
        <v>HW1</v>
      </c>
      <c r="K31" s="35" t="str">
        <f t="shared" si="25"/>
        <v>SPHU</v>
      </c>
      <c r="L31" s="35">
        <f t="shared" si="26"/>
        <v>400</v>
      </c>
      <c r="M31" s="35">
        <f t="shared" si="27"/>
        <v>20</v>
      </c>
      <c r="N31" s="35">
        <f t="shared" si="28"/>
        <v>200</v>
      </c>
      <c r="O31" s="35" t="str">
        <f t="shared" si="29"/>
        <v>MTN2</v>
      </c>
      <c r="P31" s="35" t="str">
        <f t="shared" si="30"/>
        <v>CNT2</v>
      </c>
      <c r="Q31" s="35" t="str">
        <f t="shared" si="31"/>
        <v>KNT3</v>
      </c>
      <c r="R31" s="35" t="str">
        <f t="shared" si="32"/>
        <v>E</v>
      </c>
      <c r="S31" s="35" t="str">
        <f t="shared" si="33"/>
        <v>EXP1</v>
      </c>
      <c r="T31" s="58"/>
      <c r="U31" s="58"/>
      <c r="V31" s="58"/>
      <c r="W31" s="58"/>
      <c r="X31" s="58"/>
      <c r="Y31" s="58"/>
      <c r="Z31" s="58"/>
      <c r="AA31" s="95">
        <f t="shared" si="9"/>
        <v>0.49192457528062195</v>
      </c>
      <c r="AB31" s="96">
        <f t="shared" si="10"/>
        <v>49.192457528062192</v>
      </c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89">
        <f t="shared" si="11"/>
        <v>16</v>
      </c>
      <c r="AN31" s="5">
        <f t="shared" si="0"/>
        <v>35.5</v>
      </c>
      <c r="AO31" s="14">
        <f t="shared" si="1"/>
        <v>1.6362628753157216</v>
      </c>
      <c r="AP31" s="14">
        <f>IF((OR(R31="A",R31="B",R31="C")),INDEX(Coefficients!$S$4:$S$22,MATCH(J31,Coefficients!$R$4:$R$22)),INDEX(Coefficients!$T$4:$T$22,MATCH(J31,Coefficients!$R$4:$R$22)))</f>
        <v>1.3</v>
      </c>
      <c r="AQ31" s="27">
        <f>IF((OR(R31="A",R31="B",R31="C")),INDEX(Coefficients!$S$4:$S$22,MATCH(K31,Coefficients!$R$4:$R$22)),INDEX(Coefficients!$T$4:$T$22,MATCH(K31,Coefficients!$R$4:$R$22)))</f>
        <v>25</v>
      </c>
      <c r="AR31" s="15">
        <f>IF(OR(R31="A",R31="B",R31="C",R31="D"),IF(AN31&gt;=11,IF(AN31&gt;=26,Coefficients!$M$6,Coefficients!$M$5),Coefficients!$M$4),IF(AN31&gt;=11,IF(AN31&gt;=26,Coefficients!$N$6,Coefficients!$N$5),Coefficients!$N$4))</f>
        <v>1</v>
      </c>
      <c r="AS31" s="15">
        <f>INDEX(Coefficients!$X$3:$X$4,MATCH(S31,Coefficients!$W$3:$W$4))</f>
        <v>1</v>
      </c>
      <c r="AT31" s="15">
        <f>INDEX(Coefficients!$X$7:$X$8,MATCH(O31,Coefficients!$W$7:$W$8))</f>
        <v>1</v>
      </c>
      <c r="AU31" s="15">
        <f>INDEX(Coefficients!$X$11:$X$12,MATCH(P31,Coefficients!$W$11:$W$12))</f>
        <v>1</v>
      </c>
      <c r="AV31" s="15">
        <f>INDEX(Coefficients!$X$15:$X$17,MATCH(Q31,Coefficients!$W$15:$W$17))</f>
        <v>1</v>
      </c>
      <c r="AW31" s="15">
        <f t="shared" si="12"/>
        <v>1</v>
      </c>
      <c r="AX31" s="15">
        <f t="shared" si="13"/>
        <v>1</v>
      </c>
      <c r="AY31" s="15">
        <f t="shared" si="14"/>
        <v>1.3</v>
      </c>
      <c r="AZ31" s="14">
        <f t="shared" si="15"/>
        <v>40.90657188289304</v>
      </c>
      <c r="BA31" s="14">
        <f t="shared" si="16"/>
        <v>0</v>
      </c>
      <c r="BB31" s="14">
        <f t="shared" si="17"/>
        <v>2.127141737910438</v>
      </c>
      <c r="BC31" s="14">
        <f t="shared" si="18"/>
        <v>1.7872858262089562</v>
      </c>
      <c r="BD31" s="14">
        <f t="shared" si="2"/>
        <v>0.48891899466070676</v>
      </c>
      <c r="BE31" s="16">
        <f t="shared" si="3"/>
        <v>49.192457528062192</v>
      </c>
      <c r="BF31" s="16">
        <f t="shared" si="4"/>
        <v>301.61508494387562</v>
      </c>
      <c r="BG31" s="17">
        <f t="shared" si="5"/>
        <v>0.49192457528062195</v>
      </c>
      <c r="BH31" s="14">
        <f t="shared" si="6"/>
        <v>108.22340656173684</v>
      </c>
      <c r="BI31" s="14">
        <f t="shared" si="7"/>
        <v>183.55318687652633</v>
      </c>
      <c r="BJ31" s="14">
        <f t="shared" si="8"/>
        <v>39.885358256308649</v>
      </c>
    </row>
    <row r="32" spans="2:62" s="2" customFormat="1">
      <c r="B32" s="35" t="s">
        <v>134</v>
      </c>
      <c r="C32" s="35" t="s">
        <v>135</v>
      </c>
      <c r="D32" s="14">
        <v>2022</v>
      </c>
      <c r="E32" s="90">
        <f t="shared" si="19"/>
        <v>35.5</v>
      </c>
      <c r="F32" s="89">
        <f t="shared" si="20"/>
        <v>21.5</v>
      </c>
      <c r="G32" s="35">
        <f t="shared" si="21"/>
        <v>2005</v>
      </c>
      <c r="H32" s="91" t="str">
        <f t="shared" si="22"/>
        <v>Pile 32 @ Berth 201</v>
      </c>
      <c r="I32" s="35" t="str">
        <f t="shared" si="23"/>
        <v>Turpentine Gum</v>
      </c>
      <c r="J32" s="35" t="str">
        <f t="shared" si="24"/>
        <v>HW1</v>
      </c>
      <c r="K32" s="35" t="str">
        <f t="shared" si="25"/>
        <v>SPHU</v>
      </c>
      <c r="L32" s="35">
        <f t="shared" si="26"/>
        <v>400</v>
      </c>
      <c r="M32" s="35">
        <f t="shared" si="27"/>
        <v>20</v>
      </c>
      <c r="N32" s="35">
        <f t="shared" si="28"/>
        <v>200</v>
      </c>
      <c r="O32" s="35" t="str">
        <f t="shared" si="29"/>
        <v>MTN2</v>
      </c>
      <c r="P32" s="35" t="str">
        <f t="shared" si="30"/>
        <v>CNT2</v>
      </c>
      <c r="Q32" s="35" t="str">
        <f t="shared" si="31"/>
        <v>KNT3</v>
      </c>
      <c r="R32" s="35" t="str">
        <f t="shared" si="32"/>
        <v>E</v>
      </c>
      <c r="S32" s="35" t="str">
        <f t="shared" si="33"/>
        <v>EXP1</v>
      </c>
      <c r="T32" s="58"/>
      <c r="U32" s="58"/>
      <c r="V32" s="58"/>
      <c r="W32" s="58"/>
      <c r="X32" s="58"/>
      <c r="Y32" s="58"/>
      <c r="Z32" s="58"/>
      <c r="AA32" s="95">
        <f t="shared" si="9"/>
        <v>0.51319599265972637</v>
      </c>
      <c r="AB32" s="96">
        <f t="shared" si="10"/>
        <v>51.319599265972634</v>
      </c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89">
        <f t="shared" si="11"/>
        <v>17</v>
      </c>
      <c r="AN32" s="5">
        <f t="shared" si="0"/>
        <v>35.5</v>
      </c>
      <c r="AO32" s="14">
        <f t="shared" si="1"/>
        <v>1.6362628753157216</v>
      </c>
      <c r="AP32" s="14">
        <f>IF((OR(R32="A",R32="B",R32="C")),INDEX(Coefficients!$S$4:$S$22,MATCH(J32,Coefficients!$R$4:$R$22)),INDEX(Coefficients!$T$4:$T$22,MATCH(J32,Coefficients!$R$4:$R$22)))</f>
        <v>1.3</v>
      </c>
      <c r="AQ32" s="27">
        <f>IF((OR(R32="A",R32="B",R32="C")),INDEX(Coefficients!$S$4:$S$22,MATCH(K32,Coefficients!$R$4:$R$22)),INDEX(Coefficients!$T$4:$T$22,MATCH(K32,Coefficients!$R$4:$R$22)))</f>
        <v>25</v>
      </c>
      <c r="AR32" s="15">
        <f>IF(OR(R32="A",R32="B",R32="C",R32="D"),IF(AN32&gt;=11,IF(AN32&gt;=26,Coefficients!$M$6,Coefficients!$M$5),Coefficients!$M$4),IF(AN32&gt;=11,IF(AN32&gt;=26,Coefficients!$N$6,Coefficients!$N$5),Coefficients!$N$4))</f>
        <v>1</v>
      </c>
      <c r="AS32" s="15">
        <f>INDEX(Coefficients!$X$3:$X$4,MATCH(S32,Coefficients!$W$3:$W$4))</f>
        <v>1</v>
      </c>
      <c r="AT32" s="15">
        <f>INDEX(Coefficients!$X$7:$X$8,MATCH(O32,Coefficients!$W$7:$W$8))</f>
        <v>1</v>
      </c>
      <c r="AU32" s="15">
        <f>INDEX(Coefficients!$X$11:$X$12,MATCH(P32,Coefficients!$W$11:$W$12))</f>
        <v>1</v>
      </c>
      <c r="AV32" s="15">
        <f>INDEX(Coefficients!$X$15:$X$17,MATCH(Q32,Coefficients!$W$15:$W$17))</f>
        <v>1</v>
      </c>
      <c r="AW32" s="15">
        <f t="shared" si="12"/>
        <v>1</v>
      </c>
      <c r="AX32" s="15">
        <f t="shared" si="13"/>
        <v>1</v>
      </c>
      <c r="AY32" s="15">
        <f t="shared" si="14"/>
        <v>1.3</v>
      </c>
      <c r="AZ32" s="14">
        <f t="shared" si="15"/>
        <v>40.90657188289304</v>
      </c>
      <c r="BA32" s="14">
        <f t="shared" si="16"/>
        <v>0</v>
      </c>
      <c r="BB32" s="14">
        <f t="shared" si="17"/>
        <v>2.127141737910438</v>
      </c>
      <c r="BC32" s="14">
        <f t="shared" si="18"/>
        <v>1.7872858262089562</v>
      </c>
      <c r="BD32" s="14">
        <f t="shared" si="2"/>
        <v>0.48891899466070676</v>
      </c>
      <c r="BE32" s="16">
        <f t="shared" si="3"/>
        <v>51.319599265972634</v>
      </c>
      <c r="BF32" s="16">
        <f t="shared" si="4"/>
        <v>297.36080146805472</v>
      </c>
      <c r="BG32" s="17">
        <f t="shared" si="5"/>
        <v>0.51319599265972637</v>
      </c>
      <c r="BH32" s="14">
        <f t="shared" si="6"/>
        <v>112.90311838513981</v>
      </c>
      <c r="BI32" s="14">
        <f t="shared" si="7"/>
        <v>174.19376322972039</v>
      </c>
      <c r="BJ32" s="14">
        <f t="shared" si="8"/>
        <v>39.885358256308649</v>
      </c>
    </row>
    <row r="33" spans="2:62">
      <c r="B33" s="35" t="s">
        <v>134</v>
      </c>
      <c r="C33" s="35" t="s">
        <v>135</v>
      </c>
      <c r="D33" s="14">
        <v>2023</v>
      </c>
      <c r="E33" s="90">
        <f t="shared" si="19"/>
        <v>35.5</v>
      </c>
      <c r="F33" s="89">
        <f t="shared" si="20"/>
        <v>21.5</v>
      </c>
      <c r="G33" s="35">
        <f t="shared" si="21"/>
        <v>2005</v>
      </c>
      <c r="H33" s="91" t="str">
        <f t="shared" si="22"/>
        <v>Pile 32 @ Berth 201</v>
      </c>
      <c r="I33" s="35" t="str">
        <f t="shared" si="23"/>
        <v>Turpentine Gum</v>
      </c>
      <c r="J33" s="35" t="str">
        <f t="shared" si="24"/>
        <v>HW1</v>
      </c>
      <c r="K33" s="35" t="str">
        <f t="shared" si="25"/>
        <v>SPHU</v>
      </c>
      <c r="L33" s="35">
        <f t="shared" si="26"/>
        <v>400</v>
      </c>
      <c r="M33" s="35">
        <f t="shared" si="27"/>
        <v>20</v>
      </c>
      <c r="N33" s="35">
        <f t="shared" si="28"/>
        <v>200</v>
      </c>
      <c r="O33" s="35" t="str">
        <f t="shared" si="29"/>
        <v>MTN2</v>
      </c>
      <c r="P33" s="35" t="str">
        <f t="shared" si="30"/>
        <v>CNT2</v>
      </c>
      <c r="Q33" s="35" t="str">
        <f t="shared" si="31"/>
        <v>KNT3</v>
      </c>
      <c r="R33" s="35" t="str">
        <f t="shared" si="32"/>
        <v>E</v>
      </c>
      <c r="S33" s="35" t="str">
        <f t="shared" si="33"/>
        <v>EXP1</v>
      </c>
      <c r="T33" s="58"/>
      <c r="U33" s="58"/>
      <c r="V33" s="58"/>
      <c r="W33" s="58"/>
      <c r="X33" s="58"/>
      <c r="Y33" s="58"/>
      <c r="Z33" s="58"/>
      <c r="AA33" s="95">
        <f t="shared" si="9"/>
        <v>0.53446741003883069</v>
      </c>
      <c r="AB33" s="96">
        <f t="shared" si="10"/>
        <v>53.446741003883069</v>
      </c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89">
        <f t="shared" si="11"/>
        <v>18</v>
      </c>
      <c r="AN33" s="5">
        <f t="shared" si="0"/>
        <v>35.5</v>
      </c>
      <c r="AO33" s="14">
        <f t="shared" si="1"/>
        <v>1.6362628753157216</v>
      </c>
      <c r="AP33" s="14">
        <f>IF((OR(R33="A",R33="B",R33="C")),INDEX(Coefficients!$S$4:$S$22,MATCH(J33,Coefficients!$R$4:$R$22)),INDEX(Coefficients!$T$4:$T$22,MATCH(J33,Coefficients!$R$4:$R$22)))</f>
        <v>1.3</v>
      </c>
      <c r="AQ33" s="27">
        <f>IF((OR(R33="A",R33="B",R33="C")),INDEX(Coefficients!$S$4:$S$22,MATCH(K33,Coefficients!$R$4:$R$22)),INDEX(Coefficients!$T$4:$T$22,MATCH(K33,Coefficients!$R$4:$R$22)))</f>
        <v>25</v>
      </c>
      <c r="AR33" s="15">
        <f>IF(OR(R33="A",R33="B",R33="C",R33="D"),IF(AN33&gt;=11,IF(AN33&gt;=26,Coefficients!$M$6,Coefficients!$M$5),Coefficients!$M$4),IF(AN33&gt;=11,IF(AN33&gt;=26,Coefficients!$N$6,Coefficients!$N$5),Coefficients!$N$4))</f>
        <v>1</v>
      </c>
      <c r="AS33" s="15">
        <f>INDEX(Coefficients!$X$3:$X$4,MATCH(S33,Coefficients!$W$3:$W$4))</f>
        <v>1</v>
      </c>
      <c r="AT33" s="15">
        <f>INDEX(Coefficients!$X$7:$X$8,MATCH(O33,Coefficients!$W$7:$W$8))</f>
        <v>1</v>
      </c>
      <c r="AU33" s="15">
        <f>INDEX(Coefficients!$X$11:$X$12,MATCH(P33,Coefficients!$W$11:$W$12))</f>
        <v>1</v>
      </c>
      <c r="AV33" s="15">
        <f>INDEX(Coefficients!$X$15:$X$17,MATCH(Q33,Coefficients!$W$15:$W$17))</f>
        <v>1</v>
      </c>
      <c r="AW33" s="15">
        <f t="shared" si="12"/>
        <v>1</v>
      </c>
      <c r="AX33" s="15">
        <f t="shared" si="13"/>
        <v>1</v>
      </c>
      <c r="AY33" s="15">
        <f t="shared" si="14"/>
        <v>1.3</v>
      </c>
      <c r="AZ33" s="14">
        <f t="shared" si="15"/>
        <v>40.90657188289304</v>
      </c>
      <c r="BA33" s="14">
        <f t="shared" si="16"/>
        <v>0</v>
      </c>
      <c r="BB33" s="14">
        <f t="shared" si="17"/>
        <v>2.127141737910438</v>
      </c>
      <c r="BC33" s="14">
        <f t="shared" si="18"/>
        <v>1.7872858262089562</v>
      </c>
      <c r="BD33" s="14">
        <f t="shared" si="2"/>
        <v>0.48891899466070676</v>
      </c>
      <c r="BE33" s="16">
        <f t="shared" si="3"/>
        <v>53.446741003883069</v>
      </c>
      <c r="BF33" s="16">
        <f t="shared" si="4"/>
        <v>293.10651799223388</v>
      </c>
      <c r="BG33" s="17">
        <f t="shared" si="5"/>
        <v>0.53446741003883069</v>
      </c>
      <c r="BH33" s="14">
        <f t="shared" si="6"/>
        <v>117.58283020854276</v>
      </c>
      <c r="BI33" s="14">
        <f t="shared" si="7"/>
        <v>164.83433958291448</v>
      </c>
      <c r="BJ33" s="14">
        <f t="shared" si="8"/>
        <v>39.885358256308649</v>
      </c>
    </row>
    <row r="34" spans="2:62">
      <c r="B34" s="35" t="s">
        <v>134</v>
      </c>
      <c r="C34" s="35" t="s">
        <v>135</v>
      </c>
      <c r="D34" s="14">
        <v>2024</v>
      </c>
      <c r="E34" s="90">
        <f t="shared" si="19"/>
        <v>35.5</v>
      </c>
      <c r="F34" s="89">
        <f t="shared" si="20"/>
        <v>21.5</v>
      </c>
      <c r="G34" s="35">
        <f t="shared" si="21"/>
        <v>2005</v>
      </c>
      <c r="H34" s="91" t="str">
        <f t="shared" si="22"/>
        <v>Pile 32 @ Berth 201</v>
      </c>
      <c r="I34" s="35" t="str">
        <f t="shared" si="23"/>
        <v>Turpentine Gum</v>
      </c>
      <c r="J34" s="35" t="str">
        <f t="shared" si="24"/>
        <v>HW1</v>
      </c>
      <c r="K34" s="35" t="str">
        <f t="shared" si="25"/>
        <v>SPHU</v>
      </c>
      <c r="L34" s="35">
        <f t="shared" si="26"/>
        <v>400</v>
      </c>
      <c r="M34" s="35">
        <f t="shared" si="27"/>
        <v>20</v>
      </c>
      <c r="N34" s="35">
        <f t="shared" si="28"/>
        <v>200</v>
      </c>
      <c r="O34" s="35" t="str">
        <f t="shared" si="29"/>
        <v>MTN2</v>
      </c>
      <c r="P34" s="35" t="str">
        <f t="shared" si="30"/>
        <v>CNT2</v>
      </c>
      <c r="Q34" s="35" t="str">
        <f t="shared" si="31"/>
        <v>KNT3</v>
      </c>
      <c r="R34" s="35" t="str">
        <f t="shared" si="32"/>
        <v>E</v>
      </c>
      <c r="S34" s="35" t="str">
        <f t="shared" si="33"/>
        <v>EXP1</v>
      </c>
      <c r="T34" s="58"/>
      <c r="U34" s="58"/>
      <c r="V34" s="58"/>
      <c r="W34" s="58"/>
      <c r="X34" s="58"/>
      <c r="Y34" s="58"/>
      <c r="Z34" s="58"/>
      <c r="AA34" s="95">
        <f t="shared" si="9"/>
        <v>0.55573882741793501</v>
      </c>
      <c r="AB34" s="96">
        <f t="shared" si="10"/>
        <v>55.573882741793504</v>
      </c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89">
        <f t="shared" si="11"/>
        <v>19</v>
      </c>
      <c r="AN34" s="5">
        <f t="shared" si="0"/>
        <v>35.5</v>
      </c>
      <c r="AO34" s="14">
        <f t="shared" si="1"/>
        <v>1.6362628753157216</v>
      </c>
      <c r="AP34" s="14">
        <f>IF((OR(R34="A",R34="B",R34="C")),INDEX(Coefficients!$S$4:$S$22,MATCH(J34,Coefficients!$R$4:$R$22)),INDEX(Coefficients!$T$4:$T$22,MATCH(J34,Coefficients!$R$4:$R$22)))</f>
        <v>1.3</v>
      </c>
      <c r="AQ34" s="27">
        <f>IF((OR(R34="A",R34="B",R34="C")),INDEX(Coefficients!$S$4:$S$22,MATCH(K34,Coefficients!$R$4:$R$22)),INDEX(Coefficients!$T$4:$T$22,MATCH(K34,Coefficients!$R$4:$R$22)))</f>
        <v>25</v>
      </c>
      <c r="AR34" s="15">
        <f>IF(OR(R34="A",R34="B",R34="C",R34="D"),IF(AN34&gt;=11,IF(AN34&gt;=26,Coefficients!$M$6,Coefficients!$M$5),Coefficients!$M$4),IF(AN34&gt;=11,IF(AN34&gt;=26,Coefficients!$N$6,Coefficients!$N$5),Coefficients!$N$4))</f>
        <v>1</v>
      </c>
      <c r="AS34" s="15">
        <f>INDEX(Coefficients!$X$3:$X$4,MATCH(S34,Coefficients!$W$3:$W$4))</f>
        <v>1</v>
      </c>
      <c r="AT34" s="15">
        <f>INDEX(Coefficients!$X$7:$X$8,MATCH(O34,Coefficients!$W$7:$W$8))</f>
        <v>1</v>
      </c>
      <c r="AU34" s="15">
        <f>INDEX(Coefficients!$X$11:$X$12,MATCH(P34,Coefficients!$W$11:$W$12))</f>
        <v>1</v>
      </c>
      <c r="AV34" s="15">
        <f>INDEX(Coefficients!$X$15:$X$17,MATCH(Q34,Coefficients!$W$15:$W$17))</f>
        <v>1</v>
      </c>
      <c r="AW34" s="15">
        <f t="shared" si="12"/>
        <v>1</v>
      </c>
      <c r="AX34" s="15">
        <f t="shared" si="13"/>
        <v>1</v>
      </c>
      <c r="AY34" s="15">
        <f t="shared" si="14"/>
        <v>1.3</v>
      </c>
      <c r="AZ34" s="14">
        <f t="shared" si="15"/>
        <v>40.90657188289304</v>
      </c>
      <c r="BA34" s="14">
        <f t="shared" si="16"/>
        <v>0</v>
      </c>
      <c r="BB34" s="14">
        <f t="shared" si="17"/>
        <v>2.127141737910438</v>
      </c>
      <c r="BC34" s="14">
        <f t="shared" si="18"/>
        <v>1.7872858262089562</v>
      </c>
      <c r="BD34" s="14">
        <f t="shared" si="2"/>
        <v>0.48891899466070676</v>
      </c>
      <c r="BE34" s="16">
        <f t="shared" si="3"/>
        <v>55.573882741793504</v>
      </c>
      <c r="BF34" s="16">
        <f t="shared" si="4"/>
        <v>288.85223451641298</v>
      </c>
      <c r="BG34" s="17">
        <f t="shared" si="5"/>
        <v>0.55573882741793501</v>
      </c>
      <c r="BH34" s="14">
        <f t="shared" si="6"/>
        <v>122.26254203194571</v>
      </c>
      <c r="BI34" s="14">
        <f t="shared" si="7"/>
        <v>155.47491593610857</v>
      </c>
      <c r="BJ34" s="14">
        <f t="shared" si="8"/>
        <v>39.885358256308649</v>
      </c>
    </row>
    <row r="35" spans="2:62">
      <c r="B35" s="35" t="s">
        <v>134</v>
      </c>
      <c r="C35" s="35" t="s">
        <v>135</v>
      </c>
      <c r="D35" s="14">
        <v>2025</v>
      </c>
      <c r="E35" s="90">
        <f t="shared" si="19"/>
        <v>35.5</v>
      </c>
      <c r="F35" s="89">
        <f t="shared" si="20"/>
        <v>21.5</v>
      </c>
      <c r="G35" s="35">
        <f t="shared" si="21"/>
        <v>2005</v>
      </c>
      <c r="H35" s="91" t="str">
        <f t="shared" si="22"/>
        <v>Pile 32 @ Berth 201</v>
      </c>
      <c r="I35" s="35" t="str">
        <f t="shared" si="23"/>
        <v>Turpentine Gum</v>
      </c>
      <c r="J35" s="35" t="str">
        <f t="shared" si="24"/>
        <v>HW1</v>
      </c>
      <c r="K35" s="35" t="str">
        <f t="shared" si="25"/>
        <v>SPHU</v>
      </c>
      <c r="L35" s="35">
        <f t="shared" si="26"/>
        <v>400</v>
      </c>
      <c r="M35" s="35">
        <f t="shared" si="27"/>
        <v>20</v>
      </c>
      <c r="N35" s="35">
        <f t="shared" si="28"/>
        <v>200</v>
      </c>
      <c r="O35" s="35" t="str">
        <f t="shared" si="29"/>
        <v>MTN2</v>
      </c>
      <c r="P35" s="35" t="str">
        <f t="shared" si="30"/>
        <v>CNT2</v>
      </c>
      <c r="Q35" s="35" t="str">
        <f t="shared" si="31"/>
        <v>KNT3</v>
      </c>
      <c r="R35" s="35" t="str">
        <f t="shared" si="32"/>
        <v>E</v>
      </c>
      <c r="S35" s="35" t="str">
        <f t="shared" si="33"/>
        <v>EXP1</v>
      </c>
      <c r="T35" s="58"/>
      <c r="U35" s="58"/>
      <c r="V35" s="58"/>
      <c r="W35" s="58"/>
      <c r="X35" s="58"/>
      <c r="Y35" s="58"/>
      <c r="Z35" s="58"/>
      <c r="AA35" s="95">
        <f t="shared" si="9"/>
        <v>0.57701024479703944</v>
      </c>
      <c r="AB35" s="96">
        <f t="shared" si="10"/>
        <v>57.701024479703946</v>
      </c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89">
        <f t="shared" si="11"/>
        <v>20</v>
      </c>
      <c r="AN35" s="5">
        <f t="shared" si="0"/>
        <v>35.5</v>
      </c>
      <c r="AO35" s="14">
        <f t="shared" si="1"/>
        <v>1.6362628753157216</v>
      </c>
      <c r="AP35" s="14">
        <f>IF((OR(R35="A",R35="B",R35="C")),INDEX(Coefficients!$S$4:$S$22,MATCH(J35,Coefficients!$R$4:$R$22)),INDEX(Coefficients!$T$4:$T$22,MATCH(J35,Coefficients!$R$4:$R$22)))</f>
        <v>1.3</v>
      </c>
      <c r="AQ35" s="27">
        <f>IF((OR(R35="A",R35="B",R35="C")),INDEX(Coefficients!$S$4:$S$22,MATCH(K35,Coefficients!$R$4:$R$22)),INDEX(Coefficients!$T$4:$T$22,MATCH(K35,Coefficients!$R$4:$R$22)))</f>
        <v>25</v>
      </c>
      <c r="AR35" s="15">
        <f>IF(OR(R35="A",R35="B",R35="C",R35="D"),IF(AN35&gt;=11,IF(AN35&gt;=26,Coefficients!$M$6,Coefficients!$M$5),Coefficients!$M$4),IF(AN35&gt;=11,IF(AN35&gt;=26,Coefficients!$N$6,Coefficients!$N$5),Coefficients!$N$4))</f>
        <v>1</v>
      </c>
      <c r="AS35" s="15">
        <f>INDEX(Coefficients!$X$3:$X$4,MATCH(S35,Coefficients!$W$3:$W$4))</f>
        <v>1</v>
      </c>
      <c r="AT35" s="15">
        <f>INDEX(Coefficients!$X$7:$X$8,MATCH(O35,Coefficients!$W$7:$W$8))</f>
        <v>1</v>
      </c>
      <c r="AU35" s="15">
        <f>INDEX(Coefficients!$X$11:$X$12,MATCH(P35,Coefficients!$W$11:$W$12))</f>
        <v>1</v>
      </c>
      <c r="AV35" s="15">
        <f>INDEX(Coefficients!$X$15:$X$17,MATCH(Q35,Coefficients!$W$15:$W$17))</f>
        <v>1</v>
      </c>
      <c r="AW35" s="15">
        <f t="shared" si="12"/>
        <v>1</v>
      </c>
      <c r="AX35" s="15">
        <f t="shared" si="13"/>
        <v>1</v>
      </c>
      <c r="AY35" s="15">
        <f t="shared" si="14"/>
        <v>1.3</v>
      </c>
      <c r="AZ35" s="14">
        <f t="shared" si="15"/>
        <v>40.90657188289304</v>
      </c>
      <c r="BA35" s="14">
        <f t="shared" si="16"/>
        <v>0</v>
      </c>
      <c r="BB35" s="14">
        <f t="shared" si="17"/>
        <v>2.127141737910438</v>
      </c>
      <c r="BC35" s="14">
        <f t="shared" si="18"/>
        <v>1.7872858262089562</v>
      </c>
      <c r="BD35" s="14">
        <f t="shared" si="2"/>
        <v>0.48891899466070676</v>
      </c>
      <c r="BE35" s="16">
        <f t="shared" si="3"/>
        <v>57.701024479703946</v>
      </c>
      <c r="BF35" s="16">
        <f t="shared" si="4"/>
        <v>284.59795104059208</v>
      </c>
      <c r="BG35" s="17">
        <f t="shared" si="5"/>
        <v>0.57701024479703944</v>
      </c>
      <c r="BH35" s="14">
        <f t="shared" si="6"/>
        <v>126.9422538553487</v>
      </c>
      <c r="BI35" s="14">
        <f t="shared" si="7"/>
        <v>146.11549228930261</v>
      </c>
      <c r="BJ35" s="14">
        <f t="shared" si="8"/>
        <v>39.885358256308649</v>
      </c>
    </row>
    <row r="36" spans="2:62">
      <c r="B36" s="35" t="s">
        <v>134</v>
      </c>
      <c r="C36" s="35" t="s">
        <v>135</v>
      </c>
      <c r="D36" s="14">
        <v>2026</v>
      </c>
      <c r="E36" s="90">
        <f t="shared" si="19"/>
        <v>35.5</v>
      </c>
      <c r="F36" s="89">
        <f t="shared" si="20"/>
        <v>21.5</v>
      </c>
      <c r="G36" s="35">
        <f t="shared" si="21"/>
        <v>2005</v>
      </c>
      <c r="H36" s="91" t="str">
        <f t="shared" si="22"/>
        <v>Pile 32 @ Berth 201</v>
      </c>
      <c r="I36" s="35" t="str">
        <f t="shared" si="23"/>
        <v>Turpentine Gum</v>
      </c>
      <c r="J36" s="35" t="str">
        <f t="shared" si="24"/>
        <v>HW1</v>
      </c>
      <c r="K36" s="35" t="str">
        <f t="shared" si="25"/>
        <v>SPHU</v>
      </c>
      <c r="L36" s="35">
        <f t="shared" si="26"/>
        <v>400</v>
      </c>
      <c r="M36" s="35">
        <f t="shared" si="27"/>
        <v>20</v>
      </c>
      <c r="N36" s="35">
        <f t="shared" si="28"/>
        <v>200</v>
      </c>
      <c r="O36" s="35" t="str">
        <f t="shared" si="29"/>
        <v>MTN2</v>
      </c>
      <c r="P36" s="35" t="str">
        <f t="shared" si="30"/>
        <v>CNT2</v>
      </c>
      <c r="Q36" s="35" t="str">
        <f t="shared" si="31"/>
        <v>KNT3</v>
      </c>
      <c r="R36" s="35" t="str">
        <f t="shared" si="32"/>
        <v>E</v>
      </c>
      <c r="S36" s="35" t="str">
        <f t="shared" si="33"/>
        <v>EXP1</v>
      </c>
      <c r="T36" s="58"/>
      <c r="U36" s="58"/>
      <c r="V36" s="58"/>
      <c r="W36" s="58"/>
      <c r="X36" s="58"/>
      <c r="Y36" s="58"/>
      <c r="Z36" s="58"/>
      <c r="AA36" s="95">
        <f t="shared" si="9"/>
        <v>0.59828166217614376</v>
      </c>
      <c r="AB36" s="96">
        <f t="shared" si="10"/>
        <v>59.828166217614381</v>
      </c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89">
        <f t="shared" si="11"/>
        <v>21</v>
      </c>
      <c r="AN36" s="5">
        <f t="shared" si="0"/>
        <v>35.5</v>
      </c>
      <c r="AO36" s="14">
        <f t="shared" si="1"/>
        <v>1.6362628753157216</v>
      </c>
      <c r="AP36" s="14">
        <f>IF((OR(R36="A",R36="B",R36="C")),INDEX(Coefficients!$S$4:$S$22,MATCH(J36,Coefficients!$R$4:$R$22)),INDEX(Coefficients!$T$4:$T$22,MATCH(J36,Coefficients!$R$4:$R$22)))</f>
        <v>1.3</v>
      </c>
      <c r="AQ36" s="27">
        <f>IF((OR(R36="A",R36="B",R36="C")),INDEX(Coefficients!$S$4:$S$22,MATCH(K36,Coefficients!$R$4:$R$22)),INDEX(Coefficients!$T$4:$T$22,MATCH(K36,Coefficients!$R$4:$R$22)))</f>
        <v>25</v>
      </c>
      <c r="AR36" s="15">
        <f>IF(OR(R36="A",R36="B",R36="C",R36="D"),IF(AN36&gt;=11,IF(AN36&gt;=26,Coefficients!$M$6,Coefficients!$M$5),Coefficients!$M$4),IF(AN36&gt;=11,IF(AN36&gt;=26,Coefficients!$N$6,Coefficients!$N$5),Coefficients!$N$4))</f>
        <v>1</v>
      </c>
      <c r="AS36" s="15">
        <f>INDEX(Coefficients!$X$3:$X$4,MATCH(S36,Coefficients!$W$3:$W$4))</f>
        <v>1</v>
      </c>
      <c r="AT36" s="15">
        <f>INDEX(Coefficients!$X$7:$X$8,MATCH(O36,Coefficients!$W$7:$W$8))</f>
        <v>1</v>
      </c>
      <c r="AU36" s="15">
        <f>INDEX(Coefficients!$X$11:$X$12,MATCH(P36,Coefficients!$W$11:$W$12))</f>
        <v>1</v>
      </c>
      <c r="AV36" s="15">
        <f>INDEX(Coefficients!$X$15:$X$17,MATCH(Q36,Coefficients!$W$15:$W$17))</f>
        <v>1</v>
      </c>
      <c r="AW36" s="15">
        <f t="shared" si="12"/>
        <v>1</v>
      </c>
      <c r="AX36" s="15">
        <f t="shared" si="13"/>
        <v>1</v>
      </c>
      <c r="AY36" s="15">
        <f t="shared" si="14"/>
        <v>1.3</v>
      </c>
      <c r="AZ36" s="14">
        <f t="shared" si="15"/>
        <v>40.90657188289304</v>
      </c>
      <c r="BA36" s="14">
        <f t="shared" si="16"/>
        <v>0</v>
      </c>
      <c r="BB36" s="14">
        <f t="shared" si="17"/>
        <v>2.127141737910438</v>
      </c>
      <c r="BC36" s="14">
        <f t="shared" si="18"/>
        <v>1.7872858262089562</v>
      </c>
      <c r="BD36" s="14">
        <f t="shared" si="2"/>
        <v>0.48891899466070676</v>
      </c>
      <c r="BE36" s="16">
        <f t="shared" si="3"/>
        <v>59.828166217614381</v>
      </c>
      <c r="BF36" s="16">
        <f t="shared" si="4"/>
        <v>280.34366756477124</v>
      </c>
      <c r="BG36" s="17">
        <f t="shared" si="5"/>
        <v>0.59828166217614376</v>
      </c>
      <c r="BH36" s="14">
        <f t="shared" si="6"/>
        <v>131.62196567875165</v>
      </c>
      <c r="BI36" s="14">
        <f t="shared" si="7"/>
        <v>136.7560686424967</v>
      </c>
      <c r="BJ36" s="14">
        <f t="shared" si="8"/>
        <v>39.885358256308649</v>
      </c>
    </row>
    <row r="37" spans="2:62">
      <c r="B37" s="35" t="s">
        <v>134</v>
      </c>
      <c r="C37" s="35" t="s">
        <v>135</v>
      </c>
      <c r="D37" s="14">
        <v>2027</v>
      </c>
      <c r="E37" s="90">
        <f t="shared" si="19"/>
        <v>35.5</v>
      </c>
      <c r="F37" s="89">
        <f t="shared" si="20"/>
        <v>21.5</v>
      </c>
      <c r="G37" s="35">
        <f t="shared" si="21"/>
        <v>2005</v>
      </c>
      <c r="H37" s="91" t="str">
        <f t="shared" si="22"/>
        <v>Pile 32 @ Berth 201</v>
      </c>
      <c r="I37" s="35" t="str">
        <f t="shared" si="23"/>
        <v>Turpentine Gum</v>
      </c>
      <c r="J37" s="35" t="str">
        <f t="shared" si="24"/>
        <v>HW1</v>
      </c>
      <c r="K37" s="35" t="str">
        <f t="shared" si="25"/>
        <v>SPHU</v>
      </c>
      <c r="L37" s="35">
        <f t="shared" si="26"/>
        <v>400</v>
      </c>
      <c r="M37" s="35">
        <f t="shared" si="27"/>
        <v>20</v>
      </c>
      <c r="N37" s="35">
        <f t="shared" si="28"/>
        <v>200</v>
      </c>
      <c r="O37" s="35" t="str">
        <f t="shared" si="29"/>
        <v>MTN2</v>
      </c>
      <c r="P37" s="35" t="str">
        <f t="shared" si="30"/>
        <v>CNT2</v>
      </c>
      <c r="Q37" s="35" t="str">
        <f t="shared" si="31"/>
        <v>KNT3</v>
      </c>
      <c r="R37" s="35" t="str">
        <f t="shared" si="32"/>
        <v>E</v>
      </c>
      <c r="S37" s="35" t="str">
        <f t="shared" si="33"/>
        <v>EXP1</v>
      </c>
      <c r="T37" s="58"/>
      <c r="U37" s="58"/>
      <c r="V37" s="58"/>
      <c r="W37" s="58"/>
      <c r="X37" s="58"/>
      <c r="Y37" s="58"/>
      <c r="Z37" s="58"/>
      <c r="AA37" s="95">
        <f t="shared" si="9"/>
        <v>0.61955307955524819</v>
      </c>
      <c r="AB37" s="96">
        <f t="shared" si="10"/>
        <v>61.955307955524816</v>
      </c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89">
        <f t="shared" si="11"/>
        <v>22</v>
      </c>
      <c r="AN37" s="5">
        <f t="shared" si="0"/>
        <v>35.5</v>
      </c>
      <c r="AO37" s="14">
        <f t="shared" si="1"/>
        <v>1.6362628753157216</v>
      </c>
      <c r="AP37" s="14">
        <f>IF((OR(R37="A",R37="B",R37="C")),INDEX(Coefficients!$S$4:$S$22,MATCH(J37,Coefficients!$R$4:$R$22)),INDEX(Coefficients!$T$4:$T$22,MATCH(J37,Coefficients!$R$4:$R$22)))</f>
        <v>1.3</v>
      </c>
      <c r="AQ37" s="27">
        <f>IF((OR(R37="A",R37="B",R37="C")),INDEX(Coefficients!$S$4:$S$22,MATCH(K37,Coefficients!$R$4:$R$22)),INDEX(Coefficients!$T$4:$T$22,MATCH(K37,Coefficients!$R$4:$R$22)))</f>
        <v>25</v>
      </c>
      <c r="AR37" s="15">
        <f>IF(OR(R37="A",R37="B",R37="C",R37="D"),IF(AN37&gt;=11,IF(AN37&gt;=26,Coefficients!$M$6,Coefficients!$M$5),Coefficients!$M$4),IF(AN37&gt;=11,IF(AN37&gt;=26,Coefficients!$N$6,Coefficients!$N$5),Coefficients!$N$4))</f>
        <v>1</v>
      </c>
      <c r="AS37" s="15">
        <f>INDEX(Coefficients!$X$3:$X$4,MATCH(S37,Coefficients!$W$3:$W$4))</f>
        <v>1</v>
      </c>
      <c r="AT37" s="15">
        <f>INDEX(Coefficients!$X$7:$X$8,MATCH(O37,Coefficients!$W$7:$W$8))</f>
        <v>1</v>
      </c>
      <c r="AU37" s="15">
        <f>INDEX(Coefficients!$X$11:$X$12,MATCH(P37,Coefficients!$W$11:$W$12))</f>
        <v>1</v>
      </c>
      <c r="AV37" s="15">
        <f>INDEX(Coefficients!$X$15:$X$17,MATCH(Q37,Coefficients!$W$15:$W$17))</f>
        <v>1</v>
      </c>
      <c r="AW37" s="15">
        <f t="shared" si="12"/>
        <v>1</v>
      </c>
      <c r="AX37" s="15">
        <f t="shared" si="13"/>
        <v>1</v>
      </c>
      <c r="AY37" s="15">
        <f t="shared" si="14"/>
        <v>1.3</v>
      </c>
      <c r="AZ37" s="14">
        <f t="shared" si="15"/>
        <v>40.90657188289304</v>
      </c>
      <c r="BA37" s="14">
        <f t="shared" si="16"/>
        <v>0</v>
      </c>
      <c r="BB37" s="14">
        <f t="shared" si="17"/>
        <v>2.127141737910438</v>
      </c>
      <c r="BC37" s="14">
        <f t="shared" si="18"/>
        <v>1.7872858262089562</v>
      </c>
      <c r="BD37" s="14">
        <f t="shared" si="2"/>
        <v>0.48891899466070676</v>
      </c>
      <c r="BE37" s="16">
        <f t="shared" si="3"/>
        <v>61.955307955524816</v>
      </c>
      <c r="BF37" s="16">
        <f t="shared" si="4"/>
        <v>276.0893840889504</v>
      </c>
      <c r="BG37" s="17">
        <f t="shared" si="5"/>
        <v>0.61955307955524819</v>
      </c>
      <c r="BH37" s="14">
        <f t="shared" si="6"/>
        <v>136.3016775021546</v>
      </c>
      <c r="BI37" s="14">
        <f t="shared" si="7"/>
        <v>127.39664499569079</v>
      </c>
      <c r="BJ37" s="14">
        <f t="shared" si="8"/>
        <v>39.885358256308649</v>
      </c>
    </row>
    <row r="38" spans="2:62">
      <c r="B38" s="35" t="s">
        <v>134</v>
      </c>
      <c r="C38" s="35" t="s">
        <v>135</v>
      </c>
      <c r="D38" s="14">
        <v>2028</v>
      </c>
      <c r="E38" s="90">
        <f t="shared" si="19"/>
        <v>35.5</v>
      </c>
      <c r="F38" s="89">
        <f t="shared" si="20"/>
        <v>21.5</v>
      </c>
      <c r="G38" s="35">
        <f t="shared" si="21"/>
        <v>2005</v>
      </c>
      <c r="H38" s="91" t="str">
        <f t="shared" si="22"/>
        <v>Pile 32 @ Berth 201</v>
      </c>
      <c r="I38" s="35" t="str">
        <f t="shared" si="23"/>
        <v>Turpentine Gum</v>
      </c>
      <c r="J38" s="35" t="str">
        <f t="shared" si="24"/>
        <v>HW1</v>
      </c>
      <c r="K38" s="35" t="str">
        <f t="shared" si="25"/>
        <v>SPHU</v>
      </c>
      <c r="L38" s="35">
        <f t="shared" si="26"/>
        <v>400</v>
      </c>
      <c r="M38" s="35">
        <f t="shared" si="27"/>
        <v>20</v>
      </c>
      <c r="N38" s="35">
        <f t="shared" si="28"/>
        <v>200</v>
      </c>
      <c r="O38" s="35" t="str">
        <f t="shared" si="29"/>
        <v>MTN2</v>
      </c>
      <c r="P38" s="35" t="str">
        <f t="shared" si="30"/>
        <v>CNT2</v>
      </c>
      <c r="Q38" s="35" t="str">
        <f t="shared" si="31"/>
        <v>KNT3</v>
      </c>
      <c r="R38" s="35" t="str">
        <f t="shared" si="32"/>
        <v>E</v>
      </c>
      <c r="S38" s="35" t="str">
        <f t="shared" si="33"/>
        <v>EXP1</v>
      </c>
      <c r="T38" s="58"/>
      <c r="U38" s="58"/>
      <c r="V38" s="58"/>
      <c r="W38" s="58"/>
      <c r="X38" s="58"/>
      <c r="Y38" s="58"/>
      <c r="Z38" s="58"/>
      <c r="AA38" s="95">
        <f t="shared" si="9"/>
        <v>0.64082449693435251</v>
      </c>
      <c r="AB38" s="96">
        <f t="shared" si="10"/>
        <v>64.082449693435251</v>
      </c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89">
        <f t="shared" si="11"/>
        <v>23</v>
      </c>
      <c r="AN38" s="5">
        <f t="shared" si="0"/>
        <v>35.5</v>
      </c>
      <c r="AO38" s="14">
        <f t="shared" si="1"/>
        <v>1.6362628753157216</v>
      </c>
      <c r="AP38" s="14">
        <f>IF((OR(R38="A",R38="B",R38="C")),INDEX(Coefficients!$S$4:$S$22,MATCH(J38,Coefficients!$R$4:$R$22)),INDEX(Coefficients!$T$4:$T$22,MATCH(J38,Coefficients!$R$4:$R$22)))</f>
        <v>1.3</v>
      </c>
      <c r="AQ38" s="27">
        <f>IF((OR(R38="A",R38="B",R38="C")),INDEX(Coefficients!$S$4:$S$22,MATCH(K38,Coefficients!$R$4:$R$22)),INDEX(Coefficients!$T$4:$T$22,MATCH(K38,Coefficients!$R$4:$R$22)))</f>
        <v>25</v>
      </c>
      <c r="AR38" s="15">
        <f>IF(OR(R38="A",R38="B",R38="C",R38="D"),IF(AN38&gt;=11,IF(AN38&gt;=26,Coefficients!$M$6,Coefficients!$M$5),Coefficients!$M$4),IF(AN38&gt;=11,IF(AN38&gt;=26,Coefficients!$N$6,Coefficients!$N$5),Coefficients!$N$4))</f>
        <v>1</v>
      </c>
      <c r="AS38" s="15">
        <f>INDEX(Coefficients!$X$3:$X$4,MATCH(S38,Coefficients!$W$3:$W$4))</f>
        <v>1</v>
      </c>
      <c r="AT38" s="15">
        <f>INDEX(Coefficients!$X$7:$X$8,MATCH(O38,Coefficients!$W$7:$W$8))</f>
        <v>1</v>
      </c>
      <c r="AU38" s="15">
        <f>INDEX(Coefficients!$X$11:$X$12,MATCH(P38,Coefficients!$W$11:$W$12))</f>
        <v>1</v>
      </c>
      <c r="AV38" s="15">
        <f>INDEX(Coefficients!$X$15:$X$17,MATCH(Q38,Coefficients!$W$15:$W$17))</f>
        <v>1</v>
      </c>
      <c r="AW38" s="15">
        <f t="shared" si="12"/>
        <v>1</v>
      </c>
      <c r="AX38" s="15">
        <f t="shared" si="13"/>
        <v>1</v>
      </c>
      <c r="AY38" s="15">
        <f t="shared" si="14"/>
        <v>1.3</v>
      </c>
      <c r="AZ38" s="14">
        <f t="shared" si="15"/>
        <v>40.90657188289304</v>
      </c>
      <c r="BA38" s="14">
        <f t="shared" si="16"/>
        <v>0</v>
      </c>
      <c r="BB38" s="14">
        <f t="shared" si="17"/>
        <v>2.127141737910438</v>
      </c>
      <c r="BC38" s="14">
        <f t="shared" si="18"/>
        <v>1.7872858262089562</v>
      </c>
      <c r="BD38" s="14">
        <f t="shared" si="2"/>
        <v>0.48891899466070676</v>
      </c>
      <c r="BE38" s="16">
        <f t="shared" si="3"/>
        <v>64.082449693435251</v>
      </c>
      <c r="BF38" s="16">
        <f t="shared" si="4"/>
        <v>271.8351006131295</v>
      </c>
      <c r="BG38" s="17">
        <f t="shared" si="5"/>
        <v>0.64082449693435251</v>
      </c>
      <c r="BH38" s="14">
        <f t="shared" si="6"/>
        <v>140.98138932555756</v>
      </c>
      <c r="BI38" s="14">
        <f t="shared" si="7"/>
        <v>118.03722134888488</v>
      </c>
      <c r="BJ38" s="14">
        <f t="shared" si="8"/>
        <v>39.885358256308649</v>
      </c>
    </row>
    <row r="39" spans="2:62">
      <c r="B39" s="35" t="s">
        <v>134</v>
      </c>
      <c r="C39" s="35" t="s">
        <v>135</v>
      </c>
      <c r="D39" s="14">
        <v>2029</v>
      </c>
      <c r="E39" s="90">
        <f t="shared" si="19"/>
        <v>35.5</v>
      </c>
      <c r="F39" s="89">
        <f t="shared" si="20"/>
        <v>21.5</v>
      </c>
      <c r="G39" s="35">
        <f t="shared" si="21"/>
        <v>2005</v>
      </c>
      <c r="H39" s="91" t="str">
        <f t="shared" si="22"/>
        <v>Pile 32 @ Berth 201</v>
      </c>
      <c r="I39" s="35" t="str">
        <f t="shared" si="23"/>
        <v>Turpentine Gum</v>
      </c>
      <c r="J39" s="35" t="str">
        <f t="shared" si="24"/>
        <v>HW1</v>
      </c>
      <c r="K39" s="35" t="str">
        <f t="shared" si="25"/>
        <v>SPHU</v>
      </c>
      <c r="L39" s="35">
        <f t="shared" si="26"/>
        <v>400</v>
      </c>
      <c r="M39" s="35">
        <f t="shared" si="27"/>
        <v>20</v>
      </c>
      <c r="N39" s="35">
        <f t="shared" si="28"/>
        <v>200</v>
      </c>
      <c r="O39" s="35" t="str">
        <f t="shared" si="29"/>
        <v>MTN2</v>
      </c>
      <c r="P39" s="35" t="str">
        <f t="shared" si="30"/>
        <v>CNT2</v>
      </c>
      <c r="Q39" s="35" t="str">
        <f t="shared" si="31"/>
        <v>KNT3</v>
      </c>
      <c r="R39" s="35" t="str">
        <f t="shared" si="32"/>
        <v>E</v>
      </c>
      <c r="S39" s="35" t="str">
        <f t="shared" si="33"/>
        <v>EXP1</v>
      </c>
      <c r="T39" s="58"/>
      <c r="U39" s="58"/>
      <c r="V39" s="58"/>
      <c r="W39" s="58"/>
      <c r="X39" s="58"/>
      <c r="Y39" s="58"/>
      <c r="Z39" s="58"/>
      <c r="AA39" s="95">
        <f t="shared" si="9"/>
        <v>0.66209591431345705</v>
      </c>
      <c r="AB39" s="96">
        <f t="shared" si="10"/>
        <v>66.2095914313457</v>
      </c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89">
        <f t="shared" si="11"/>
        <v>24</v>
      </c>
      <c r="AN39" s="5">
        <f t="shared" si="0"/>
        <v>35.5</v>
      </c>
      <c r="AO39" s="14">
        <f t="shared" si="1"/>
        <v>1.6362628753157216</v>
      </c>
      <c r="AP39" s="14">
        <f>IF((OR(R39="A",R39="B",R39="C")),INDEX(Coefficients!$S$4:$S$22,MATCH(J39,Coefficients!$R$4:$R$22)),INDEX(Coefficients!$T$4:$T$22,MATCH(J39,Coefficients!$R$4:$R$22)))</f>
        <v>1.3</v>
      </c>
      <c r="AQ39" s="27">
        <f>IF((OR(R39="A",R39="B",R39="C")),INDEX(Coefficients!$S$4:$S$22,MATCH(K39,Coefficients!$R$4:$R$22)),INDEX(Coefficients!$T$4:$T$22,MATCH(K39,Coefficients!$R$4:$R$22)))</f>
        <v>25</v>
      </c>
      <c r="AR39" s="15">
        <f>IF(OR(R39="A",R39="B",R39="C",R39="D"),IF(AN39&gt;=11,IF(AN39&gt;=26,Coefficients!$M$6,Coefficients!$M$5),Coefficients!$M$4),IF(AN39&gt;=11,IF(AN39&gt;=26,Coefficients!$N$6,Coefficients!$N$5),Coefficients!$N$4))</f>
        <v>1</v>
      </c>
      <c r="AS39" s="15">
        <f>INDEX(Coefficients!$X$3:$X$4,MATCH(S39,Coefficients!$W$3:$W$4))</f>
        <v>1</v>
      </c>
      <c r="AT39" s="15">
        <f>INDEX(Coefficients!$X$7:$X$8,MATCH(O39,Coefficients!$W$7:$W$8))</f>
        <v>1</v>
      </c>
      <c r="AU39" s="15">
        <f>INDEX(Coefficients!$X$11:$X$12,MATCH(P39,Coefficients!$W$11:$W$12))</f>
        <v>1</v>
      </c>
      <c r="AV39" s="15">
        <f>INDEX(Coefficients!$X$15:$X$17,MATCH(Q39,Coefficients!$W$15:$W$17))</f>
        <v>1</v>
      </c>
      <c r="AW39" s="15">
        <f t="shared" si="12"/>
        <v>1</v>
      </c>
      <c r="AX39" s="15">
        <f t="shared" si="13"/>
        <v>1</v>
      </c>
      <c r="AY39" s="15">
        <f t="shared" si="14"/>
        <v>1.3</v>
      </c>
      <c r="AZ39" s="14">
        <f t="shared" si="15"/>
        <v>40.90657188289304</v>
      </c>
      <c r="BA39" s="14">
        <f t="shared" si="16"/>
        <v>0</v>
      </c>
      <c r="BB39" s="14">
        <f t="shared" si="17"/>
        <v>2.127141737910438</v>
      </c>
      <c r="BC39" s="14">
        <f t="shared" si="18"/>
        <v>1.7872858262089562</v>
      </c>
      <c r="BD39" s="14">
        <f t="shared" si="2"/>
        <v>0.48891899466070676</v>
      </c>
      <c r="BE39" s="16">
        <f t="shared" si="3"/>
        <v>66.2095914313457</v>
      </c>
      <c r="BF39" s="16">
        <f t="shared" si="4"/>
        <v>267.5808171373086</v>
      </c>
      <c r="BG39" s="17">
        <f t="shared" si="5"/>
        <v>0.66209591431345705</v>
      </c>
      <c r="BH39" s="14">
        <f t="shared" si="6"/>
        <v>145.66110114896054</v>
      </c>
      <c r="BI39" s="14">
        <f t="shared" si="7"/>
        <v>108.67779770207892</v>
      </c>
      <c r="BJ39" s="14">
        <f t="shared" si="8"/>
        <v>39.885358256308649</v>
      </c>
    </row>
    <row r="40" spans="2:62">
      <c r="B40" s="35" t="s">
        <v>134</v>
      </c>
      <c r="C40" s="35" t="s">
        <v>135</v>
      </c>
      <c r="D40" s="14">
        <v>2030</v>
      </c>
      <c r="E40" s="90">
        <f t="shared" si="19"/>
        <v>35.5</v>
      </c>
      <c r="F40" s="89">
        <f t="shared" si="20"/>
        <v>21.5</v>
      </c>
      <c r="G40" s="35">
        <f t="shared" si="21"/>
        <v>2005</v>
      </c>
      <c r="H40" s="91" t="str">
        <f t="shared" si="22"/>
        <v>Pile 32 @ Berth 201</v>
      </c>
      <c r="I40" s="35" t="str">
        <f t="shared" si="23"/>
        <v>Turpentine Gum</v>
      </c>
      <c r="J40" s="35" t="str">
        <f t="shared" si="24"/>
        <v>HW1</v>
      </c>
      <c r="K40" s="35" t="str">
        <f t="shared" si="25"/>
        <v>SPHU</v>
      </c>
      <c r="L40" s="35">
        <f t="shared" si="26"/>
        <v>400</v>
      </c>
      <c r="M40" s="35">
        <f t="shared" si="27"/>
        <v>20</v>
      </c>
      <c r="N40" s="35">
        <f t="shared" si="28"/>
        <v>200</v>
      </c>
      <c r="O40" s="35" t="str">
        <f t="shared" si="29"/>
        <v>MTN2</v>
      </c>
      <c r="P40" s="35" t="str">
        <f t="shared" si="30"/>
        <v>CNT2</v>
      </c>
      <c r="Q40" s="35" t="str">
        <f t="shared" si="31"/>
        <v>KNT3</v>
      </c>
      <c r="R40" s="35" t="str">
        <f t="shared" si="32"/>
        <v>E</v>
      </c>
      <c r="S40" s="35" t="str">
        <f t="shared" si="33"/>
        <v>EXP1</v>
      </c>
      <c r="T40" s="58"/>
      <c r="U40" s="58"/>
      <c r="V40" s="58"/>
      <c r="W40" s="58"/>
      <c r="X40" s="58"/>
      <c r="Y40" s="58"/>
      <c r="Z40" s="58"/>
      <c r="AA40" s="95">
        <f t="shared" si="9"/>
        <v>0.68336733169256136</v>
      </c>
      <c r="AB40" s="96">
        <f t="shared" si="10"/>
        <v>68.336733169256135</v>
      </c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89">
        <f t="shared" si="11"/>
        <v>25</v>
      </c>
      <c r="AN40" s="5">
        <f t="shared" si="0"/>
        <v>35.5</v>
      </c>
      <c r="AO40" s="14">
        <f t="shared" si="1"/>
        <v>1.6362628753157216</v>
      </c>
      <c r="AP40" s="14">
        <f>IF((OR(R40="A",R40="B",R40="C")),INDEX(Coefficients!$S$4:$S$22,MATCH(J40,Coefficients!$R$4:$R$22)),INDEX(Coefficients!$T$4:$T$22,MATCH(J40,Coefficients!$R$4:$R$22)))</f>
        <v>1.3</v>
      </c>
      <c r="AQ40" s="27">
        <f>IF((OR(R40="A",R40="B",R40="C")),INDEX(Coefficients!$S$4:$S$22,MATCH(K40,Coefficients!$R$4:$R$22)),INDEX(Coefficients!$T$4:$T$22,MATCH(K40,Coefficients!$R$4:$R$22)))</f>
        <v>25</v>
      </c>
      <c r="AR40" s="15">
        <f>IF(OR(R40="A",R40="B",R40="C",R40="D"),IF(AN40&gt;=11,IF(AN40&gt;=26,Coefficients!$M$6,Coefficients!$M$5),Coefficients!$M$4),IF(AN40&gt;=11,IF(AN40&gt;=26,Coefficients!$N$6,Coefficients!$N$5),Coefficients!$N$4))</f>
        <v>1</v>
      </c>
      <c r="AS40" s="15">
        <f>INDEX(Coefficients!$X$3:$X$4,MATCH(S40,Coefficients!$W$3:$W$4))</f>
        <v>1</v>
      </c>
      <c r="AT40" s="15">
        <f>INDEX(Coefficients!$X$7:$X$8,MATCH(O40,Coefficients!$W$7:$W$8))</f>
        <v>1</v>
      </c>
      <c r="AU40" s="15">
        <f>INDEX(Coefficients!$X$11:$X$12,MATCH(P40,Coefficients!$W$11:$W$12))</f>
        <v>1</v>
      </c>
      <c r="AV40" s="15">
        <f>INDEX(Coefficients!$X$15:$X$17,MATCH(Q40,Coefficients!$W$15:$W$17))</f>
        <v>1</v>
      </c>
      <c r="AW40" s="15">
        <f t="shared" si="12"/>
        <v>1</v>
      </c>
      <c r="AX40" s="15">
        <f t="shared" si="13"/>
        <v>1</v>
      </c>
      <c r="AY40" s="15">
        <f t="shared" si="14"/>
        <v>1.3</v>
      </c>
      <c r="AZ40" s="14">
        <f t="shared" si="15"/>
        <v>40.90657188289304</v>
      </c>
      <c r="BA40" s="14">
        <f t="shared" si="16"/>
        <v>0</v>
      </c>
      <c r="BB40" s="14">
        <f t="shared" si="17"/>
        <v>2.127141737910438</v>
      </c>
      <c r="BC40" s="14">
        <f t="shared" si="18"/>
        <v>1.7872858262089562</v>
      </c>
      <c r="BD40" s="14">
        <f t="shared" si="2"/>
        <v>0.48891899466070676</v>
      </c>
      <c r="BE40" s="16">
        <f t="shared" si="3"/>
        <v>68.336733169256135</v>
      </c>
      <c r="BF40" s="16">
        <f t="shared" si="4"/>
        <v>263.3265336614877</v>
      </c>
      <c r="BG40" s="17">
        <f t="shared" si="5"/>
        <v>0.68336733169256136</v>
      </c>
      <c r="BH40" s="14">
        <f t="shared" si="6"/>
        <v>150.34081297236352</v>
      </c>
      <c r="BI40" s="14">
        <f t="shared" si="7"/>
        <v>99.318374055272955</v>
      </c>
      <c r="BJ40" s="14">
        <f t="shared" si="8"/>
        <v>39.885358256308649</v>
      </c>
    </row>
    <row r="41" spans="2:62">
      <c r="B41" s="35" t="s">
        <v>134</v>
      </c>
      <c r="C41" s="35" t="s">
        <v>135</v>
      </c>
      <c r="D41" s="14">
        <v>2031</v>
      </c>
      <c r="E41" s="90">
        <f t="shared" si="19"/>
        <v>35.5</v>
      </c>
      <c r="F41" s="89">
        <f t="shared" si="20"/>
        <v>21.5</v>
      </c>
      <c r="G41" s="35">
        <f t="shared" si="21"/>
        <v>2005</v>
      </c>
      <c r="H41" s="91" t="str">
        <f t="shared" si="22"/>
        <v>Pile 32 @ Berth 201</v>
      </c>
      <c r="I41" s="35" t="str">
        <f t="shared" si="23"/>
        <v>Turpentine Gum</v>
      </c>
      <c r="J41" s="35" t="str">
        <f t="shared" si="24"/>
        <v>HW1</v>
      </c>
      <c r="K41" s="35" t="str">
        <f t="shared" si="25"/>
        <v>SPHU</v>
      </c>
      <c r="L41" s="35">
        <f t="shared" si="26"/>
        <v>400</v>
      </c>
      <c r="M41" s="35">
        <f t="shared" si="27"/>
        <v>20</v>
      </c>
      <c r="N41" s="35">
        <f t="shared" si="28"/>
        <v>200</v>
      </c>
      <c r="O41" s="35" t="str">
        <f t="shared" si="29"/>
        <v>MTN2</v>
      </c>
      <c r="P41" s="35" t="str">
        <f t="shared" si="30"/>
        <v>CNT2</v>
      </c>
      <c r="Q41" s="35" t="str">
        <f t="shared" si="31"/>
        <v>KNT3</v>
      </c>
      <c r="R41" s="35" t="str">
        <f t="shared" si="32"/>
        <v>E</v>
      </c>
      <c r="S41" s="35" t="str">
        <f t="shared" si="33"/>
        <v>EXP1</v>
      </c>
      <c r="T41" s="58"/>
      <c r="U41" s="58"/>
      <c r="V41" s="58"/>
      <c r="W41" s="58"/>
      <c r="X41" s="58"/>
      <c r="Y41" s="58"/>
      <c r="Z41" s="58"/>
      <c r="AA41" s="95">
        <f t="shared" si="9"/>
        <v>0.70463874907166568</v>
      </c>
      <c r="AB41" s="96">
        <f t="shared" si="10"/>
        <v>70.46387490716657</v>
      </c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89">
        <f t="shared" si="11"/>
        <v>26</v>
      </c>
      <c r="AN41" s="5">
        <f t="shared" si="0"/>
        <v>35.5</v>
      </c>
      <c r="AO41" s="14">
        <f t="shared" si="1"/>
        <v>1.6362628753157216</v>
      </c>
      <c r="AP41" s="14">
        <f>IF((OR(R41="A",R41="B",R41="C")),INDEX(Coefficients!$S$4:$S$22,MATCH(J41,Coefficients!$R$4:$R$22)),INDEX(Coefficients!$T$4:$T$22,MATCH(J41,Coefficients!$R$4:$R$22)))</f>
        <v>1.3</v>
      </c>
      <c r="AQ41" s="27">
        <f>IF((OR(R41="A",R41="B",R41="C")),INDEX(Coefficients!$S$4:$S$22,MATCH(K41,Coefficients!$R$4:$R$22)),INDEX(Coefficients!$T$4:$T$22,MATCH(K41,Coefficients!$R$4:$R$22)))</f>
        <v>25</v>
      </c>
      <c r="AR41" s="15">
        <f>IF(OR(R41="A",R41="B",R41="C",R41="D"),IF(AN41&gt;=11,IF(AN41&gt;=26,Coefficients!$M$6,Coefficients!$M$5),Coefficients!$M$4),IF(AN41&gt;=11,IF(AN41&gt;=26,Coefficients!$N$6,Coefficients!$N$5),Coefficients!$N$4))</f>
        <v>1</v>
      </c>
      <c r="AS41" s="15">
        <f>INDEX(Coefficients!$X$3:$X$4,MATCH(S41,Coefficients!$W$3:$W$4))</f>
        <v>1</v>
      </c>
      <c r="AT41" s="15">
        <f>INDEX(Coefficients!$X$7:$X$8,MATCH(O41,Coefficients!$W$7:$W$8))</f>
        <v>1</v>
      </c>
      <c r="AU41" s="15">
        <f>INDEX(Coefficients!$X$11:$X$12,MATCH(P41,Coefficients!$W$11:$W$12))</f>
        <v>1</v>
      </c>
      <c r="AV41" s="15">
        <f>INDEX(Coefficients!$X$15:$X$17,MATCH(Q41,Coefficients!$W$15:$W$17))</f>
        <v>1</v>
      </c>
      <c r="AW41" s="15">
        <f t="shared" si="12"/>
        <v>1</v>
      </c>
      <c r="AX41" s="15">
        <f t="shared" si="13"/>
        <v>1</v>
      </c>
      <c r="AY41" s="15">
        <f t="shared" si="14"/>
        <v>1.3</v>
      </c>
      <c r="AZ41" s="14">
        <f t="shared" si="15"/>
        <v>40.90657188289304</v>
      </c>
      <c r="BA41" s="14">
        <f t="shared" si="16"/>
        <v>0</v>
      </c>
      <c r="BB41" s="14">
        <f t="shared" si="17"/>
        <v>2.127141737910438</v>
      </c>
      <c r="BC41" s="14">
        <f t="shared" si="18"/>
        <v>1.7872858262089562</v>
      </c>
      <c r="BD41" s="14">
        <f t="shared" si="2"/>
        <v>0.48891899466070676</v>
      </c>
      <c r="BE41" s="16">
        <f t="shared" si="3"/>
        <v>70.46387490716657</v>
      </c>
      <c r="BF41" s="16">
        <f t="shared" si="4"/>
        <v>259.07225018566686</v>
      </c>
      <c r="BG41" s="17">
        <f t="shared" si="5"/>
        <v>0.70463874907166568</v>
      </c>
      <c r="BH41" s="14">
        <f t="shared" si="6"/>
        <v>155.02052479576648</v>
      </c>
      <c r="BI41" s="14">
        <f t="shared" si="7"/>
        <v>89.958950408467047</v>
      </c>
      <c r="BJ41" s="14">
        <f t="shared" si="8"/>
        <v>39.885358256308649</v>
      </c>
    </row>
    <row r="42" spans="2:62" s="2" customFormat="1">
      <c r="B42" s="35" t="s">
        <v>134</v>
      </c>
      <c r="C42" s="35" t="s">
        <v>135</v>
      </c>
      <c r="D42" s="14">
        <v>2032</v>
      </c>
      <c r="E42" s="90">
        <f t="shared" si="19"/>
        <v>35.5</v>
      </c>
      <c r="F42" s="89">
        <f t="shared" si="20"/>
        <v>21.5</v>
      </c>
      <c r="G42" s="35">
        <f t="shared" si="21"/>
        <v>2005</v>
      </c>
      <c r="H42" s="91" t="str">
        <f t="shared" si="22"/>
        <v>Pile 32 @ Berth 201</v>
      </c>
      <c r="I42" s="35" t="str">
        <f t="shared" si="23"/>
        <v>Turpentine Gum</v>
      </c>
      <c r="J42" s="35" t="str">
        <f t="shared" si="24"/>
        <v>HW1</v>
      </c>
      <c r="K42" s="35" t="str">
        <f t="shared" si="25"/>
        <v>SPHU</v>
      </c>
      <c r="L42" s="35">
        <f t="shared" si="26"/>
        <v>400</v>
      </c>
      <c r="M42" s="35">
        <f t="shared" si="27"/>
        <v>20</v>
      </c>
      <c r="N42" s="35">
        <f t="shared" si="28"/>
        <v>200</v>
      </c>
      <c r="O42" s="35" t="str">
        <f t="shared" si="29"/>
        <v>MTN2</v>
      </c>
      <c r="P42" s="35" t="str">
        <f t="shared" si="30"/>
        <v>CNT2</v>
      </c>
      <c r="Q42" s="35" t="str">
        <f t="shared" si="31"/>
        <v>KNT3</v>
      </c>
      <c r="R42" s="35" t="str">
        <f t="shared" si="32"/>
        <v>E</v>
      </c>
      <c r="S42" s="35" t="str">
        <f t="shared" si="33"/>
        <v>EXP1</v>
      </c>
      <c r="T42" s="58"/>
      <c r="U42" s="58"/>
      <c r="V42" s="58"/>
      <c r="W42" s="58"/>
      <c r="X42" s="58"/>
      <c r="Y42" s="58"/>
      <c r="Z42" s="58"/>
      <c r="AA42" s="95">
        <f t="shared" si="9"/>
        <v>0.72591016645077022</v>
      </c>
      <c r="AB42" s="96">
        <f t="shared" si="10"/>
        <v>72.591016645077019</v>
      </c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89">
        <f t="shared" si="11"/>
        <v>27</v>
      </c>
      <c r="AN42" s="5">
        <f t="shared" ref="AN42:AN73" si="34">E42</f>
        <v>35.5</v>
      </c>
      <c r="AO42" s="14">
        <f t="shared" ref="AO42:AO73" si="35">0.1*EXP(0.13*F42)</f>
        <v>1.6362628753157216</v>
      </c>
      <c r="AP42" s="14">
        <f>IF((OR(R42="A",R42="B",R42="C")),INDEX(Coefficients!$S$4:$S$22,MATCH(J42,Coefficients!$R$4:$R$22)),INDEX(Coefficients!$T$4:$T$22,MATCH(J42,Coefficients!$R$4:$R$22)))</f>
        <v>1.3</v>
      </c>
      <c r="AQ42" s="27">
        <f>IF((OR(R42="A",R42="B",R42="C")),INDEX(Coefficients!$S$4:$S$22,MATCH(K42,Coefficients!$R$4:$R$22)),INDEX(Coefficients!$T$4:$T$22,MATCH(K42,Coefficients!$R$4:$R$22)))</f>
        <v>25</v>
      </c>
      <c r="AR42" s="15">
        <f>IF(OR(R42="A",R42="B",R42="C",R42="D"),IF(AN42&gt;=11,IF(AN42&gt;=26,Coefficients!$M$6,Coefficients!$M$5),Coefficients!$M$4),IF(AN42&gt;=11,IF(AN42&gt;=26,Coefficients!$N$6,Coefficients!$N$5),Coefficients!$N$4))</f>
        <v>1</v>
      </c>
      <c r="AS42" s="15">
        <f>INDEX(Coefficients!$X$3:$X$4,MATCH(S42,Coefficients!$W$3:$W$4))</f>
        <v>1</v>
      </c>
      <c r="AT42" s="15">
        <f>INDEX(Coefficients!$X$7:$X$8,MATCH(O42,Coefficients!$W$7:$W$8))</f>
        <v>1</v>
      </c>
      <c r="AU42" s="15">
        <f>INDEX(Coefficients!$X$11:$X$12,MATCH(P42,Coefficients!$W$11:$W$12))</f>
        <v>1</v>
      </c>
      <c r="AV42" s="15">
        <f>INDEX(Coefficients!$X$15:$X$17,MATCH(Q42,Coefficients!$W$15:$W$17))</f>
        <v>1</v>
      </c>
      <c r="AW42" s="15">
        <f t="shared" si="12"/>
        <v>1</v>
      </c>
      <c r="AX42" s="15">
        <f t="shared" si="13"/>
        <v>1</v>
      </c>
      <c r="AY42" s="15">
        <f t="shared" si="14"/>
        <v>1.3</v>
      </c>
      <c r="AZ42" s="14">
        <f t="shared" si="15"/>
        <v>40.90657188289304</v>
      </c>
      <c r="BA42" s="14">
        <f t="shared" si="16"/>
        <v>0</v>
      </c>
      <c r="BB42" s="14">
        <f t="shared" si="17"/>
        <v>2.127141737910438</v>
      </c>
      <c r="BC42" s="14">
        <f t="shared" si="18"/>
        <v>1.7872858262089562</v>
      </c>
      <c r="BD42" s="14">
        <f t="shared" ref="BD42:BD73" si="36">M42/AZ42+BA42</f>
        <v>0.48891899466070676</v>
      </c>
      <c r="BE42" s="16">
        <f t="shared" ref="BE42:BE73" si="37">IF(AM42&lt;=0,0,IF(AM42&gt;(BD42+BC42),M42+(AM42-BD42-BC42)*BB42,M42))</f>
        <v>72.591016645077019</v>
      </c>
      <c r="BF42" s="16">
        <f t="shared" ref="BF42:BF73" si="38">L42-2*BE42</f>
        <v>254.81796670984596</v>
      </c>
      <c r="BG42" s="17">
        <f t="shared" ref="BG42:BG73" si="39">IF(2*BE42&gt;(L42-N42),1,BE42/((L42-N42)/2))</f>
        <v>0.72591016645077022</v>
      </c>
      <c r="BH42" s="14">
        <f t="shared" ref="BH42:BH73" si="40">BE42*(1+$BF$1*$BF$2)</f>
        <v>159.70023661916946</v>
      </c>
      <c r="BI42" s="14">
        <f t="shared" ref="BI42:BI73" si="41">L42-2*BH42</f>
        <v>80.599526761661082</v>
      </c>
      <c r="BJ42" s="14">
        <f t="shared" ref="BJ42:BJ73" si="42">($BF$3/2-M42)/BB42+BD42+BC42</f>
        <v>39.885358256308649</v>
      </c>
    </row>
    <row r="43" spans="2:62">
      <c r="B43" s="35" t="s">
        <v>134</v>
      </c>
      <c r="C43" s="35" t="s">
        <v>135</v>
      </c>
      <c r="D43" s="14">
        <v>2033</v>
      </c>
      <c r="E43" s="90">
        <f t="shared" si="19"/>
        <v>35.5</v>
      </c>
      <c r="F43" s="89">
        <f t="shared" si="20"/>
        <v>21.5</v>
      </c>
      <c r="G43" s="35">
        <f t="shared" si="21"/>
        <v>2005</v>
      </c>
      <c r="H43" s="91" t="str">
        <f t="shared" si="22"/>
        <v>Pile 32 @ Berth 201</v>
      </c>
      <c r="I43" s="35" t="str">
        <f t="shared" si="23"/>
        <v>Turpentine Gum</v>
      </c>
      <c r="J43" s="35" t="str">
        <f t="shared" si="24"/>
        <v>HW1</v>
      </c>
      <c r="K43" s="35" t="str">
        <f t="shared" si="25"/>
        <v>SPHU</v>
      </c>
      <c r="L43" s="35">
        <f t="shared" si="26"/>
        <v>400</v>
      </c>
      <c r="M43" s="35">
        <f t="shared" si="27"/>
        <v>20</v>
      </c>
      <c r="N43" s="35">
        <f t="shared" si="28"/>
        <v>200</v>
      </c>
      <c r="O43" s="35" t="str">
        <f t="shared" si="29"/>
        <v>MTN2</v>
      </c>
      <c r="P43" s="35" t="str">
        <f t="shared" si="30"/>
        <v>CNT2</v>
      </c>
      <c r="Q43" s="35" t="str">
        <f t="shared" si="31"/>
        <v>KNT3</v>
      </c>
      <c r="R43" s="35" t="str">
        <f t="shared" si="32"/>
        <v>E</v>
      </c>
      <c r="S43" s="35" t="str">
        <f t="shared" si="33"/>
        <v>EXP1</v>
      </c>
      <c r="T43" s="58"/>
      <c r="U43" s="58"/>
      <c r="V43" s="58"/>
      <c r="W43" s="58"/>
      <c r="X43" s="58"/>
      <c r="Y43" s="58"/>
      <c r="Z43" s="58"/>
      <c r="AA43" s="95">
        <f t="shared" si="9"/>
        <v>0.74718158382987443</v>
      </c>
      <c r="AB43" s="96">
        <f t="shared" si="10"/>
        <v>74.71815838298744</v>
      </c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89">
        <f t="shared" si="11"/>
        <v>28</v>
      </c>
      <c r="AN43" s="5">
        <f t="shared" si="34"/>
        <v>35.5</v>
      </c>
      <c r="AO43" s="14">
        <f t="shared" si="35"/>
        <v>1.6362628753157216</v>
      </c>
      <c r="AP43" s="14">
        <f>IF((OR(R43="A",R43="B",R43="C")),INDEX(Coefficients!$S$4:$S$22,MATCH(J43,Coefficients!$R$4:$R$22)),INDEX(Coefficients!$T$4:$T$22,MATCH(J43,Coefficients!$R$4:$R$22)))</f>
        <v>1.3</v>
      </c>
      <c r="AQ43" s="27">
        <f>IF((OR(R43="A",R43="B",R43="C")),INDEX(Coefficients!$S$4:$S$22,MATCH(K43,Coefficients!$R$4:$R$22)),INDEX(Coefficients!$T$4:$T$22,MATCH(K43,Coefficients!$R$4:$R$22)))</f>
        <v>25</v>
      </c>
      <c r="AR43" s="15">
        <f>IF(OR(R43="A",R43="B",R43="C",R43="D"),IF(AN43&gt;=11,IF(AN43&gt;=26,Coefficients!$M$6,Coefficients!$M$5),Coefficients!$M$4),IF(AN43&gt;=11,IF(AN43&gt;=26,Coefficients!$N$6,Coefficients!$N$5),Coefficients!$N$4))</f>
        <v>1</v>
      </c>
      <c r="AS43" s="15">
        <f>INDEX(Coefficients!$X$3:$X$4,MATCH(S43,Coefficients!$W$3:$W$4))</f>
        <v>1</v>
      </c>
      <c r="AT43" s="15">
        <f>INDEX(Coefficients!$X$7:$X$8,MATCH(O43,Coefficients!$W$7:$W$8))</f>
        <v>1</v>
      </c>
      <c r="AU43" s="15">
        <f>INDEX(Coefficients!$X$11:$X$12,MATCH(P43,Coefficients!$W$11:$W$12))</f>
        <v>1</v>
      </c>
      <c r="AV43" s="15">
        <f>INDEX(Coefficients!$X$15:$X$17,MATCH(Q43,Coefficients!$W$15:$W$17))</f>
        <v>1</v>
      </c>
      <c r="AW43" s="15">
        <f t="shared" si="12"/>
        <v>1</v>
      </c>
      <c r="AX43" s="15">
        <f t="shared" si="13"/>
        <v>1</v>
      </c>
      <c r="AY43" s="15">
        <f t="shared" si="14"/>
        <v>1.3</v>
      </c>
      <c r="AZ43" s="14">
        <f t="shared" si="15"/>
        <v>40.90657188289304</v>
      </c>
      <c r="BA43" s="14">
        <f t="shared" si="16"/>
        <v>0</v>
      </c>
      <c r="BB43" s="14">
        <f t="shared" si="17"/>
        <v>2.127141737910438</v>
      </c>
      <c r="BC43" s="14">
        <f t="shared" si="18"/>
        <v>1.7872858262089562</v>
      </c>
      <c r="BD43" s="14">
        <f t="shared" si="36"/>
        <v>0.48891899466070676</v>
      </c>
      <c r="BE43" s="16">
        <f t="shared" si="37"/>
        <v>74.71815838298744</v>
      </c>
      <c r="BF43" s="16">
        <f t="shared" si="38"/>
        <v>250.56368323402512</v>
      </c>
      <c r="BG43" s="17">
        <f t="shared" si="39"/>
        <v>0.74718158382987443</v>
      </c>
      <c r="BH43" s="14">
        <f t="shared" si="40"/>
        <v>164.37994844257238</v>
      </c>
      <c r="BI43" s="14">
        <f t="shared" si="41"/>
        <v>71.240103114855231</v>
      </c>
      <c r="BJ43" s="14">
        <f t="shared" si="42"/>
        <v>39.885358256308649</v>
      </c>
    </row>
    <row r="44" spans="2:62">
      <c r="B44" s="35" t="s">
        <v>134</v>
      </c>
      <c r="C44" s="35" t="s">
        <v>135</v>
      </c>
      <c r="D44" s="14">
        <v>2034</v>
      </c>
      <c r="E44" s="90">
        <f t="shared" si="19"/>
        <v>35.5</v>
      </c>
      <c r="F44" s="89">
        <f t="shared" si="20"/>
        <v>21.5</v>
      </c>
      <c r="G44" s="35">
        <f t="shared" si="21"/>
        <v>2005</v>
      </c>
      <c r="H44" s="91" t="str">
        <f t="shared" si="22"/>
        <v>Pile 32 @ Berth 201</v>
      </c>
      <c r="I44" s="35" t="str">
        <f t="shared" si="23"/>
        <v>Turpentine Gum</v>
      </c>
      <c r="J44" s="35" t="str">
        <f t="shared" si="24"/>
        <v>HW1</v>
      </c>
      <c r="K44" s="35" t="str">
        <f t="shared" si="25"/>
        <v>SPHU</v>
      </c>
      <c r="L44" s="35">
        <f t="shared" si="26"/>
        <v>400</v>
      </c>
      <c r="M44" s="35">
        <f t="shared" si="27"/>
        <v>20</v>
      </c>
      <c r="N44" s="35">
        <f t="shared" si="28"/>
        <v>200</v>
      </c>
      <c r="O44" s="35" t="str">
        <f t="shared" si="29"/>
        <v>MTN2</v>
      </c>
      <c r="P44" s="35" t="str">
        <f t="shared" si="30"/>
        <v>CNT2</v>
      </c>
      <c r="Q44" s="35" t="str">
        <f t="shared" si="31"/>
        <v>KNT3</v>
      </c>
      <c r="R44" s="35" t="str">
        <f t="shared" si="32"/>
        <v>E</v>
      </c>
      <c r="S44" s="35" t="str">
        <f t="shared" si="33"/>
        <v>EXP1</v>
      </c>
      <c r="T44" s="58"/>
      <c r="U44" s="58"/>
      <c r="V44" s="58"/>
      <c r="W44" s="58"/>
      <c r="X44" s="58"/>
      <c r="Y44" s="58"/>
      <c r="Z44" s="58"/>
      <c r="AA44" s="95">
        <f t="shared" si="9"/>
        <v>0.76845300120897886</v>
      </c>
      <c r="AB44" s="96">
        <f t="shared" si="10"/>
        <v>76.845300120897889</v>
      </c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89">
        <f t="shared" si="11"/>
        <v>29</v>
      </c>
      <c r="AN44" s="5">
        <f t="shared" si="34"/>
        <v>35.5</v>
      </c>
      <c r="AO44" s="14">
        <f t="shared" si="35"/>
        <v>1.6362628753157216</v>
      </c>
      <c r="AP44" s="14">
        <f>IF((OR(R44="A",R44="B",R44="C")),INDEX(Coefficients!$S$4:$S$22,MATCH(J44,Coefficients!$R$4:$R$22)),INDEX(Coefficients!$T$4:$T$22,MATCH(J44,Coefficients!$R$4:$R$22)))</f>
        <v>1.3</v>
      </c>
      <c r="AQ44" s="27">
        <f>IF((OR(R44="A",R44="B",R44="C")),INDEX(Coefficients!$S$4:$S$22,MATCH(K44,Coefficients!$R$4:$R$22)),INDEX(Coefficients!$T$4:$T$22,MATCH(K44,Coefficients!$R$4:$R$22)))</f>
        <v>25</v>
      </c>
      <c r="AR44" s="15">
        <f>IF(OR(R44="A",R44="B",R44="C",R44="D"),IF(AN44&gt;=11,IF(AN44&gt;=26,Coefficients!$M$6,Coefficients!$M$5),Coefficients!$M$4),IF(AN44&gt;=11,IF(AN44&gt;=26,Coefficients!$N$6,Coefficients!$N$5),Coefficients!$N$4))</f>
        <v>1</v>
      </c>
      <c r="AS44" s="15">
        <f>INDEX(Coefficients!$X$3:$X$4,MATCH(S44,Coefficients!$W$3:$W$4))</f>
        <v>1</v>
      </c>
      <c r="AT44" s="15">
        <f>INDEX(Coefficients!$X$7:$X$8,MATCH(O44,Coefficients!$W$7:$W$8))</f>
        <v>1</v>
      </c>
      <c r="AU44" s="15">
        <f>INDEX(Coefficients!$X$11:$X$12,MATCH(P44,Coefficients!$W$11:$W$12))</f>
        <v>1</v>
      </c>
      <c r="AV44" s="15">
        <f>INDEX(Coefficients!$X$15:$X$17,MATCH(Q44,Coefficients!$W$15:$W$17))</f>
        <v>1</v>
      </c>
      <c r="AW44" s="15">
        <f t="shared" si="12"/>
        <v>1</v>
      </c>
      <c r="AX44" s="15">
        <f t="shared" si="13"/>
        <v>1</v>
      </c>
      <c r="AY44" s="15">
        <f t="shared" si="14"/>
        <v>1.3</v>
      </c>
      <c r="AZ44" s="14">
        <f t="shared" si="15"/>
        <v>40.90657188289304</v>
      </c>
      <c r="BA44" s="14">
        <f t="shared" si="16"/>
        <v>0</v>
      </c>
      <c r="BB44" s="14">
        <f t="shared" si="17"/>
        <v>2.127141737910438</v>
      </c>
      <c r="BC44" s="14">
        <f t="shared" si="18"/>
        <v>1.7872858262089562</v>
      </c>
      <c r="BD44" s="14">
        <f t="shared" si="36"/>
        <v>0.48891899466070676</v>
      </c>
      <c r="BE44" s="16">
        <f t="shared" si="37"/>
        <v>76.845300120897889</v>
      </c>
      <c r="BF44" s="16">
        <f t="shared" si="38"/>
        <v>246.30939975820422</v>
      </c>
      <c r="BG44" s="17">
        <f t="shared" si="39"/>
        <v>0.76845300120897886</v>
      </c>
      <c r="BH44" s="14">
        <f t="shared" si="40"/>
        <v>169.05966026597537</v>
      </c>
      <c r="BI44" s="14">
        <f t="shared" si="41"/>
        <v>61.880679468049266</v>
      </c>
      <c r="BJ44" s="14">
        <f t="shared" si="42"/>
        <v>39.885358256308649</v>
      </c>
    </row>
    <row r="45" spans="2:62">
      <c r="B45" s="35" t="s">
        <v>134</v>
      </c>
      <c r="C45" s="35" t="s">
        <v>135</v>
      </c>
      <c r="D45" s="14">
        <v>2035</v>
      </c>
      <c r="E45" s="90">
        <f t="shared" si="19"/>
        <v>35.5</v>
      </c>
      <c r="F45" s="89">
        <f t="shared" si="20"/>
        <v>21.5</v>
      </c>
      <c r="G45" s="35">
        <f t="shared" si="21"/>
        <v>2005</v>
      </c>
      <c r="H45" s="91" t="str">
        <f t="shared" si="22"/>
        <v>Pile 32 @ Berth 201</v>
      </c>
      <c r="I45" s="35" t="str">
        <f t="shared" si="23"/>
        <v>Turpentine Gum</v>
      </c>
      <c r="J45" s="35" t="str">
        <f t="shared" si="24"/>
        <v>HW1</v>
      </c>
      <c r="K45" s="35" t="str">
        <f t="shared" si="25"/>
        <v>SPHU</v>
      </c>
      <c r="L45" s="35">
        <f t="shared" si="26"/>
        <v>400</v>
      </c>
      <c r="M45" s="35">
        <f t="shared" si="27"/>
        <v>20</v>
      </c>
      <c r="N45" s="35">
        <f t="shared" si="28"/>
        <v>200</v>
      </c>
      <c r="O45" s="35" t="str">
        <f t="shared" si="29"/>
        <v>MTN2</v>
      </c>
      <c r="P45" s="35" t="str">
        <f t="shared" si="30"/>
        <v>CNT2</v>
      </c>
      <c r="Q45" s="35" t="str">
        <f t="shared" si="31"/>
        <v>KNT3</v>
      </c>
      <c r="R45" s="35" t="str">
        <f t="shared" si="32"/>
        <v>E</v>
      </c>
      <c r="S45" s="35" t="str">
        <f t="shared" si="33"/>
        <v>EXP1</v>
      </c>
      <c r="T45" s="58"/>
      <c r="U45" s="58"/>
      <c r="V45" s="58"/>
      <c r="W45" s="58"/>
      <c r="X45" s="58"/>
      <c r="Y45" s="58"/>
      <c r="Z45" s="58"/>
      <c r="AA45" s="95">
        <f t="shared" si="9"/>
        <v>0.78972441858808329</v>
      </c>
      <c r="AB45" s="96">
        <f t="shared" si="10"/>
        <v>78.972441858808324</v>
      </c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89">
        <f t="shared" si="11"/>
        <v>30</v>
      </c>
      <c r="AN45" s="5">
        <f t="shared" si="34"/>
        <v>35.5</v>
      </c>
      <c r="AO45" s="14">
        <f t="shared" si="35"/>
        <v>1.6362628753157216</v>
      </c>
      <c r="AP45" s="14">
        <f>IF((OR(R45="A",R45="B",R45="C")),INDEX(Coefficients!$S$4:$S$22,MATCH(J45,Coefficients!$R$4:$R$22)),INDEX(Coefficients!$T$4:$T$22,MATCH(J45,Coefficients!$R$4:$R$22)))</f>
        <v>1.3</v>
      </c>
      <c r="AQ45" s="27">
        <f>IF((OR(R45="A",R45="B",R45="C")),INDEX(Coefficients!$S$4:$S$22,MATCH(K45,Coefficients!$R$4:$R$22)),INDEX(Coefficients!$T$4:$T$22,MATCH(K45,Coefficients!$R$4:$R$22)))</f>
        <v>25</v>
      </c>
      <c r="AR45" s="15">
        <f>IF(OR(R45="A",R45="B",R45="C",R45="D"),IF(AN45&gt;=11,IF(AN45&gt;=26,Coefficients!$M$6,Coefficients!$M$5),Coefficients!$M$4),IF(AN45&gt;=11,IF(AN45&gt;=26,Coefficients!$N$6,Coefficients!$N$5),Coefficients!$N$4))</f>
        <v>1</v>
      </c>
      <c r="AS45" s="15">
        <f>INDEX(Coefficients!$X$3:$X$4,MATCH(S45,Coefficients!$W$3:$W$4))</f>
        <v>1</v>
      </c>
      <c r="AT45" s="15">
        <f>INDEX(Coefficients!$X$7:$X$8,MATCH(O45,Coefficients!$W$7:$W$8))</f>
        <v>1</v>
      </c>
      <c r="AU45" s="15">
        <f>INDEX(Coefficients!$X$11:$X$12,MATCH(P45,Coefficients!$W$11:$W$12))</f>
        <v>1</v>
      </c>
      <c r="AV45" s="15">
        <f>INDEX(Coefficients!$X$15:$X$17,MATCH(Q45,Coefficients!$W$15:$W$17))</f>
        <v>1</v>
      </c>
      <c r="AW45" s="15">
        <f t="shared" si="12"/>
        <v>1</v>
      </c>
      <c r="AX45" s="15">
        <f t="shared" si="13"/>
        <v>1</v>
      </c>
      <c r="AY45" s="15">
        <f t="shared" si="14"/>
        <v>1.3</v>
      </c>
      <c r="AZ45" s="14">
        <f t="shared" si="15"/>
        <v>40.90657188289304</v>
      </c>
      <c r="BA45" s="14">
        <f t="shared" si="16"/>
        <v>0</v>
      </c>
      <c r="BB45" s="14">
        <f t="shared" si="17"/>
        <v>2.127141737910438</v>
      </c>
      <c r="BC45" s="14">
        <f t="shared" si="18"/>
        <v>1.7872858262089562</v>
      </c>
      <c r="BD45" s="14">
        <f t="shared" si="36"/>
        <v>0.48891899466070676</v>
      </c>
      <c r="BE45" s="16">
        <f t="shared" si="37"/>
        <v>78.972441858808324</v>
      </c>
      <c r="BF45" s="16">
        <f t="shared" si="38"/>
        <v>242.05511628238335</v>
      </c>
      <c r="BG45" s="17">
        <f t="shared" si="39"/>
        <v>0.78972441858808329</v>
      </c>
      <c r="BH45" s="14">
        <f t="shared" si="40"/>
        <v>173.73937208937832</v>
      </c>
      <c r="BI45" s="14">
        <f t="shared" si="41"/>
        <v>52.521255821243358</v>
      </c>
      <c r="BJ45" s="14">
        <f t="shared" si="42"/>
        <v>39.885358256308649</v>
      </c>
    </row>
    <row r="46" spans="2:62">
      <c r="B46" s="35" t="s">
        <v>134</v>
      </c>
      <c r="C46" s="35" t="s">
        <v>135</v>
      </c>
      <c r="D46" s="14">
        <v>2036</v>
      </c>
      <c r="E46" s="90">
        <f t="shared" si="19"/>
        <v>35.5</v>
      </c>
      <c r="F46" s="89">
        <f t="shared" si="20"/>
        <v>21.5</v>
      </c>
      <c r="G46" s="35">
        <f t="shared" si="21"/>
        <v>2005</v>
      </c>
      <c r="H46" s="91" t="str">
        <f t="shared" si="22"/>
        <v>Pile 32 @ Berth 201</v>
      </c>
      <c r="I46" s="35" t="str">
        <f t="shared" si="23"/>
        <v>Turpentine Gum</v>
      </c>
      <c r="J46" s="35" t="str">
        <f t="shared" si="24"/>
        <v>HW1</v>
      </c>
      <c r="K46" s="35" t="str">
        <f t="shared" si="25"/>
        <v>SPHU</v>
      </c>
      <c r="L46" s="35">
        <f t="shared" si="26"/>
        <v>400</v>
      </c>
      <c r="M46" s="35">
        <f t="shared" si="27"/>
        <v>20</v>
      </c>
      <c r="N46" s="35">
        <f t="shared" si="28"/>
        <v>200</v>
      </c>
      <c r="O46" s="35" t="str">
        <f t="shared" si="29"/>
        <v>MTN2</v>
      </c>
      <c r="P46" s="35" t="str">
        <f t="shared" si="30"/>
        <v>CNT2</v>
      </c>
      <c r="Q46" s="35" t="str">
        <f t="shared" si="31"/>
        <v>KNT3</v>
      </c>
      <c r="R46" s="35" t="str">
        <f t="shared" si="32"/>
        <v>E</v>
      </c>
      <c r="S46" s="35" t="str">
        <f t="shared" si="33"/>
        <v>EXP1</v>
      </c>
      <c r="T46" s="58"/>
      <c r="U46" s="58"/>
      <c r="V46" s="58"/>
      <c r="W46" s="58"/>
      <c r="X46" s="58"/>
      <c r="Y46" s="58"/>
      <c r="Z46" s="58"/>
      <c r="AA46" s="95">
        <f t="shared" si="9"/>
        <v>0.81099583596718761</v>
      </c>
      <c r="AB46" s="96">
        <f t="shared" si="10"/>
        <v>81.099583596718759</v>
      </c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89">
        <f t="shared" si="11"/>
        <v>31</v>
      </c>
      <c r="AN46" s="5">
        <f t="shared" si="34"/>
        <v>35.5</v>
      </c>
      <c r="AO46" s="14">
        <f t="shared" si="35"/>
        <v>1.6362628753157216</v>
      </c>
      <c r="AP46" s="14">
        <f>IF((OR(R46="A",R46="B",R46="C")),INDEX(Coefficients!$S$4:$S$22,MATCH(J46,Coefficients!$R$4:$R$22)),INDEX(Coefficients!$T$4:$T$22,MATCH(J46,Coefficients!$R$4:$R$22)))</f>
        <v>1.3</v>
      </c>
      <c r="AQ46" s="27">
        <f>IF((OR(R46="A",R46="B",R46="C")),INDEX(Coefficients!$S$4:$S$22,MATCH(K46,Coefficients!$R$4:$R$22)),INDEX(Coefficients!$T$4:$T$22,MATCH(K46,Coefficients!$R$4:$R$22)))</f>
        <v>25</v>
      </c>
      <c r="AR46" s="15">
        <f>IF(OR(R46="A",R46="B",R46="C",R46="D"),IF(AN46&gt;=11,IF(AN46&gt;=26,Coefficients!$M$6,Coefficients!$M$5),Coefficients!$M$4),IF(AN46&gt;=11,IF(AN46&gt;=26,Coefficients!$N$6,Coefficients!$N$5),Coefficients!$N$4))</f>
        <v>1</v>
      </c>
      <c r="AS46" s="15">
        <f>INDEX(Coefficients!$X$3:$X$4,MATCH(S46,Coefficients!$W$3:$W$4))</f>
        <v>1</v>
      </c>
      <c r="AT46" s="15">
        <f>INDEX(Coefficients!$X$7:$X$8,MATCH(O46,Coefficients!$W$7:$W$8))</f>
        <v>1</v>
      </c>
      <c r="AU46" s="15">
        <f>INDEX(Coefficients!$X$11:$X$12,MATCH(P46,Coefficients!$W$11:$W$12))</f>
        <v>1</v>
      </c>
      <c r="AV46" s="15">
        <f>INDEX(Coefficients!$X$15:$X$17,MATCH(Q46,Coefficients!$W$15:$W$17))</f>
        <v>1</v>
      </c>
      <c r="AW46" s="15">
        <f t="shared" si="12"/>
        <v>1</v>
      </c>
      <c r="AX46" s="15">
        <f t="shared" si="13"/>
        <v>1</v>
      </c>
      <c r="AY46" s="15">
        <f t="shared" si="14"/>
        <v>1.3</v>
      </c>
      <c r="AZ46" s="14">
        <f t="shared" si="15"/>
        <v>40.90657188289304</v>
      </c>
      <c r="BA46" s="14">
        <f t="shared" si="16"/>
        <v>0</v>
      </c>
      <c r="BB46" s="14">
        <f t="shared" si="17"/>
        <v>2.127141737910438</v>
      </c>
      <c r="BC46" s="14">
        <f t="shared" si="18"/>
        <v>1.7872858262089562</v>
      </c>
      <c r="BD46" s="14">
        <f t="shared" si="36"/>
        <v>0.48891899466070676</v>
      </c>
      <c r="BE46" s="16">
        <f t="shared" si="37"/>
        <v>81.099583596718759</v>
      </c>
      <c r="BF46" s="16">
        <f t="shared" si="38"/>
        <v>237.80083280656248</v>
      </c>
      <c r="BG46" s="17">
        <f t="shared" si="39"/>
        <v>0.81099583596718761</v>
      </c>
      <c r="BH46" s="14">
        <f t="shared" si="40"/>
        <v>178.41908391278128</v>
      </c>
      <c r="BI46" s="14">
        <f t="shared" si="41"/>
        <v>43.16183217443745</v>
      </c>
      <c r="BJ46" s="14">
        <f t="shared" si="42"/>
        <v>39.885358256308649</v>
      </c>
    </row>
    <row r="47" spans="2:62">
      <c r="B47" s="35" t="s">
        <v>134</v>
      </c>
      <c r="C47" s="35" t="s">
        <v>135</v>
      </c>
      <c r="D47" s="14">
        <v>2037</v>
      </c>
      <c r="E47" s="90">
        <f t="shared" si="19"/>
        <v>35.5</v>
      </c>
      <c r="F47" s="89">
        <f t="shared" si="20"/>
        <v>21.5</v>
      </c>
      <c r="G47" s="35">
        <f t="shared" si="21"/>
        <v>2005</v>
      </c>
      <c r="H47" s="91" t="str">
        <f t="shared" si="22"/>
        <v>Pile 32 @ Berth 201</v>
      </c>
      <c r="I47" s="35" t="str">
        <f t="shared" si="23"/>
        <v>Turpentine Gum</v>
      </c>
      <c r="J47" s="35" t="str">
        <f t="shared" si="24"/>
        <v>HW1</v>
      </c>
      <c r="K47" s="35" t="str">
        <f t="shared" si="25"/>
        <v>SPHU</v>
      </c>
      <c r="L47" s="35">
        <f t="shared" si="26"/>
        <v>400</v>
      </c>
      <c r="M47" s="35">
        <f t="shared" si="27"/>
        <v>20</v>
      </c>
      <c r="N47" s="35">
        <f t="shared" si="28"/>
        <v>200</v>
      </c>
      <c r="O47" s="35" t="str">
        <f t="shared" si="29"/>
        <v>MTN2</v>
      </c>
      <c r="P47" s="35" t="str">
        <f t="shared" si="30"/>
        <v>CNT2</v>
      </c>
      <c r="Q47" s="35" t="str">
        <f t="shared" si="31"/>
        <v>KNT3</v>
      </c>
      <c r="R47" s="35" t="str">
        <f t="shared" si="32"/>
        <v>E</v>
      </c>
      <c r="S47" s="35" t="str">
        <f t="shared" si="33"/>
        <v>EXP1</v>
      </c>
      <c r="T47" s="58"/>
      <c r="U47" s="58"/>
      <c r="V47" s="58"/>
      <c r="W47" s="58"/>
      <c r="X47" s="58"/>
      <c r="Y47" s="58"/>
      <c r="Z47" s="58"/>
      <c r="AA47" s="95">
        <f t="shared" si="9"/>
        <v>0.83226725334629204</v>
      </c>
      <c r="AB47" s="96">
        <f t="shared" si="10"/>
        <v>83.226725334629208</v>
      </c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89">
        <f t="shared" si="11"/>
        <v>32</v>
      </c>
      <c r="AN47" s="5">
        <f t="shared" si="34"/>
        <v>35.5</v>
      </c>
      <c r="AO47" s="14">
        <f t="shared" si="35"/>
        <v>1.6362628753157216</v>
      </c>
      <c r="AP47" s="14">
        <f>IF((OR(R47="A",R47="B",R47="C")),INDEX(Coefficients!$S$4:$S$22,MATCH(J47,Coefficients!$R$4:$R$22)),INDEX(Coefficients!$T$4:$T$22,MATCH(J47,Coefficients!$R$4:$R$22)))</f>
        <v>1.3</v>
      </c>
      <c r="AQ47" s="27">
        <f>IF((OR(R47="A",R47="B",R47="C")),INDEX(Coefficients!$S$4:$S$22,MATCH(K47,Coefficients!$R$4:$R$22)),INDEX(Coefficients!$T$4:$T$22,MATCH(K47,Coefficients!$R$4:$R$22)))</f>
        <v>25</v>
      </c>
      <c r="AR47" s="15">
        <f>IF(OR(R47="A",R47="B",R47="C",R47="D"),IF(AN47&gt;=11,IF(AN47&gt;=26,Coefficients!$M$6,Coefficients!$M$5),Coefficients!$M$4),IF(AN47&gt;=11,IF(AN47&gt;=26,Coefficients!$N$6,Coefficients!$N$5),Coefficients!$N$4))</f>
        <v>1</v>
      </c>
      <c r="AS47" s="15">
        <f>INDEX(Coefficients!$X$3:$X$4,MATCH(S47,Coefficients!$W$3:$W$4))</f>
        <v>1</v>
      </c>
      <c r="AT47" s="15">
        <f>INDEX(Coefficients!$X$7:$X$8,MATCH(O47,Coefficients!$W$7:$W$8))</f>
        <v>1</v>
      </c>
      <c r="AU47" s="15">
        <f>INDEX(Coefficients!$X$11:$X$12,MATCH(P47,Coefficients!$W$11:$W$12))</f>
        <v>1</v>
      </c>
      <c r="AV47" s="15">
        <f>INDEX(Coefficients!$X$15:$X$17,MATCH(Q47,Coefficients!$W$15:$W$17))</f>
        <v>1</v>
      </c>
      <c r="AW47" s="15">
        <f t="shared" si="12"/>
        <v>1</v>
      </c>
      <c r="AX47" s="15">
        <f t="shared" si="13"/>
        <v>1</v>
      </c>
      <c r="AY47" s="15">
        <f t="shared" si="14"/>
        <v>1.3</v>
      </c>
      <c r="AZ47" s="14">
        <f t="shared" si="15"/>
        <v>40.90657188289304</v>
      </c>
      <c r="BA47" s="14">
        <f t="shared" si="16"/>
        <v>0</v>
      </c>
      <c r="BB47" s="14">
        <f t="shared" si="17"/>
        <v>2.127141737910438</v>
      </c>
      <c r="BC47" s="14">
        <f t="shared" si="18"/>
        <v>1.7872858262089562</v>
      </c>
      <c r="BD47" s="14">
        <f t="shared" si="36"/>
        <v>0.48891899466070676</v>
      </c>
      <c r="BE47" s="16">
        <f t="shared" si="37"/>
        <v>83.226725334629208</v>
      </c>
      <c r="BF47" s="16">
        <f t="shared" si="38"/>
        <v>233.54654933074158</v>
      </c>
      <c r="BG47" s="17">
        <f t="shared" si="39"/>
        <v>0.83226725334629204</v>
      </c>
      <c r="BH47" s="14">
        <f t="shared" si="40"/>
        <v>183.09879573618429</v>
      </c>
      <c r="BI47" s="14">
        <f t="shared" si="41"/>
        <v>33.802408527631428</v>
      </c>
      <c r="BJ47" s="14">
        <f t="shared" si="42"/>
        <v>39.885358256308649</v>
      </c>
    </row>
    <row r="48" spans="2:62">
      <c r="B48" s="35" t="s">
        <v>134</v>
      </c>
      <c r="C48" s="35" t="s">
        <v>135</v>
      </c>
      <c r="D48" s="14">
        <v>2038</v>
      </c>
      <c r="E48" s="90">
        <f t="shared" si="19"/>
        <v>35.5</v>
      </c>
      <c r="F48" s="89">
        <f t="shared" si="20"/>
        <v>21.5</v>
      </c>
      <c r="G48" s="35">
        <f t="shared" si="21"/>
        <v>2005</v>
      </c>
      <c r="H48" s="91" t="str">
        <f t="shared" si="22"/>
        <v>Pile 32 @ Berth 201</v>
      </c>
      <c r="I48" s="35" t="str">
        <f t="shared" si="23"/>
        <v>Turpentine Gum</v>
      </c>
      <c r="J48" s="35" t="str">
        <f t="shared" si="24"/>
        <v>HW1</v>
      </c>
      <c r="K48" s="35" t="str">
        <f t="shared" si="25"/>
        <v>SPHU</v>
      </c>
      <c r="L48" s="35">
        <f t="shared" si="26"/>
        <v>400</v>
      </c>
      <c r="M48" s="35">
        <f t="shared" si="27"/>
        <v>20</v>
      </c>
      <c r="N48" s="35">
        <f t="shared" si="28"/>
        <v>200</v>
      </c>
      <c r="O48" s="35" t="str">
        <f t="shared" si="29"/>
        <v>MTN2</v>
      </c>
      <c r="P48" s="35" t="str">
        <f t="shared" si="30"/>
        <v>CNT2</v>
      </c>
      <c r="Q48" s="35" t="str">
        <f t="shared" si="31"/>
        <v>KNT3</v>
      </c>
      <c r="R48" s="35" t="str">
        <f t="shared" si="32"/>
        <v>E</v>
      </c>
      <c r="S48" s="35" t="str">
        <f t="shared" si="33"/>
        <v>EXP1</v>
      </c>
      <c r="T48" s="58"/>
      <c r="U48" s="58"/>
      <c r="V48" s="58"/>
      <c r="W48" s="58"/>
      <c r="X48" s="58"/>
      <c r="Y48" s="58"/>
      <c r="Z48" s="58"/>
      <c r="AA48" s="95">
        <f t="shared" si="9"/>
        <v>0.85353867072539646</v>
      </c>
      <c r="AB48" s="96">
        <f t="shared" si="10"/>
        <v>85.353867072539643</v>
      </c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89">
        <f t="shared" si="11"/>
        <v>33</v>
      </c>
      <c r="AN48" s="5">
        <f t="shared" si="34"/>
        <v>35.5</v>
      </c>
      <c r="AO48" s="14">
        <f t="shared" si="35"/>
        <v>1.6362628753157216</v>
      </c>
      <c r="AP48" s="14">
        <f>IF((OR(R48="A",R48="B",R48="C")),INDEX(Coefficients!$S$4:$S$22,MATCH(J48,Coefficients!$R$4:$R$22)),INDEX(Coefficients!$T$4:$T$22,MATCH(J48,Coefficients!$R$4:$R$22)))</f>
        <v>1.3</v>
      </c>
      <c r="AQ48" s="27">
        <f>IF((OR(R48="A",R48="B",R48="C")),INDEX(Coefficients!$S$4:$S$22,MATCH(K48,Coefficients!$R$4:$R$22)),INDEX(Coefficients!$T$4:$T$22,MATCH(K48,Coefficients!$R$4:$R$22)))</f>
        <v>25</v>
      </c>
      <c r="AR48" s="15">
        <f>IF(OR(R48="A",R48="B",R48="C",R48="D"),IF(AN48&gt;=11,IF(AN48&gt;=26,Coefficients!$M$6,Coefficients!$M$5),Coefficients!$M$4),IF(AN48&gt;=11,IF(AN48&gt;=26,Coefficients!$N$6,Coefficients!$N$5),Coefficients!$N$4))</f>
        <v>1</v>
      </c>
      <c r="AS48" s="15">
        <f>INDEX(Coefficients!$X$3:$X$4,MATCH(S48,Coefficients!$W$3:$W$4))</f>
        <v>1</v>
      </c>
      <c r="AT48" s="15">
        <f>INDEX(Coefficients!$X$7:$X$8,MATCH(O48,Coefficients!$W$7:$W$8))</f>
        <v>1</v>
      </c>
      <c r="AU48" s="15">
        <f>INDEX(Coefficients!$X$11:$X$12,MATCH(P48,Coefficients!$W$11:$W$12))</f>
        <v>1</v>
      </c>
      <c r="AV48" s="15">
        <f>INDEX(Coefficients!$X$15:$X$17,MATCH(Q48,Coefficients!$W$15:$W$17))</f>
        <v>1</v>
      </c>
      <c r="AW48" s="15">
        <f t="shared" si="12"/>
        <v>1</v>
      </c>
      <c r="AX48" s="15">
        <f t="shared" si="13"/>
        <v>1</v>
      </c>
      <c r="AY48" s="15">
        <f t="shared" si="14"/>
        <v>1.3</v>
      </c>
      <c r="AZ48" s="14">
        <f t="shared" si="15"/>
        <v>40.90657188289304</v>
      </c>
      <c r="BA48" s="14">
        <f t="shared" si="16"/>
        <v>0</v>
      </c>
      <c r="BB48" s="14">
        <f t="shared" si="17"/>
        <v>2.127141737910438</v>
      </c>
      <c r="BC48" s="14">
        <f t="shared" si="18"/>
        <v>1.7872858262089562</v>
      </c>
      <c r="BD48" s="14">
        <f t="shared" si="36"/>
        <v>0.48891899466070676</v>
      </c>
      <c r="BE48" s="16">
        <f t="shared" si="37"/>
        <v>85.353867072539643</v>
      </c>
      <c r="BF48" s="16">
        <f t="shared" si="38"/>
        <v>229.29226585492071</v>
      </c>
      <c r="BG48" s="17">
        <f t="shared" si="39"/>
        <v>0.85353867072539646</v>
      </c>
      <c r="BH48" s="14">
        <f t="shared" si="40"/>
        <v>187.77850755958724</v>
      </c>
      <c r="BI48" s="14">
        <f t="shared" si="41"/>
        <v>24.44298488082552</v>
      </c>
      <c r="BJ48" s="14">
        <f t="shared" si="42"/>
        <v>39.885358256308649</v>
      </c>
    </row>
    <row r="49" spans="2:62">
      <c r="B49" s="35" t="s">
        <v>134</v>
      </c>
      <c r="C49" s="35" t="s">
        <v>135</v>
      </c>
      <c r="D49" s="14">
        <v>2039</v>
      </c>
      <c r="E49" s="90">
        <f t="shared" si="19"/>
        <v>35.5</v>
      </c>
      <c r="F49" s="89">
        <f t="shared" si="20"/>
        <v>21.5</v>
      </c>
      <c r="G49" s="35">
        <f t="shared" si="21"/>
        <v>2005</v>
      </c>
      <c r="H49" s="91" t="str">
        <f t="shared" si="22"/>
        <v>Pile 32 @ Berth 201</v>
      </c>
      <c r="I49" s="35" t="str">
        <f t="shared" si="23"/>
        <v>Turpentine Gum</v>
      </c>
      <c r="J49" s="35" t="str">
        <f t="shared" si="24"/>
        <v>HW1</v>
      </c>
      <c r="K49" s="35" t="str">
        <f t="shared" si="25"/>
        <v>SPHU</v>
      </c>
      <c r="L49" s="35">
        <f t="shared" si="26"/>
        <v>400</v>
      </c>
      <c r="M49" s="35">
        <f t="shared" si="27"/>
        <v>20</v>
      </c>
      <c r="N49" s="35">
        <f t="shared" si="28"/>
        <v>200</v>
      </c>
      <c r="O49" s="35" t="str">
        <f t="shared" si="29"/>
        <v>MTN2</v>
      </c>
      <c r="P49" s="35" t="str">
        <f t="shared" si="30"/>
        <v>CNT2</v>
      </c>
      <c r="Q49" s="35" t="str">
        <f t="shared" si="31"/>
        <v>KNT3</v>
      </c>
      <c r="R49" s="35" t="str">
        <f t="shared" si="32"/>
        <v>E</v>
      </c>
      <c r="S49" s="35" t="str">
        <f t="shared" si="33"/>
        <v>EXP1</v>
      </c>
      <c r="T49" s="58"/>
      <c r="U49" s="58"/>
      <c r="V49" s="58"/>
      <c r="W49" s="58"/>
      <c r="X49" s="58"/>
      <c r="Y49" s="58"/>
      <c r="Z49" s="58"/>
      <c r="AA49" s="95">
        <f t="shared" si="9"/>
        <v>0.87481008810450078</v>
      </c>
      <c r="AB49" s="96">
        <f t="shared" si="10"/>
        <v>87.481008810450078</v>
      </c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89">
        <f t="shared" si="11"/>
        <v>34</v>
      </c>
      <c r="AN49" s="5">
        <f t="shared" si="34"/>
        <v>35.5</v>
      </c>
      <c r="AO49" s="14">
        <f t="shared" si="35"/>
        <v>1.6362628753157216</v>
      </c>
      <c r="AP49" s="14">
        <f>IF((OR(R49="A",R49="B",R49="C")),INDEX(Coefficients!$S$4:$S$22,MATCH(J49,Coefficients!$R$4:$R$22)),INDEX(Coefficients!$T$4:$T$22,MATCH(J49,Coefficients!$R$4:$R$22)))</f>
        <v>1.3</v>
      </c>
      <c r="AQ49" s="27">
        <f>IF((OR(R49="A",R49="B",R49="C")),INDEX(Coefficients!$S$4:$S$22,MATCH(K49,Coefficients!$R$4:$R$22)),INDEX(Coefficients!$T$4:$T$22,MATCH(K49,Coefficients!$R$4:$R$22)))</f>
        <v>25</v>
      </c>
      <c r="AR49" s="15">
        <f>IF(OR(R49="A",R49="B",R49="C",R49="D"),IF(AN49&gt;=11,IF(AN49&gt;=26,Coefficients!$M$6,Coefficients!$M$5),Coefficients!$M$4),IF(AN49&gt;=11,IF(AN49&gt;=26,Coefficients!$N$6,Coefficients!$N$5),Coefficients!$N$4))</f>
        <v>1</v>
      </c>
      <c r="AS49" s="15">
        <f>INDEX(Coefficients!$X$3:$X$4,MATCH(S49,Coefficients!$W$3:$W$4))</f>
        <v>1</v>
      </c>
      <c r="AT49" s="15">
        <f>INDEX(Coefficients!$X$7:$X$8,MATCH(O49,Coefficients!$W$7:$W$8))</f>
        <v>1</v>
      </c>
      <c r="AU49" s="15">
        <f>INDEX(Coefficients!$X$11:$X$12,MATCH(P49,Coefficients!$W$11:$W$12))</f>
        <v>1</v>
      </c>
      <c r="AV49" s="15">
        <f>INDEX(Coefficients!$X$15:$X$17,MATCH(Q49,Coefficients!$W$15:$W$17))</f>
        <v>1</v>
      </c>
      <c r="AW49" s="15">
        <f t="shared" si="12"/>
        <v>1</v>
      </c>
      <c r="AX49" s="15">
        <f t="shared" si="13"/>
        <v>1</v>
      </c>
      <c r="AY49" s="15">
        <f t="shared" si="14"/>
        <v>1.3</v>
      </c>
      <c r="AZ49" s="14">
        <f t="shared" si="15"/>
        <v>40.90657188289304</v>
      </c>
      <c r="BA49" s="14">
        <f t="shared" si="16"/>
        <v>0</v>
      </c>
      <c r="BB49" s="14">
        <f t="shared" si="17"/>
        <v>2.127141737910438</v>
      </c>
      <c r="BC49" s="14">
        <f t="shared" si="18"/>
        <v>1.7872858262089562</v>
      </c>
      <c r="BD49" s="14">
        <f t="shared" si="36"/>
        <v>0.48891899466070676</v>
      </c>
      <c r="BE49" s="16">
        <f t="shared" si="37"/>
        <v>87.481008810450078</v>
      </c>
      <c r="BF49" s="16">
        <f t="shared" si="38"/>
        <v>225.03798237909984</v>
      </c>
      <c r="BG49" s="17">
        <f t="shared" si="39"/>
        <v>0.87481008810450078</v>
      </c>
      <c r="BH49" s="14">
        <f t="shared" si="40"/>
        <v>192.45821938299019</v>
      </c>
      <c r="BI49" s="14">
        <f t="shared" si="41"/>
        <v>15.083561234019612</v>
      </c>
      <c r="BJ49" s="14">
        <f t="shared" si="42"/>
        <v>39.885358256308649</v>
      </c>
    </row>
    <row r="50" spans="2:62">
      <c r="B50" s="35" t="s">
        <v>134</v>
      </c>
      <c r="C50" s="35" t="s">
        <v>135</v>
      </c>
      <c r="D50" s="14">
        <v>2040</v>
      </c>
      <c r="E50" s="90">
        <f t="shared" si="19"/>
        <v>35.5</v>
      </c>
      <c r="F50" s="89">
        <f t="shared" si="20"/>
        <v>21.5</v>
      </c>
      <c r="G50" s="35">
        <f t="shared" si="21"/>
        <v>2005</v>
      </c>
      <c r="H50" s="91" t="str">
        <f t="shared" si="22"/>
        <v>Pile 32 @ Berth 201</v>
      </c>
      <c r="I50" s="35" t="str">
        <f t="shared" si="23"/>
        <v>Turpentine Gum</v>
      </c>
      <c r="J50" s="35" t="str">
        <f t="shared" si="24"/>
        <v>HW1</v>
      </c>
      <c r="K50" s="35" t="str">
        <f t="shared" si="25"/>
        <v>SPHU</v>
      </c>
      <c r="L50" s="35">
        <f t="shared" si="26"/>
        <v>400</v>
      </c>
      <c r="M50" s="35">
        <f t="shared" si="27"/>
        <v>20</v>
      </c>
      <c r="N50" s="35">
        <f t="shared" si="28"/>
        <v>200</v>
      </c>
      <c r="O50" s="35" t="str">
        <f t="shared" si="29"/>
        <v>MTN2</v>
      </c>
      <c r="P50" s="35" t="str">
        <f t="shared" si="30"/>
        <v>CNT2</v>
      </c>
      <c r="Q50" s="35" t="str">
        <f t="shared" si="31"/>
        <v>KNT3</v>
      </c>
      <c r="R50" s="35" t="str">
        <f t="shared" si="32"/>
        <v>E</v>
      </c>
      <c r="S50" s="35" t="str">
        <f t="shared" si="33"/>
        <v>EXP1</v>
      </c>
      <c r="T50" s="58"/>
      <c r="U50" s="58"/>
      <c r="V50" s="58"/>
      <c r="W50" s="58"/>
      <c r="X50" s="58"/>
      <c r="Y50" s="58"/>
      <c r="Z50" s="58"/>
      <c r="AA50" s="95">
        <f t="shared" si="9"/>
        <v>0.8960815054836051</v>
      </c>
      <c r="AB50" s="96">
        <f t="shared" si="10"/>
        <v>89.608150548360513</v>
      </c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89">
        <f t="shared" si="11"/>
        <v>35</v>
      </c>
      <c r="AN50" s="5">
        <f t="shared" si="34"/>
        <v>35.5</v>
      </c>
      <c r="AO50" s="14">
        <f t="shared" si="35"/>
        <v>1.6362628753157216</v>
      </c>
      <c r="AP50" s="14">
        <f>IF((OR(R50="A",R50="B",R50="C")),INDEX(Coefficients!$S$4:$S$22,MATCH(J50,Coefficients!$R$4:$R$22)),INDEX(Coefficients!$T$4:$T$22,MATCH(J50,Coefficients!$R$4:$R$22)))</f>
        <v>1.3</v>
      </c>
      <c r="AQ50" s="27">
        <f>IF((OR(R50="A",R50="B",R50="C")),INDEX(Coefficients!$S$4:$S$22,MATCH(K50,Coefficients!$R$4:$R$22)),INDEX(Coefficients!$T$4:$T$22,MATCH(K50,Coefficients!$R$4:$R$22)))</f>
        <v>25</v>
      </c>
      <c r="AR50" s="15">
        <f>IF(OR(R50="A",R50="B",R50="C",R50="D"),IF(AN50&gt;=11,IF(AN50&gt;=26,Coefficients!$M$6,Coefficients!$M$5),Coefficients!$M$4),IF(AN50&gt;=11,IF(AN50&gt;=26,Coefficients!$N$6,Coefficients!$N$5),Coefficients!$N$4))</f>
        <v>1</v>
      </c>
      <c r="AS50" s="15">
        <f>INDEX(Coefficients!$X$3:$X$4,MATCH(S50,Coefficients!$W$3:$W$4))</f>
        <v>1</v>
      </c>
      <c r="AT50" s="15">
        <f>INDEX(Coefficients!$X$7:$X$8,MATCH(O50,Coefficients!$W$7:$W$8))</f>
        <v>1</v>
      </c>
      <c r="AU50" s="15">
        <f>INDEX(Coefficients!$X$11:$X$12,MATCH(P50,Coefficients!$W$11:$W$12))</f>
        <v>1</v>
      </c>
      <c r="AV50" s="15">
        <f>INDEX(Coefficients!$X$15:$X$17,MATCH(Q50,Coefficients!$W$15:$W$17))</f>
        <v>1</v>
      </c>
      <c r="AW50" s="15">
        <f t="shared" si="12"/>
        <v>1</v>
      </c>
      <c r="AX50" s="15">
        <f t="shared" si="13"/>
        <v>1</v>
      </c>
      <c r="AY50" s="15">
        <f t="shared" si="14"/>
        <v>1.3</v>
      </c>
      <c r="AZ50" s="14">
        <f t="shared" si="15"/>
        <v>40.90657188289304</v>
      </c>
      <c r="BA50" s="14">
        <f t="shared" si="16"/>
        <v>0</v>
      </c>
      <c r="BB50" s="14">
        <f t="shared" si="17"/>
        <v>2.127141737910438</v>
      </c>
      <c r="BC50" s="14">
        <f t="shared" si="18"/>
        <v>1.7872858262089562</v>
      </c>
      <c r="BD50" s="14">
        <f t="shared" si="36"/>
        <v>0.48891899466070676</v>
      </c>
      <c r="BE50" s="16">
        <f t="shared" si="37"/>
        <v>89.608150548360513</v>
      </c>
      <c r="BF50" s="16">
        <f t="shared" si="38"/>
        <v>220.78369890327897</v>
      </c>
      <c r="BG50" s="17">
        <f t="shared" si="39"/>
        <v>0.8960815054836051</v>
      </c>
      <c r="BH50" s="14">
        <f t="shared" si="40"/>
        <v>197.13793120639315</v>
      </c>
      <c r="BI50" s="14">
        <f t="shared" si="41"/>
        <v>5.7241375872137041</v>
      </c>
      <c r="BJ50" s="14">
        <f t="shared" si="42"/>
        <v>39.885358256308649</v>
      </c>
    </row>
    <row r="51" spans="2:62">
      <c r="B51" s="35" t="s">
        <v>134</v>
      </c>
      <c r="C51" s="35" t="s">
        <v>135</v>
      </c>
      <c r="D51" s="14">
        <v>2041</v>
      </c>
      <c r="E51" s="90">
        <f t="shared" si="19"/>
        <v>35.5</v>
      </c>
      <c r="F51" s="89">
        <f t="shared" si="20"/>
        <v>21.5</v>
      </c>
      <c r="G51" s="35">
        <f t="shared" si="21"/>
        <v>2005</v>
      </c>
      <c r="H51" s="91" t="str">
        <f t="shared" si="22"/>
        <v>Pile 32 @ Berth 201</v>
      </c>
      <c r="I51" s="35" t="str">
        <f t="shared" si="23"/>
        <v>Turpentine Gum</v>
      </c>
      <c r="J51" s="35" t="str">
        <f t="shared" si="24"/>
        <v>HW1</v>
      </c>
      <c r="K51" s="35" t="str">
        <f t="shared" si="25"/>
        <v>SPHU</v>
      </c>
      <c r="L51" s="35">
        <f t="shared" si="26"/>
        <v>400</v>
      </c>
      <c r="M51" s="35">
        <f t="shared" si="27"/>
        <v>20</v>
      </c>
      <c r="N51" s="35">
        <f t="shared" si="28"/>
        <v>200</v>
      </c>
      <c r="O51" s="35" t="str">
        <f t="shared" si="29"/>
        <v>MTN2</v>
      </c>
      <c r="P51" s="35" t="str">
        <f t="shared" si="30"/>
        <v>CNT2</v>
      </c>
      <c r="Q51" s="35" t="str">
        <f t="shared" si="31"/>
        <v>KNT3</v>
      </c>
      <c r="R51" s="35" t="str">
        <f t="shared" si="32"/>
        <v>E</v>
      </c>
      <c r="S51" s="35" t="str">
        <f t="shared" si="33"/>
        <v>EXP1</v>
      </c>
      <c r="T51" s="58"/>
      <c r="U51" s="58"/>
      <c r="V51" s="58"/>
      <c r="W51" s="58"/>
      <c r="X51" s="58"/>
      <c r="Y51" s="58"/>
      <c r="Z51" s="58"/>
      <c r="AA51" s="95">
        <f t="shared" si="9"/>
        <v>0.91735292286270953</v>
      </c>
      <c r="AB51" s="96">
        <f t="shared" si="10"/>
        <v>91.735292286270948</v>
      </c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89">
        <f t="shared" si="11"/>
        <v>36</v>
      </c>
      <c r="AN51" s="5">
        <f t="shared" si="34"/>
        <v>35.5</v>
      </c>
      <c r="AO51" s="14">
        <f t="shared" si="35"/>
        <v>1.6362628753157216</v>
      </c>
      <c r="AP51" s="14">
        <f>IF((OR(R51="A",R51="B",R51="C")),INDEX(Coefficients!$S$4:$S$22,MATCH(J51,Coefficients!$R$4:$R$22)),INDEX(Coefficients!$T$4:$T$22,MATCH(J51,Coefficients!$R$4:$R$22)))</f>
        <v>1.3</v>
      </c>
      <c r="AQ51" s="27">
        <f>IF((OR(R51="A",R51="B",R51="C")),INDEX(Coefficients!$S$4:$S$22,MATCH(K51,Coefficients!$R$4:$R$22)),INDEX(Coefficients!$T$4:$T$22,MATCH(K51,Coefficients!$R$4:$R$22)))</f>
        <v>25</v>
      </c>
      <c r="AR51" s="15">
        <f>IF(OR(R51="A",R51="B",R51="C",R51="D"),IF(AN51&gt;=11,IF(AN51&gt;=26,Coefficients!$M$6,Coefficients!$M$5),Coefficients!$M$4),IF(AN51&gt;=11,IF(AN51&gt;=26,Coefficients!$N$6,Coefficients!$N$5),Coefficients!$N$4))</f>
        <v>1</v>
      </c>
      <c r="AS51" s="15">
        <f>INDEX(Coefficients!$X$3:$X$4,MATCH(S51,Coefficients!$W$3:$W$4))</f>
        <v>1</v>
      </c>
      <c r="AT51" s="15">
        <f>INDEX(Coefficients!$X$7:$X$8,MATCH(O51,Coefficients!$W$7:$W$8))</f>
        <v>1</v>
      </c>
      <c r="AU51" s="15">
        <f>INDEX(Coefficients!$X$11:$X$12,MATCH(P51,Coefficients!$W$11:$W$12))</f>
        <v>1</v>
      </c>
      <c r="AV51" s="15">
        <f>INDEX(Coefficients!$X$15:$X$17,MATCH(Q51,Coefficients!$W$15:$W$17))</f>
        <v>1</v>
      </c>
      <c r="AW51" s="15">
        <f t="shared" si="12"/>
        <v>1</v>
      </c>
      <c r="AX51" s="15">
        <f t="shared" si="13"/>
        <v>1</v>
      </c>
      <c r="AY51" s="15">
        <f t="shared" si="14"/>
        <v>1.3</v>
      </c>
      <c r="AZ51" s="14">
        <f t="shared" si="15"/>
        <v>40.90657188289304</v>
      </c>
      <c r="BA51" s="14">
        <f t="shared" si="16"/>
        <v>0</v>
      </c>
      <c r="BB51" s="14">
        <f t="shared" si="17"/>
        <v>2.127141737910438</v>
      </c>
      <c r="BC51" s="14">
        <f t="shared" si="18"/>
        <v>1.7872858262089562</v>
      </c>
      <c r="BD51" s="14">
        <f t="shared" si="36"/>
        <v>0.48891899466070676</v>
      </c>
      <c r="BE51" s="16">
        <f t="shared" si="37"/>
        <v>91.735292286270948</v>
      </c>
      <c r="BF51" s="16">
        <f t="shared" si="38"/>
        <v>216.5294154274581</v>
      </c>
      <c r="BG51" s="17">
        <f t="shared" si="39"/>
        <v>0.91735292286270953</v>
      </c>
      <c r="BH51" s="14">
        <f t="shared" si="40"/>
        <v>201.8176430297961</v>
      </c>
      <c r="BI51" s="14">
        <f t="shared" si="41"/>
        <v>-3.6352860595922039</v>
      </c>
      <c r="BJ51" s="14">
        <f t="shared" si="42"/>
        <v>39.885358256308649</v>
      </c>
    </row>
    <row r="52" spans="2:62">
      <c r="B52" s="35" t="s">
        <v>134</v>
      </c>
      <c r="C52" s="35" t="s">
        <v>135</v>
      </c>
      <c r="D52" s="14">
        <v>2042</v>
      </c>
      <c r="E52" s="90">
        <f t="shared" si="19"/>
        <v>35.5</v>
      </c>
      <c r="F52" s="89">
        <f t="shared" si="20"/>
        <v>21.5</v>
      </c>
      <c r="G52" s="35">
        <f t="shared" si="21"/>
        <v>2005</v>
      </c>
      <c r="H52" s="91" t="str">
        <f t="shared" si="22"/>
        <v>Pile 32 @ Berth 201</v>
      </c>
      <c r="I52" s="35" t="str">
        <f t="shared" si="23"/>
        <v>Turpentine Gum</v>
      </c>
      <c r="J52" s="35" t="str">
        <f t="shared" si="24"/>
        <v>HW1</v>
      </c>
      <c r="K52" s="35" t="str">
        <f t="shared" si="25"/>
        <v>SPHU</v>
      </c>
      <c r="L52" s="35">
        <f t="shared" si="26"/>
        <v>400</v>
      </c>
      <c r="M52" s="35">
        <f t="shared" si="27"/>
        <v>20</v>
      </c>
      <c r="N52" s="35">
        <f t="shared" si="28"/>
        <v>200</v>
      </c>
      <c r="O52" s="35" t="str">
        <f t="shared" si="29"/>
        <v>MTN2</v>
      </c>
      <c r="P52" s="35" t="str">
        <f t="shared" si="30"/>
        <v>CNT2</v>
      </c>
      <c r="Q52" s="35" t="str">
        <f t="shared" si="31"/>
        <v>KNT3</v>
      </c>
      <c r="R52" s="35" t="str">
        <f t="shared" si="32"/>
        <v>E</v>
      </c>
      <c r="S52" s="35" t="str">
        <f t="shared" si="33"/>
        <v>EXP1</v>
      </c>
      <c r="T52" s="58"/>
      <c r="U52" s="58"/>
      <c r="V52" s="58"/>
      <c r="W52" s="58"/>
      <c r="X52" s="58"/>
      <c r="Y52" s="58"/>
      <c r="Z52" s="58"/>
      <c r="AA52" s="95">
        <f t="shared" si="9"/>
        <v>0.93862434024181396</v>
      </c>
      <c r="AB52" s="96">
        <f t="shared" si="10"/>
        <v>93.862434024181397</v>
      </c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89">
        <f t="shared" si="11"/>
        <v>37</v>
      </c>
      <c r="AN52" s="5">
        <f t="shared" si="34"/>
        <v>35.5</v>
      </c>
      <c r="AO52" s="14">
        <f t="shared" si="35"/>
        <v>1.6362628753157216</v>
      </c>
      <c r="AP52" s="14">
        <f>IF((OR(R52="A",R52="B",R52="C")),INDEX(Coefficients!$S$4:$S$22,MATCH(J52,Coefficients!$R$4:$R$22)),INDEX(Coefficients!$T$4:$T$22,MATCH(J52,Coefficients!$R$4:$R$22)))</f>
        <v>1.3</v>
      </c>
      <c r="AQ52" s="27">
        <f>IF((OR(R52="A",R52="B",R52="C")),INDEX(Coefficients!$S$4:$S$22,MATCH(K52,Coefficients!$R$4:$R$22)),INDEX(Coefficients!$T$4:$T$22,MATCH(K52,Coefficients!$R$4:$R$22)))</f>
        <v>25</v>
      </c>
      <c r="AR52" s="15">
        <f>IF(OR(R52="A",R52="B",R52="C",R52="D"),IF(AN52&gt;=11,IF(AN52&gt;=26,Coefficients!$M$6,Coefficients!$M$5),Coefficients!$M$4),IF(AN52&gt;=11,IF(AN52&gt;=26,Coefficients!$N$6,Coefficients!$N$5),Coefficients!$N$4))</f>
        <v>1</v>
      </c>
      <c r="AS52" s="15">
        <f>INDEX(Coefficients!$X$3:$X$4,MATCH(S52,Coefficients!$W$3:$W$4))</f>
        <v>1</v>
      </c>
      <c r="AT52" s="15">
        <f>INDEX(Coefficients!$X$7:$X$8,MATCH(O52,Coefficients!$W$7:$W$8))</f>
        <v>1</v>
      </c>
      <c r="AU52" s="15">
        <f>INDEX(Coefficients!$X$11:$X$12,MATCH(P52,Coefficients!$W$11:$W$12))</f>
        <v>1</v>
      </c>
      <c r="AV52" s="15">
        <f>INDEX(Coefficients!$X$15:$X$17,MATCH(Q52,Coefficients!$W$15:$W$17))</f>
        <v>1</v>
      </c>
      <c r="AW52" s="15">
        <f t="shared" si="12"/>
        <v>1</v>
      </c>
      <c r="AX52" s="15">
        <f t="shared" si="13"/>
        <v>1</v>
      </c>
      <c r="AY52" s="15">
        <f t="shared" si="14"/>
        <v>1.3</v>
      </c>
      <c r="AZ52" s="14">
        <f t="shared" si="15"/>
        <v>40.90657188289304</v>
      </c>
      <c r="BA52" s="14">
        <f t="shared" si="16"/>
        <v>0</v>
      </c>
      <c r="BB52" s="14">
        <f t="shared" si="17"/>
        <v>2.127141737910438</v>
      </c>
      <c r="BC52" s="14">
        <f t="shared" si="18"/>
        <v>1.7872858262089562</v>
      </c>
      <c r="BD52" s="14">
        <f t="shared" si="36"/>
        <v>0.48891899466070676</v>
      </c>
      <c r="BE52" s="16">
        <f t="shared" si="37"/>
        <v>93.862434024181397</v>
      </c>
      <c r="BF52" s="16">
        <f t="shared" si="38"/>
        <v>212.27513195163721</v>
      </c>
      <c r="BG52" s="17">
        <f t="shared" si="39"/>
        <v>0.93862434024181396</v>
      </c>
      <c r="BH52" s="14">
        <f t="shared" si="40"/>
        <v>206.49735485319908</v>
      </c>
      <c r="BI52" s="14">
        <f t="shared" si="41"/>
        <v>-12.994709706398169</v>
      </c>
      <c r="BJ52" s="14">
        <f t="shared" si="42"/>
        <v>39.885358256308649</v>
      </c>
    </row>
    <row r="53" spans="2:62">
      <c r="B53" s="35" t="s">
        <v>134</v>
      </c>
      <c r="C53" s="35" t="s">
        <v>135</v>
      </c>
      <c r="D53" s="14">
        <v>2043</v>
      </c>
      <c r="E53" s="90">
        <f t="shared" si="19"/>
        <v>35.5</v>
      </c>
      <c r="F53" s="89">
        <f t="shared" si="20"/>
        <v>21.5</v>
      </c>
      <c r="G53" s="35">
        <f t="shared" si="21"/>
        <v>2005</v>
      </c>
      <c r="H53" s="91" t="str">
        <f t="shared" si="22"/>
        <v>Pile 32 @ Berth 201</v>
      </c>
      <c r="I53" s="35" t="str">
        <f t="shared" si="23"/>
        <v>Turpentine Gum</v>
      </c>
      <c r="J53" s="35" t="str">
        <f t="shared" si="24"/>
        <v>HW1</v>
      </c>
      <c r="K53" s="35" t="str">
        <f t="shared" si="25"/>
        <v>SPHU</v>
      </c>
      <c r="L53" s="35">
        <f t="shared" si="26"/>
        <v>400</v>
      </c>
      <c r="M53" s="35">
        <f t="shared" si="27"/>
        <v>20</v>
      </c>
      <c r="N53" s="35">
        <f t="shared" si="28"/>
        <v>200</v>
      </c>
      <c r="O53" s="35" t="str">
        <f t="shared" si="29"/>
        <v>MTN2</v>
      </c>
      <c r="P53" s="35" t="str">
        <f t="shared" si="30"/>
        <v>CNT2</v>
      </c>
      <c r="Q53" s="35" t="str">
        <f t="shared" si="31"/>
        <v>KNT3</v>
      </c>
      <c r="R53" s="35" t="str">
        <f t="shared" si="32"/>
        <v>E</v>
      </c>
      <c r="S53" s="35" t="str">
        <f t="shared" si="33"/>
        <v>EXP1</v>
      </c>
      <c r="T53" s="58"/>
      <c r="U53" s="58"/>
      <c r="V53" s="58"/>
      <c r="W53" s="58"/>
      <c r="X53" s="58"/>
      <c r="Y53" s="58"/>
      <c r="Z53" s="58"/>
      <c r="AA53" s="95">
        <f t="shared" si="9"/>
        <v>0.95989575762091828</v>
      </c>
      <c r="AB53" s="96">
        <f t="shared" si="10"/>
        <v>95.989575762091832</v>
      </c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89">
        <f t="shared" si="11"/>
        <v>38</v>
      </c>
      <c r="AN53" s="5">
        <f t="shared" si="34"/>
        <v>35.5</v>
      </c>
      <c r="AO53" s="14">
        <f t="shared" si="35"/>
        <v>1.6362628753157216</v>
      </c>
      <c r="AP53" s="14">
        <f>IF((OR(R53="A",R53="B",R53="C")),INDEX(Coefficients!$S$4:$S$22,MATCH(J53,Coefficients!$R$4:$R$22)),INDEX(Coefficients!$T$4:$T$22,MATCH(J53,Coefficients!$R$4:$R$22)))</f>
        <v>1.3</v>
      </c>
      <c r="AQ53" s="27">
        <f>IF((OR(R53="A",R53="B",R53="C")),INDEX(Coefficients!$S$4:$S$22,MATCH(K53,Coefficients!$R$4:$R$22)),INDEX(Coefficients!$T$4:$T$22,MATCH(K53,Coefficients!$R$4:$R$22)))</f>
        <v>25</v>
      </c>
      <c r="AR53" s="15">
        <f>IF(OR(R53="A",R53="B",R53="C",R53="D"),IF(AN53&gt;=11,IF(AN53&gt;=26,Coefficients!$M$6,Coefficients!$M$5),Coefficients!$M$4),IF(AN53&gt;=11,IF(AN53&gt;=26,Coefficients!$N$6,Coefficients!$N$5),Coefficients!$N$4))</f>
        <v>1</v>
      </c>
      <c r="AS53" s="15">
        <f>INDEX(Coefficients!$X$3:$X$4,MATCH(S53,Coefficients!$W$3:$W$4))</f>
        <v>1</v>
      </c>
      <c r="AT53" s="15">
        <f>INDEX(Coefficients!$X$7:$X$8,MATCH(O53,Coefficients!$W$7:$W$8))</f>
        <v>1</v>
      </c>
      <c r="AU53" s="15">
        <f>INDEX(Coefficients!$X$11:$X$12,MATCH(P53,Coefficients!$W$11:$W$12))</f>
        <v>1</v>
      </c>
      <c r="AV53" s="15">
        <f>INDEX(Coefficients!$X$15:$X$17,MATCH(Q53,Coefficients!$W$15:$W$17))</f>
        <v>1</v>
      </c>
      <c r="AW53" s="15">
        <f t="shared" si="12"/>
        <v>1</v>
      </c>
      <c r="AX53" s="15">
        <f t="shared" si="13"/>
        <v>1</v>
      </c>
      <c r="AY53" s="15">
        <f t="shared" si="14"/>
        <v>1.3</v>
      </c>
      <c r="AZ53" s="14">
        <f t="shared" si="15"/>
        <v>40.90657188289304</v>
      </c>
      <c r="BA53" s="14">
        <f t="shared" si="16"/>
        <v>0</v>
      </c>
      <c r="BB53" s="14">
        <f t="shared" si="17"/>
        <v>2.127141737910438</v>
      </c>
      <c r="BC53" s="14">
        <f t="shared" si="18"/>
        <v>1.7872858262089562</v>
      </c>
      <c r="BD53" s="14">
        <f t="shared" si="36"/>
        <v>0.48891899466070676</v>
      </c>
      <c r="BE53" s="16">
        <f t="shared" si="37"/>
        <v>95.989575762091832</v>
      </c>
      <c r="BF53" s="16">
        <f t="shared" si="38"/>
        <v>208.02084847581634</v>
      </c>
      <c r="BG53" s="17">
        <f t="shared" si="39"/>
        <v>0.95989575762091828</v>
      </c>
      <c r="BH53" s="14">
        <f t="shared" si="40"/>
        <v>211.17706667660204</v>
      </c>
      <c r="BI53" s="14">
        <f t="shared" si="41"/>
        <v>-22.354133353204077</v>
      </c>
      <c r="BJ53" s="14">
        <f t="shared" si="42"/>
        <v>39.885358256308649</v>
      </c>
    </row>
    <row r="54" spans="2:62">
      <c r="B54" s="35" t="s">
        <v>134</v>
      </c>
      <c r="C54" s="35" t="s">
        <v>135</v>
      </c>
      <c r="D54" s="14">
        <v>2044</v>
      </c>
      <c r="E54" s="90">
        <f t="shared" si="19"/>
        <v>35.5</v>
      </c>
      <c r="F54" s="89">
        <f t="shared" si="20"/>
        <v>21.5</v>
      </c>
      <c r="G54" s="35">
        <f t="shared" si="21"/>
        <v>2005</v>
      </c>
      <c r="H54" s="91" t="str">
        <f t="shared" si="22"/>
        <v>Pile 32 @ Berth 201</v>
      </c>
      <c r="I54" s="35" t="str">
        <f t="shared" si="23"/>
        <v>Turpentine Gum</v>
      </c>
      <c r="J54" s="35" t="str">
        <f t="shared" si="24"/>
        <v>HW1</v>
      </c>
      <c r="K54" s="35" t="str">
        <f t="shared" si="25"/>
        <v>SPHU</v>
      </c>
      <c r="L54" s="35">
        <f t="shared" si="26"/>
        <v>400</v>
      </c>
      <c r="M54" s="35">
        <f t="shared" si="27"/>
        <v>20</v>
      </c>
      <c r="N54" s="35">
        <f t="shared" si="28"/>
        <v>200</v>
      </c>
      <c r="O54" s="35" t="str">
        <f t="shared" si="29"/>
        <v>MTN2</v>
      </c>
      <c r="P54" s="35" t="str">
        <f t="shared" si="30"/>
        <v>CNT2</v>
      </c>
      <c r="Q54" s="35" t="str">
        <f t="shared" si="31"/>
        <v>KNT3</v>
      </c>
      <c r="R54" s="35" t="str">
        <f t="shared" si="32"/>
        <v>E</v>
      </c>
      <c r="S54" s="35" t="str">
        <f t="shared" si="33"/>
        <v>EXP1</v>
      </c>
      <c r="T54" s="58"/>
      <c r="U54" s="58"/>
      <c r="V54" s="58"/>
      <c r="W54" s="58"/>
      <c r="X54" s="58"/>
      <c r="Y54" s="58"/>
      <c r="Z54" s="58"/>
      <c r="AA54" s="95">
        <f t="shared" si="9"/>
        <v>0.98116717500002271</v>
      </c>
      <c r="AB54" s="96">
        <f t="shared" si="10"/>
        <v>98.116717500002267</v>
      </c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89">
        <f t="shared" si="11"/>
        <v>39</v>
      </c>
      <c r="AN54" s="5">
        <f t="shared" si="34"/>
        <v>35.5</v>
      </c>
      <c r="AO54" s="14">
        <f t="shared" si="35"/>
        <v>1.6362628753157216</v>
      </c>
      <c r="AP54" s="14">
        <f>IF((OR(R54="A",R54="B",R54="C")),INDEX(Coefficients!$S$4:$S$22,MATCH(J54,Coefficients!$R$4:$R$22)),INDEX(Coefficients!$T$4:$T$22,MATCH(J54,Coefficients!$R$4:$R$22)))</f>
        <v>1.3</v>
      </c>
      <c r="AQ54" s="27">
        <f>IF((OR(R54="A",R54="B",R54="C")),INDEX(Coefficients!$S$4:$S$22,MATCH(K54,Coefficients!$R$4:$R$22)),INDEX(Coefficients!$T$4:$T$22,MATCH(K54,Coefficients!$R$4:$R$22)))</f>
        <v>25</v>
      </c>
      <c r="AR54" s="15">
        <f>IF(OR(R54="A",R54="B",R54="C",R54="D"),IF(AN54&gt;=11,IF(AN54&gt;=26,Coefficients!$M$6,Coefficients!$M$5),Coefficients!$M$4),IF(AN54&gt;=11,IF(AN54&gt;=26,Coefficients!$N$6,Coefficients!$N$5),Coefficients!$N$4))</f>
        <v>1</v>
      </c>
      <c r="AS54" s="15">
        <f>INDEX(Coefficients!$X$3:$X$4,MATCH(S54,Coefficients!$W$3:$W$4))</f>
        <v>1</v>
      </c>
      <c r="AT54" s="15">
        <f>INDEX(Coefficients!$X$7:$X$8,MATCH(O54,Coefficients!$W$7:$W$8))</f>
        <v>1</v>
      </c>
      <c r="AU54" s="15">
        <f>INDEX(Coefficients!$X$11:$X$12,MATCH(P54,Coefficients!$W$11:$W$12))</f>
        <v>1</v>
      </c>
      <c r="AV54" s="15">
        <f>INDEX(Coefficients!$X$15:$X$17,MATCH(Q54,Coefficients!$W$15:$W$17))</f>
        <v>1</v>
      </c>
      <c r="AW54" s="15">
        <f t="shared" si="12"/>
        <v>1</v>
      </c>
      <c r="AX54" s="15">
        <f t="shared" si="13"/>
        <v>1</v>
      </c>
      <c r="AY54" s="15">
        <f t="shared" si="14"/>
        <v>1.3</v>
      </c>
      <c r="AZ54" s="14">
        <f t="shared" si="15"/>
        <v>40.90657188289304</v>
      </c>
      <c r="BA54" s="14">
        <f t="shared" si="16"/>
        <v>0</v>
      </c>
      <c r="BB54" s="14">
        <f t="shared" si="17"/>
        <v>2.127141737910438</v>
      </c>
      <c r="BC54" s="14">
        <f t="shared" si="18"/>
        <v>1.7872858262089562</v>
      </c>
      <c r="BD54" s="14">
        <f t="shared" si="36"/>
        <v>0.48891899466070676</v>
      </c>
      <c r="BE54" s="16">
        <f t="shared" si="37"/>
        <v>98.116717500002267</v>
      </c>
      <c r="BF54" s="16">
        <f t="shared" si="38"/>
        <v>203.76656499999547</v>
      </c>
      <c r="BG54" s="17">
        <f t="shared" si="39"/>
        <v>0.98116717500002271</v>
      </c>
      <c r="BH54" s="14">
        <f t="shared" si="40"/>
        <v>215.85677850000499</v>
      </c>
      <c r="BI54" s="14">
        <f t="shared" si="41"/>
        <v>-31.713557000009985</v>
      </c>
      <c r="BJ54" s="14">
        <f t="shared" si="42"/>
        <v>39.885358256308649</v>
      </c>
    </row>
    <row r="55" spans="2:62">
      <c r="B55" s="35" t="s">
        <v>134</v>
      </c>
      <c r="C55" s="35" t="s">
        <v>135</v>
      </c>
      <c r="D55" s="14">
        <v>2045</v>
      </c>
      <c r="E55" s="90">
        <f t="shared" si="19"/>
        <v>35.5</v>
      </c>
      <c r="F55" s="89">
        <f t="shared" si="20"/>
        <v>21.5</v>
      </c>
      <c r="G55" s="35">
        <f t="shared" si="21"/>
        <v>2005</v>
      </c>
      <c r="H55" s="91" t="str">
        <f t="shared" si="22"/>
        <v>Pile 32 @ Berth 201</v>
      </c>
      <c r="I55" s="35" t="str">
        <f t="shared" si="23"/>
        <v>Turpentine Gum</v>
      </c>
      <c r="J55" s="35" t="str">
        <f t="shared" si="24"/>
        <v>HW1</v>
      </c>
      <c r="K55" s="35" t="str">
        <f t="shared" si="25"/>
        <v>SPHU</v>
      </c>
      <c r="L55" s="35">
        <f t="shared" si="26"/>
        <v>400</v>
      </c>
      <c r="M55" s="35">
        <f t="shared" si="27"/>
        <v>20</v>
      </c>
      <c r="N55" s="35">
        <f t="shared" si="28"/>
        <v>200</v>
      </c>
      <c r="O55" s="35" t="str">
        <f t="shared" si="29"/>
        <v>MTN2</v>
      </c>
      <c r="P55" s="35" t="str">
        <f t="shared" si="30"/>
        <v>CNT2</v>
      </c>
      <c r="Q55" s="35" t="str">
        <f t="shared" si="31"/>
        <v>KNT3</v>
      </c>
      <c r="R55" s="35" t="str">
        <f t="shared" si="32"/>
        <v>E</v>
      </c>
      <c r="S55" s="35" t="str">
        <f t="shared" si="33"/>
        <v>EXP1</v>
      </c>
      <c r="T55" s="58"/>
      <c r="U55" s="58"/>
      <c r="V55" s="58"/>
      <c r="W55" s="58"/>
      <c r="X55" s="58"/>
      <c r="Y55" s="58"/>
      <c r="Z55" s="58"/>
      <c r="AA55" s="95">
        <f t="shared" si="9"/>
        <v>1</v>
      </c>
      <c r="AB55" s="96">
        <f t="shared" si="10"/>
        <v>100.2438592379127</v>
      </c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89">
        <f t="shared" si="11"/>
        <v>40</v>
      </c>
      <c r="AN55" s="5">
        <f t="shared" si="34"/>
        <v>35.5</v>
      </c>
      <c r="AO55" s="14">
        <f t="shared" si="35"/>
        <v>1.6362628753157216</v>
      </c>
      <c r="AP55" s="14">
        <f>IF((OR(R55="A",R55="B",R55="C")),INDEX(Coefficients!$S$4:$S$22,MATCH(J55,Coefficients!$R$4:$R$22)),INDEX(Coefficients!$T$4:$T$22,MATCH(J55,Coefficients!$R$4:$R$22)))</f>
        <v>1.3</v>
      </c>
      <c r="AQ55" s="27">
        <f>IF((OR(R55="A",R55="B",R55="C")),INDEX(Coefficients!$S$4:$S$22,MATCH(K55,Coefficients!$R$4:$R$22)),INDEX(Coefficients!$T$4:$T$22,MATCH(K55,Coefficients!$R$4:$R$22)))</f>
        <v>25</v>
      </c>
      <c r="AR55" s="15">
        <f>IF(OR(R55="A",R55="B",R55="C",R55="D"),IF(AN55&gt;=11,IF(AN55&gt;=26,Coefficients!$M$6,Coefficients!$M$5),Coefficients!$M$4),IF(AN55&gt;=11,IF(AN55&gt;=26,Coefficients!$N$6,Coefficients!$N$5),Coefficients!$N$4))</f>
        <v>1</v>
      </c>
      <c r="AS55" s="15">
        <f>INDEX(Coefficients!$X$3:$X$4,MATCH(S55,Coefficients!$W$3:$W$4))</f>
        <v>1</v>
      </c>
      <c r="AT55" s="15">
        <f>INDEX(Coefficients!$X$7:$X$8,MATCH(O55,Coefficients!$W$7:$W$8))</f>
        <v>1</v>
      </c>
      <c r="AU55" s="15">
        <f>INDEX(Coefficients!$X$11:$X$12,MATCH(P55,Coefficients!$W$11:$W$12))</f>
        <v>1</v>
      </c>
      <c r="AV55" s="15">
        <f>INDEX(Coefficients!$X$15:$X$17,MATCH(Q55,Coefficients!$W$15:$W$17))</f>
        <v>1</v>
      </c>
      <c r="AW55" s="15">
        <f t="shared" si="12"/>
        <v>1</v>
      </c>
      <c r="AX55" s="15">
        <f t="shared" si="13"/>
        <v>1</v>
      </c>
      <c r="AY55" s="15">
        <f t="shared" si="14"/>
        <v>1.3</v>
      </c>
      <c r="AZ55" s="14">
        <f t="shared" si="15"/>
        <v>40.90657188289304</v>
      </c>
      <c r="BA55" s="14">
        <f t="shared" si="16"/>
        <v>0</v>
      </c>
      <c r="BB55" s="14">
        <f t="shared" si="17"/>
        <v>2.127141737910438</v>
      </c>
      <c r="BC55" s="14">
        <f t="shared" si="18"/>
        <v>1.7872858262089562</v>
      </c>
      <c r="BD55" s="14">
        <f t="shared" si="36"/>
        <v>0.48891899466070676</v>
      </c>
      <c r="BE55" s="16">
        <f t="shared" si="37"/>
        <v>100.2438592379127</v>
      </c>
      <c r="BF55" s="16">
        <f t="shared" si="38"/>
        <v>199.5122815241746</v>
      </c>
      <c r="BG55" s="17">
        <f t="shared" si="39"/>
        <v>1</v>
      </c>
      <c r="BH55" s="14">
        <f t="shared" si="40"/>
        <v>220.53649032340797</v>
      </c>
      <c r="BI55" s="14">
        <f t="shared" si="41"/>
        <v>-41.07298064681595</v>
      </c>
      <c r="BJ55" s="14">
        <f t="shared" si="42"/>
        <v>39.885358256308649</v>
      </c>
    </row>
    <row r="56" spans="2:62">
      <c r="B56" s="35" t="s">
        <v>134</v>
      </c>
      <c r="C56" s="35" t="s">
        <v>135</v>
      </c>
      <c r="D56" s="14">
        <v>2046</v>
      </c>
      <c r="E56" s="90">
        <f t="shared" si="19"/>
        <v>35.5</v>
      </c>
      <c r="F56" s="89">
        <f t="shared" si="20"/>
        <v>21.5</v>
      </c>
      <c r="G56" s="35">
        <f t="shared" si="21"/>
        <v>2005</v>
      </c>
      <c r="H56" s="91" t="str">
        <f t="shared" si="22"/>
        <v>Pile 32 @ Berth 201</v>
      </c>
      <c r="I56" s="35" t="str">
        <f t="shared" si="23"/>
        <v>Turpentine Gum</v>
      </c>
      <c r="J56" s="35" t="str">
        <f t="shared" si="24"/>
        <v>HW1</v>
      </c>
      <c r="K56" s="35" t="str">
        <f t="shared" si="25"/>
        <v>SPHU</v>
      </c>
      <c r="L56" s="35">
        <f t="shared" si="26"/>
        <v>400</v>
      </c>
      <c r="M56" s="35">
        <f t="shared" si="27"/>
        <v>20</v>
      </c>
      <c r="N56" s="35">
        <f t="shared" si="28"/>
        <v>200</v>
      </c>
      <c r="O56" s="35" t="str">
        <f t="shared" si="29"/>
        <v>MTN2</v>
      </c>
      <c r="P56" s="35" t="str">
        <f t="shared" si="30"/>
        <v>CNT2</v>
      </c>
      <c r="Q56" s="35" t="str">
        <f t="shared" si="31"/>
        <v>KNT3</v>
      </c>
      <c r="R56" s="35" t="str">
        <f t="shared" si="32"/>
        <v>E</v>
      </c>
      <c r="S56" s="35" t="str">
        <f t="shared" si="33"/>
        <v>EXP1</v>
      </c>
      <c r="T56" s="58"/>
      <c r="U56" s="58"/>
      <c r="V56" s="58"/>
      <c r="W56" s="58"/>
      <c r="X56" s="58"/>
      <c r="Y56" s="58"/>
      <c r="Z56" s="58"/>
      <c r="AA56" s="95">
        <f t="shared" si="9"/>
        <v>1</v>
      </c>
      <c r="AB56" s="96">
        <f t="shared" si="10"/>
        <v>102.37100097582314</v>
      </c>
      <c r="AC56" s="58"/>
      <c r="AD56" s="58"/>
      <c r="AE56" s="58"/>
      <c r="AF56" s="58"/>
      <c r="AG56" s="58"/>
      <c r="AH56" s="58"/>
      <c r="AI56" s="58"/>
      <c r="AJ56" s="58"/>
      <c r="AK56" s="58"/>
      <c r="AL56" s="58"/>
      <c r="AM56" s="89">
        <f t="shared" si="11"/>
        <v>41</v>
      </c>
      <c r="AN56" s="5">
        <f t="shared" si="34"/>
        <v>35.5</v>
      </c>
      <c r="AO56" s="14">
        <f t="shared" si="35"/>
        <v>1.6362628753157216</v>
      </c>
      <c r="AP56" s="14">
        <f>IF((OR(R56="A",R56="B",R56="C")),INDEX(Coefficients!$S$4:$S$22,MATCH(J56,Coefficients!$R$4:$R$22)),INDEX(Coefficients!$T$4:$T$22,MATCH(J56,Coefficients!$R$4:$R$22)))</f>
        <v>1.3</v>
      </c>
      <c r="AQ56" s="27">
        <f>IF((OR(R56="A",R56="B",R56="C")),INDEX(Coefficients!$S$4:$S$22,MATCH(K56,Coefficients!$R$4:$R$22)),INDEX(Coefficients!$T$4:$T$22,MATCH(K56,Coefficients!$R$4:$R$22)))</f>
        <v>25</v>
      </c>
      <c r="AR56" s="15">
        <f>IF(OR(R56="A",R56="B",R56="C",R56="D"),IF(AN56&gt;=11,IF(AN56&gt;=26,Coefficients!$M$6,Coefficients!$M$5),Coefficients!$M$4),IF(AN56&gt;=11,IF(AN56&gt;=26,Coefficients!$N$6,Coefficients!$N$5),Coefficients!$N$4))</f>
        <v>1</v>
      </c>
      <c r="AS56" s="15">
        <f>INDEX(Coefficients!$X$3:$X$4,MATCH(S56,Coefficients!$W$3:$W$4))</f>
        <v>1</v>
      </c>
      <c r="AT56" s="15">
        <f>INDEX(Coefficients!$X$7:$X$8,MATCH(O56,Coefficients!$W$7:$W$8))</f>
        <v>1</v>
      </c>
      <c r="AU56" s="15">
        <f>INDEX(Coefficients!$X$11:$X$12,MATCH(P56,Coefficients!$W$11:$W$12))</f>
        <v>1</v>
      </c>
      <c r="AV56" s="15">
        <f>INDEX(Coefficients!$X$15:$X$17,MATCH(Q56,Coefficients!$W$15:$W$17))</f>
        <v>1</v>
      </c>
      <c r="AW56" s="15">
        <f t="shared" si="12"/>
        <v>1</v>
      </c>
      <c r="AX56" s="15">
        <f t="shared" si="13"/>
        <v>1</v>
      </c>
      <c r="AY56" s="15">
        <f t="shared" si="14"/>
        <v>1.3</v>
      </c>
      <c r="AZ56" s="14">
        <f t="shared" si="15"/>
        <v>40.90657188289304</v>
      </c>
      <c r="BA56" s="14">
        <f t="shared" si="16"/>
        <v>0</v>
      </c>
      <c r="BB56" s="14">
        <f t="shared" si="17"/>
        <v>2.127141737910438</v>
      </c>
      <c r="BC56" s="14">
        <f t="shared" si="18"/>
        <v>1.7872858262089562</v>
      </c>
      <c r="BD56" s="14">
        <f t="shared" si="36"/>
        <v>0.48891899466070676</v>
      </c>
      <c r="BE56" s="16">
        <f t="shared" si="37"/>
        <v>102.37100097582314</v>
      </c>
      <c r="BF56" s="16">
        <f t="shared" si="38"/>
        <v>195.25799804835373</v>
      </c>
      <c r="BG56" s="17">
        <f t="shared" si="39"/>
        <v>1</v>
      </c>
      <c r="BH56" s="14">
        <f t="shared" si="40"/>
        <v>225.21620214681093</v>
      </c>
      <c r="BI56" s="14">
        <f t="shared" si="41"/>
        <v>-50.432404293621858</v>
      </c>
      <c r="BJ56" s="14">
        <f t="shared" si="42"/>
        <v>39.885358256308649</v>
      </c>
    </row>
    <row r="57" spans="2:62">
      <c r="B57" s="35" t="s">
        <v>134</v>
      </c>
      <c r="C57" s="35" t="s">
        <v>135</v>
      </c>
      <c r="D57" s="14">
        <v>2047</v>
      </c>
      <c r="E57" s="90">
        <f t="shared" si="19"/>
        <v>35.5</v>
      </c>
      <c r="F57" s="89">
        <f t="shared" si="20"/>
        <v>21.5</v>
      </c>
      <c r="G57" s="35">
        <f t="shared" si="21"/>
        <v>2005</v>
      </c>
      <c r="H57" s="91" t="str">
        <f t="shared" si="22"/>
        <v>Pile 32 @ Berth 201</v>
      </c>
      <c r="I57" s="35" t="str">
        <f t="shared" si="23"/>
        <v>Turpentine Gum</v>
      </c>
      <c r="J57" s="35" t="str">
        <f t="shared" si="24"/>
        <v>HW1</v>
      </c>
      <c r="K57" s="35" t="str">
        <f t="shared" si="25"/>
        <v>SPHU</v>
      </c>
      <c r="L57" s="35">
        <f t="shared" si="26"/>
        <v>400</v>
      </c>
      <c r="M57" s="35">
        <f t="shared" si="27"/>
        <v>20</v>
      </c>
      <c r="N57" s="35">
        <f t="shared" si="28"/>
        <v>200</v>
      </c>
      <c r="O57" s="35" t="str">
        <f t="shared" si="29"/>
        <v>MTN2</v>
      </c>
      <c r="P57" s="35" t="str">
        <f t="shared" si="30"/>
        <v>CNT2</v>
      </c>
      <c r="Q57" s="35" t="str">
        <f t="shared" si="31"/>
        <v>KNT3</v>
      </c>
      <c r="R57" s="35" t="str">
        <f t="shared" si="32"/>
        <v>E</v>
      </c>
      <c r="S57" s="35" t="str">
        <f t="shared" si="33"/>
        <v>EXP1</v>
      </c>
      <c r="T57" s="58"/>
      <c r="U57" s="58"/>
      <c r="V57" s="58"/>
      <c r="W57" s="58"/>
      <c r="X57" s="58"/>
      <c r="Y57" s="58"/>
      <c r="Z57" s="58"/>
      <c r="AA57" s="95">
        <f t="shared" si="9"/>
        <v>1</v>
      </c>
      <c r="AB57" s="96">
        <f t="shared" si="10"/>
        <v>104.49814271373359</v>
      </c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89">
        <f t="shared" si="11"/>
        <v>42</v>
      </c>
      <c r="AN57" s="5">
        <f t="shared" si="34"/>
        <v>35.5</v>
      </c>
      <c r="AO57" s="14">
        <f t="shared" si="35"/>
        <v>1.6362628753157216</v>
      </c>
      <c r="AP57" s="14">
        <f>IF((OR(R57="A",R57="B",R57="C")),INDEX(Coefficients!$S$4:$S$22,MATCH(J57,Coefficients!$R$4:$R$22)),INDEX(Coefficients!$T$4:$T$22,MATCH(J57,Coefficients!$R$4:$R$22)))</f>
        <v>1.3</v>
      </c>
      <c r="AQ57" s="27">
        <f>IF((OR(R57="A",R57="B",R57="C")),INDEX(Coefficients!$S$4:$S$22,MATCH(K57,Coefficients!$R$4:$R$22)),INDEX(Coefficients!$T$4:$T$22,MATCH(K57,Coefficients!$R$4:$R$22)))</f>
        <v>25</v>
      </c>
      <c r="AR57" s="15">
        <f>IF(OR(R57="A",R57="B",R57="C",R57="D"),IF(AN57&gt;=11,IF(AN57&gt;=26,Coefficients!$M$6,Coefficients!$M$5),Coefficients!$M$4),IF(AN57&gt;=11,IF(AN57&gt;=26,Coefficients!$N$6,Coefficients!$N$5),Coefficients!$N$4))</f>
        <v>1</v>
      </c>
      <c r="AS57" s="15">
        <f>INDEX(Coefficients!$X$3:$X$4,MATCH(S57,Coefficients!$W$3:$W$4))</f>
        <v>1</v>
      </c>
      <c r="AT57" s="15">
        <f>INDEX(Coefficients!$X$7:$X$8,MATCH(O57,Coefficients!$W$7:$W$8))</f>
        <v>1</v>
      </c>
      <c r="AU57" s="15">
        <f>INDEX(Coefficients!$X$11:$X$12,MATCH(P57,Coefficients!$W$11:$W$12))</f>
        <v>1</v>
      </c>
      <c r="AV57" s="15">
        <f>INDEX(Coefficients!$X$15:$X$17,MATCH(Q57,Coefficients!$W$15:$W$17))</f>
        <v>1</v>
      </c>
      <c r="AW57" s="15">
        <f t="shared" si="12"/>
        <v>1</v>
      </c>
      <c r="AX57" s="15">
        <f t="shared" si="13"/>
        <v>1</v>
      </c>
      <c r="AY57" s="15">
        <f t="shared" si="14"/>
        <v>1.3</v>
      </c>
      <c r="AZ57" s="14">
        <f t="shared" si="15"/>
        <v>40.90657188289304</v>
      </c>
      <c r="BA57" s="14">
        <f t="shared" si="16"/>
        <v>0</v>
      </c>
      <c r="BB57" s="14">
        <f t="shared" si="17"/>
        <v>2.127141737910438</v>
      </c>
      <c r="BC57" s="14">
        <f t="shared" si="18"/>
        <v>1.7872858262089562</v>
      </c>
      <c r="BD57" s="14">
        <f t="shared" si="36"/>
        <v>0.48891899466070676</v>
      </c>
      <c r="BE57" s="16">
        <f t="shared" si="37"/>
        <v>104.49814271373359</v>
      </c>
      <c r="BF57" s="16">
        <f t="shared" si="38"/>
        <v>191.00371457253283</v>
      </c>
      <c r="BG57" s="17">
        <f t="shared" si="39"/>
        <v>1</v>
      </c>
      <c r="BH57" s="14">
        <f t="shared" si="40"/>
        <v>229.89591397021391</v>
      </c>
      <c r="BI57" s="14">
        <f t="shared" si="41"/>
        <v>-59.791827940427822</v>
      </c>
      <c r="BJ57" s="14">
        <f t="shared" si="42"/>
        <v>39.885358256308649</v>
      </c>
    </row>
    <row r="58" spans="2:62">
      <c r="B58" s="35" t="s">
        <v>134</v>
      </c>
      <c r="C58" s="35" t="s">
        <v>135</v>
      </c>
      <c r="D58" s="14">
        <v>2048</v>
      </c>
      <c r="E58" s="90">
        <f t="shared" si="19"/>
        <v>35.5</v>
      </c>
      <c r="F58" s="89">
        <f t="shared" si="20"/>
        <v>21.5</v>
      </c>
      <c r="G58" s="35">
        <f t="shared" si="21"/>
        <v>2005</v>
      </c>
      <c r="H58" s="91" t="str">
        <f t="shared" si="22"/>
        <v>Pile 32 @ Berth 201</v>
      </c>
      <c r="I58" s="35" t="str">
        <f t="shared" si="23"/>
        <v>Turpentine Gum</v>
      </c>
      <c r="J58" s="35" t="str">
        <f t="shared" si="24"/>
        <v>HW1</v>
      </c>
      <c r="K58" s="35" t="str">
        <f t="shared" si="25"/>
        <v>SPHU</v>
      </c>
      <c r="L58" s="35">
        <f t="shared" si="26"/>
        <v>400</v>
      </c>
      <c r="M58" s="35">
        <f t="shared" si="27"/>
        <v>20</v>
      </c>
      <c r="N58" s="35">
        <f t="shared" si="28"/>
        <v>200</v>
      </c>
      <c r="O58" s="35" t="str">
        <f t="shared" si="29"/>
        <v>MTN2</v>
      </c>
      <c r="P58" s="35" t="str">
        <f t="shared" si="30"/>
        <v>CNT2</v>
      </c>
      <c r="Q58" s="35" t="str">
        <f t="shared" si="31"/>
        <v>KNT3</v>
      </c>
      <c r="R58" s="35" t="str">
        <f t="shared" si="32"/>
        <v>E</v>
      </c>
      <c r="S58" s="35" t="str">
        <f t="shared" si="33"/>
        <v>EXP1</v>
      </c>
      <c r="T58" s="58"/>
      <c r="U58" s="58"/>
      <c r="V58" s="58"/>
      <c r="W58" s="58"/>
      <c r="X58" s="58"/>
      <c r="Y58" s="58"/>
      <c r="Z58" s="58"/>
      <c r="AA58" s="95">
        <f t="shared" si="9"/>
        <v>1</v>
      </c>
      <c r="AB58" s="96">
        <f t="shared" si="10"/>
        <v>106.62528445164402</v>
      </c>
      <c r="AC58" s="58"/>
      <c r="AD58" s="58"/>
      <c r="AE58" s="58"/>
      <c r="AF58" s="58"/>
      <c r="AG58" s="58"/>
      <c r="AH58" s="58"/>
      <c r="AI58" s="58"/>
      <c r="AJ58" s="58"/>
      <c r="AK58" s="58"/>
      <c r="AL58" s="58"/>
      <c r="AM58" s="89">
        <f t="shared" si="11"/>
        <v>43</v>
      </c>
      <c r="AN58" s="5">
        <f t="shared" si="34"/>
        <v>35.5</v>
      </c>
      <c r="AO58" s="14">
        <f t="shared" si="35"/>
        <v>1.6362628753157216</v>
      </c>
      <c r="AP58" s="14">
        <f>IF((OR(R58="A",R58="B",R58="C")),INDEX(Coefficients!$S$4:$S$22,MATCH(J58,Coefficients!$R$4:$R$22)),INDEX(Coefficients!$T$4:$T$22,MATCH(J58,Coefficients!$R$4:$R$22)))</f>
        <v>1.3</v>
      </c>
      <c r="AQ58" s="27">
        <f>IF((OR(R58="A",R58="B",R58="C")),INDEX(Coefficients!$S$4:$S$22,MATCH(K58,Coefficients!$R$4:$R$22)),INDEX(Coefficients!$T$4:$T$22,MATCH(K58,Coefficients!$R$4:$R$22)))</f>
        <v>25</v>
      </c>
      <c r="AR58" s="15">
        <f>IF(OR(R58="A",R58="B",R58="C",R58="D"),IF(AN58&gt;=11,IF(AN58&gt;=26,Coefficients!$M$6,Coefficients!$M$5),Coefficients!$M$4),IF(AN58&gt;=11,IF(AN58&gt;=26,Coefficients!$N$6,Coefficients!$N$5),Coefficients!$N$4))</f>
        <v>1</v>
      </c>
      <c r="AS58" s="15">
        <f>INDEX(Coefficients!$X$3:$X$4,MATCH(S58,Coefficients!$W$3:$W$4))</f>
        <v>1</v>
      </c>
      <c r="AT58" s="15">
        <f>INDEX(Coefficients!$X$7:$X$8,MATCH(O58,Coefficients!$W$7:$W$8))</f>
        <v>1</v>
      </c>
      <c r="AU58" s="15">
        <f>INDEX(Coefficients!$X$11:$X$12,MATCH(P58,Coefficients!$W$11:$W$12))</f>
        <v>1</v>
      </c>
      <c r="AV58" s="15">
        <f>INDEX(Coefficients!$X$15:$X$17,MATCH(Q58,Coefficients!$W$15:$W$17))</f>
        <v>1</v>
      </c>
      <c r="AW58" s="15">
        <f t="shared" si="12"/>
        <v>1</v>
      </c>
      <c r="AX58" s="15">
        <f t="shared" si="13"/>
        <v>1</v>
      </c>
      <c r="AY58" s="15">
        <f t="shared" si="14"/>
        <v>1.3</v>
      </c>
      <c r="AZ58" s="14">
        <f t="shared" si="15"/>
        <v>40.90657188289304</v>
      </c>
      <c r="BA58" s="14">
        <f t="shared" si="16"/>
        <v>0</v>
      </c>
      <c r="BB58" s="14">
        <f t="shared" si="17"/>
        <v>2.127141737910438</v>
      </c>
      <c r="BC58" s="14">
        <f t="shared" si="18"/>
        <v>1.7872858262089562</v>
      </c>
      <c r="BD58" s="14">
        <f t="shared" si="36"/>
        <v>0.48891899466070676</v>
      </c>
      <c r="BE58" s="16">
        <f t="shared" si="37"/>
        <v>106.62528445164402</v>
      </c>
      <c r="BF58" s="16">
        <f t="shared" si="38"/>
        <v>186.74943109671196</v>
      </c>
      <c r="BG58" s="17">
        <f t="shared" si="39"/>
        <v>1</v>
      </c>
      <c r="BH58" s="14">
        <f t="shared" si="40"/>
        <v>234.57562579361687</v>
      </c>
      <c r="BI58" s="14">
        <f t="shared" si="41"/>
        <v>-69.15125158723373</v>
      </c>
      <c r="BJ58" s="14">
        <f t="shared" si="42"/>
        <v>39.885358256308649</v>
      </c>
    </row>
    <row r="59" spans="2:62">
      <c r="B59" s="35" t="s">
        <v>134</v>
      </c>
      <c r="C59" s="35" t="s">
        <v>135</v>
      </c>
      <c r="D59" s="14">
        <v>2049</v>
      </c>
      <c r="E59" s="90">
        <f t="shared" si="19"/>
        <v>35.5</v>
      </c>
      <c r="F59" s="89">
        <f t="shared" si="20"/>
        <v>21.5</v>
      </c>
      <c r="G59" s="35">
        <f t="shared" si="21"/>
        <v>2005</v>
      </c>
      <c r="H59" s="91" t="str">
        <f t="shared" si="22"/>
        <v>Pile 32 @ Berth 201</v>
      </c>
      <c r="I59" s="35" t="str">
        <f t="shared" si="23"/>
        <v>Turpentine Gum</v>
      </c>
      <c r="J59" s="35" t="str">
        <f t="shared" si="24"/>
        <v>HW1</v>
      </c>
      <c r="K59" s="35" t="str">
        <f t="shared" si="25"/>
        <v>SPHU</v>
      </c>
      <c r="L59" s="35">
        <f t="shared" si="26"/>
        <v>400</v>
      </c>
      <c r="M59" s="35">
        <f t="shared" si="27"/>
        <v>20</v>
      </c>
      <c r="N59" s="35">
        <f t="shared" si="28"/>
        <v>200</v>
      </c>
      <c r="O59" s="35" t="str">
        <f t="shared" si="29"/>
        <v>MTN2</v>
      </c>
      <c r="P59" s="35" t="str">
        <f t="shared" si="30"/>
        <v>CNT2</v>
      </c>
      <c r="Q59" s="35" t="str">
        <f t="shared" si="31"/>
        <v>KNT3</v>
      </c>
      <c r="R59" s="35" t="str">
        <f t="shared" si="32"/>
        <v>E</v>
      </c>
      <c r="S59" s="35" t="str">
        <f t="shared" si="33"/>
        <v>EXP1</v>
      </c>
      <c r="T59" s="58"/>
      <c r="U59" s="58"/>
      <c r="V59" s="58"/>
      <c r="W59" s="58"/>
      <c r="X59" s="58"/>
      <c r="Y59" s="58"/>
      <c r="Z59" s="58"/>
      <c r="AA59" s="95">
        <f t="shared" si="9"/>
        <v>1</v>
      </c>
      <c r="AB59" s="96">
        <f t="shared" si="10"/>
        <v>108.75242618955446</v>
      </c>
      <c r="AC59" s="58"/>
      <c r="AD59" s="58"/>
      <c r="AE59" s="58"/>
      <c r="AF59" s="58"/>
      <c r="AG59" s="58"/>
      <c r="AH59" s="58"/>
      <c r="AI59" s="58"/>
      <c r="AJ59" s="58"/>
      <c r="AK59" s="58"/>
      <c r="AL59" s="58"/>
      <c r="AM59" s="89">
        <f t="shared" si="11"/>
        <v>44</v>
      </c>
      <c r="AN59" s="5">
        <f t="shared" si="34"/>
        <v>35.5</v>
      </c>
      <c r="AO59" s="14">
        <f t="shared" si="35"/>
        <v>1.6362628753157216</v>
      </c>
      <c r="AP59" s="14">
        <f>IF((OR(R59="A",R59="B",R59="C")),INDEX(Coefficients!$S$4:$S$22,MATCH(J59,Coefficients!$R$4:$R$22)),INDEX(Coefficients!$T$4:$T$22,MATCH(J59,Coefficients!$R$4:$R$22)))</f>
        <v>1.3</v>
      </c>
      <c r="AQ59" s="27">
        <f>IF((OR(R59="A",R59="B",R59="C")),INDEX(Coefficients!$S$4:$S$22,MATCH(K59,Coefficients!$R$4:$R$22)),INDEX(Coefficients!$T$4:$T$22,MATCH(K59,Coefficients!$R$4:$R$22)))</f>
        <v>25</v>
      </c>
      <c r="AR59" s="15">
        <f>IF(OR(R59="A",R59="B",R59="C",R59="D"),IF(AN59&gt;=11,IF(AN59&gt;=26,Coefficients!$M$6,Coefficients!$M$5),Coefficients!$M$4),IF(AN59&gt;=11,IF(AN59&gt;=26,Coefficients!$N$6,Coefficients!$N$5),Coefficients!$N$4))</f>
        <v>1</v>
      </c>
      <c r="AS59" s="15">
        <f>INDEX(Coefficients!$X$3:$X$4,MATCH(S59,Coefficients!$W$3:$W$4))</f>
        <v>1</v>
      </c>
      <c r="AT59" s="15">
        <f>INDEX(Coefficients!$X$7:$X$8,MATCH(O59,Coefficients!$W$7:$W$8))</f>
        <v>1</v>
      </c>
      <c r="AU59" s="15">
        <f>INDEX(Coefficients!$X$11:$X$12,MATCH(P59,Coefficients!$W$11:$W$12))</f>
        <v>1</v>
      </c>
      <c r="AV59" s="15">
        <f>INDEX(Coefficients!$X$15:$X$17,MATCH(Q59,Coefficients!$W$15:$W$17))</f>
        <v>1</v>
      </c>
      <c r="AW59" s="15">
        <f t="shared" si="12"/>
        <v>1</v>
      </c>
      <c r="AX59" s="15">
        <f t="shared" si="13"/>
        <v>1</v>
      </c>
      <c r="AY59" s="15">
        <f t="shared" si="14"/>
        <v>1.3</v>
      </c>
      <c r="AZ59" s="14">
        <f t="shared" si="15"/>
        <v>40.90657188289304</v>
      </c>
      <c r="BA59" s="14">
        <f t="shared" si="16"/>
        <v>0</v>
      </c>
      <c r="BB59" s="14">
        <f t="shared" si="17"/>
        <v>2.127141737910438</v>
      </c>
      <c r="BC59" s="14">
        <f t="shared" si="18"/>
        <v>1.7872858262089562</v>
      </c>
      <c r="BD59" s="14">
        <f t="shared" si="36"/>
        <v>0.48891899466070676</v>
      </c>
      <c r="BE59" s="16">
        <f t="shared" si="37"/>
        <v>108.75242618955446</v>
      </c>
      <c r="BF59" s="16">
        <f t="shared" si="38"/>
        <v>182.49514762089109</v>
      </c>
      <c r="BG59" s="17">
        <f t="shared" si="39"/>
        <v>1</v>
      </c>
      <c r="BH59" s="14">
        <f t="shared" si="40"/>
        <v>239.25533761701982</v>
      </c>
      <c r="BI59" s="14">
        <f t="shared" si="41"/>
        <v>-78.510675234039638</v>
      </c>
      <c r="BJ59" s="14">
        <f t="shared" si="42"/>
        <v>39.885358256308649</v>
      </c>
    </row>
    <row r="60" spans="2:62">
      <c r="B60" s="35" t="s">
        <v>134</v>
      </c>
      <c r="C60" s="35" t="s">
        <v>135</v>
      </c>
      <c r="D60" s="14">
        <v>2050</v>
      </c>
      <c r="E60" s="90">
        <f t="shared" si="19"/>
        <v>35.5</v>
      </c>
      <c r="F60" s="89">
        <f t="shared" si="20"/>
        <v>21.5</v>
      </c>
      <c r="G60" s="35">
        <f t="shared" si="21"/>
        <v>2005</v>
      </c>
      <c r="H60" s="91" t="str">
        <f t="shared" si="22"/>
        <v>Pile 32 @ Berth 201</v>
      </c>
      <c r="I60" s="35" t="str">
        <f t="shared" si="23"/>
        <v>Turpentine Gum</v>
      </c>
      <c r="J60" s="35" t="str">
        <f t="shared" si="24"/>
        <v>HW1</v>
      </c>
      <c r="K60" s="35" t="str">
        <f t="shared" si="25"/>
        <v>SPHU</v>
      </c>
      <c r="L60" s="35">
        <f t="shared" si="26"/>
        <v>400</v>
      </c>
      <c r="M60" s="35">
        <f t="shared" si="27"/>
        <v>20</v>
      </c>
      <c r="N60" s="35">
        <f t="shared" si="28"/>
        <v>200</v>
      </c>
      <c r="O60" s="35" t="str">
        <f t="shared" si="29"/>
        <v>MTN2</v>
      </c>
      <c r="P60" s="35" t="str">
        <f t="shared" si="30"/>
        <v>CNT2</v>
      </c>
      <c r="Q60" s="35" t="str">
        <f t="shared" si="31"/>
        <v>KNT3</v>
      </c>
      <c r="R60" s="35" t="str">
        <f t="shared" si="32"/>
        <v>E</v>
      </c>
      <c r="S60" s="35" t="str">
        <f t="shared" si="33"/>
        <v>EXP1</v>
      </c>
      <c r="T60" s="58"/>
      <c r="U60" s="58"/>
      <c r="V60" s="58"/>
      <c r="W60" s="58"/>
      <c r="X60" s="58"/>
      <c r="Y60" s="58"/>
      <c r="Z60" s="58"/>
      <c r="AA60" s="95">
        <f t="shared" si="9"/>
        <v>1</v>
      </c>
      <c r="AB60" s="96">
        <f t="shared" si="10"/>
        <v>110.87956792746489</v>
      </c>
      <c r="AC60" s="58"/>
      <c r="AD60" s="58"/>
      <c r="AE60" s="58"/>
      <c r="AF60" s="58"/>
      <c r="AG60" s="58"/>
      <c r="AH60" s="58"/>
      <c r="AI60" s="58"/>
      <c r="AJ60" s="58"/>
      <c r="AK60" s="58"/>
      <c r="AL60" s="58"/>
      <c r="AM60" s="89">
        <f t="shared" si="11"/>
        <v>45</v>
      </c>
      <c r="AN60" s="5">
        <f t="shared" si="34"/>
        <v>35.5</v>
      </c>
      <c r="AO60" s="14">
        <f t="shared" si="35"/>
        <v>1.6362628753157216</v>
      </c>
      <c r="AP60" s="14">
        <f>IF((OR(R60="A",R60="B",R60="C")),INDEX(Coefficients!$S$4:$S$22,MATCH(J60,Coefficients!$R$4:$R$22)),INDEX(Coefficients!$T$4:$T$22,MATCH(J60,Coefficients!$R$4:$R$22)))</f>
        <v>1.3</v>
      </c>
      <c r="AQ60" s="27">
        <f>IF((OR(R60="A",R60="B",R60="C")),INDEX(Coefficients!$S$4:$S$22,MATCH(K60,Coefficients!$R$4:$R$22)),INDEX(Coefficients!$T$4:$T$22,MATCH(K60,Coefficients!$R$4:$R$22)))</f>
        <v>25</v>
      </c>
      <c r="AR60" s="15">
        <f>IF(OR(R60="A",R60="B",R60="C",R60="D"),IF(AN60&gt;=11,IF(AN60&gt;=26,Coefficients!$M$6,Coefficients!$M$5),Coefficients!$M$4),IF(AN60&gt;=11,IF(AN60&gt;=26,Coefficients!$N$6,Coefficients!$N$5),Coefficients!$N$4))</f>
        <v>1</v>
      </c>
      <c r="AS60" s="15">
        <f>INDEX(Coefficients!$X$3:$X$4,MATCH(S60,Coefficients!$W$3:$W$4))</f>
        <v>1</v>
      </c>
      <c r="AT60" s="15">
        <f>INDEX(Coefficients!$X$7:$X$8,MATCH(O60,Coefficients!$W$7:$W$8))</f>
        <v>1</v>
      </c>
      <c r="AU60" s="15">
        <f>INDEX(Coefficients!$X$11:$X$12,MATCH(P60,Coefficients!$W$11:$W$12))</f>
        <v>1</v>
      </c>
      <c r="AV60" s="15">
        <f>INDEX(Coefficients!$X$15:$X$17,MATCH(Q60,Coefficients!$W$15:$W$17))</f>
        <v>1</v>
      </c>
      <c r="AW60" s="15">
        <f t="shared" si="12"/>
        <v>1</v>
      </c>
      <c r="AX60" s="15">
        <f t="shared" si="13"/>
        <v>1</v>
      </c>
      <c r="AY60" s="15">
        <f t="shared" si="14"/>
        <v>1.3</v>
      </c>
      <c r="AZ60" s="14">
        <f t="shared" si="15"/>
        <v>40.90657188289304</v>
      </c>
      <c r="BA60" s="14">
        <f t="shared" si="16"/>
        <v>0</v>
      </c>
      <c r="BB60" s="14">
        <f t="shared" si="17"/>
        <v>2.127141737910438</v>
      </c>
      <c r="BC60" s="14">
        <f t="shared" si="18"/>
        <v>1.7872858262089562</v>
      </c>
      <c r="BD60" s="14">
        <f t="shared" si="36"/>
        <v>0.48891899466070676</v>
      </c>
      <c r="BE60" s="16">
        <f t="shared" si="37"/>
        <v>110.87956792746489</v>
      </c>
      <c r="BF60" s="16">
        <f t="shared" si="38"/>
        <v>178.24086414507022</v>
      </c>
      <c r="BG60" s="17">
        <f t="shared" si="39"/>
        <v>1</v>
      </c>
      <c r="BH60" s="14">
        <f t="shared" si="40"/>
        <v>243.93504944042277</v>
      </c>
      <c r="BI60" s="14">
        <f t="shared" si="41"/>
        <v>-87.870098880845546</v>
      </c>
      <c r="BJ60" s="14">
        <f t="shared" si="42"/>
        <v>39.885358256308649</v>
      </c>
    </row>
    <row r="61" spans="2:62">
      <c r="B61" s="35" t="s">
        <v>134</v>
      </c>
      <c r="C61" s="35" t="s">
        <v>135</v>
      </c>
      <c r="D61" s="14">
        <v>2051</v>
      </c>
      <c r="E61" s="90">
        <f t="shared" si="19"/>
        <v>35.5</v>
      </c>
      <c r="F61" s="89">
        <f t="shared" si="20"/>
        <v>21.5</v>
      </c>
      <c r="G61" s="35">
        <f t="shared" si="21"/>
        <v>2005</v>
      </c>
      <c r="H61" s="91" t="str">
        <f t="shared" si="22"/>
        <v>Pile 32 @ Berth 201</v>
      </c>
      <c r="I61" s="35" t="str">
        <f t="shared" si="23"/>
        <v>Turpentine Gum</v>
      </c>
      <c r="J61" s="35" t="str">
        <f t="shared" si="24"/>
        <v>HW1</v>
      </c>
      <c r="K61" s="35" t="str">
        <f t="shared" si="25"/>
        <v>SPHU</v>
      </c>
      <c r="L61" s="35">
        <f t="shared" si="26"/>
        <v>400</v>
      </c>
      <c r="M61" s="35">
        <f t="shared" si="27"/>
        <v>20</v>
      </c>
      <c r="N61" s="35">
        <f t="shared" si="28"/>
        <v>200</v>
      </c>
      <c r="O61" s="35" t="str">
        <f t="shared" si="29"/>
        <v>MTN2</v>
      </c>
      <c r="P61" s="35" t="str">
        <f t="shared" si="30"/>
        <v>CNT2</v>
      </c>
      <c r="Q61" s="35" t="str">
        <f t="shared" si="31"/>
        <v>KNT3</v>
      </c>
      <c r="R61" s="35" t="str">
        <f t="shared" si="32"/>
        <v>E</v>
      </c>
      <c r="S61" s="35" t="str">
        <f t="shared" si="33"/>
        <v>EXP1</v>
      </c>
      <c r="T61" s="58"/>
      <c r="U61" s="58"/>
      <c r="V61" s="58"/>
      <c r="W61" s="58"/>
      <c r="X61" s="58"/>
      <c r="Y61" s="58"/>
      <c r="Z61" s="58"/>
      <c r="AA61" s="95">
        <f t="shared" si="9"/>
        <v>1</v>
      </c>
      <c r="AB61" s="96">
        <f t="shared" si="10"/>
        <v>113.00670966537533</v>
      </c>
      <c r="AC61" s="58"/>
      <c r="AD61" s="58"/>
      <c r="AE61" s="58"/>
      <c r="AF61" s="58"/>
      <c r="AG61" s="58"/>
      <c r="AH61" s="58"/>
      <c r="AI61" s="58"/>
      <c r="AJ61" s="58"/>
      <c r="AK61" s="58"/>
      <c r="AL61" s="58"/>
      <c r="AM61" s="89">
        <f t="shared" si="11"/>
        <v>46</v>
      </c>
      <c r="AN61" s="5">
        <f t="shared" si="34"/>
        <v>35.5</v>
      </c>
      <c r="AO61" s="14">
        <f t="shared" si="35"/>
        <v>1.6362628753157216</v>
      </c>
      <c r="AP61" s="14">
        <f>IF((OR(R61="A",R61="B",R61="C")),INDEX(Coefficients!$S$4:$S$22,MATCH(J61,Coefficients!$R$4:$R$22)),INDEX(Coefficients!$T$4:$T$22,MATCH(J61,Coefficients!$R$4:$R$22)))</f>
        <v>1.3</v>
      </c>
      <c r="AQ61" s="27">
        <f>IF((OR(R61="A",R61="B",R61="C")),INDEX(Coefficients!$S$4:$S$22,MATCH(K61,Coefficients!$R$4:$R$22)),INDEX(Coefficients!$T$4:$T$22,MATCH(K61,Coefficients!$R$4:$R$22)))</f>
        <v>25</v>
      </c>
      <c r="AR61" s="15">
        <f>IF(OR(R61="A",R61="B",R61="C",R61="D"),IF(AN61&gt;=11,IF(AN61&gt;=26,Coefficients!$M$6,Coefficients!$M$5),Coefficients!$M$4),IF(AN61&gt;=11,IF(AN61&gt;=26,Coefficients!$N$6,Coefficients!$N$5),Coefficients!$N$4))</f>
        <v>1</v>
      </c>
      <c r="AS61" s="15">
        <f>INDEX(Coefficients!$X$3:$X$4,MATCH(S61,Coefficients!$W$3:$W$4))</f>
        <v>1</v>
      </c>
      <c r="AT61" s="15">
        <f>INDEX(Coefficients!$X$7:$X$8,MATCH(O61,Coefficients!$W$7:$W$8))</f>
        <v>1</v>
      </c>
      <c r="AU61" s="15">
        <f>INDEX(Coefficients!$X$11:$X$12,MATCH(P61,Coefficients!$W$11:$W$12))</f>
        <v>1</v>
      </c>
      <c r="AV61" s="15">
        <f>INDEX(Coefficients!$X$15:$X$17,MATCH(Q61,Coefficients!$W$15:$W$17))</f>
        <v>1</v>
      </c>
      <c r="AW61" s="15">
        <f t="shared" si="12"/>
        <v>1</v>
      </c>
      <c r="AX61" s="15">
        <f t="shared" si="13"/>
        <v>1</v>
      </c>
      <c r="AY61" s="15">
        <f t="shared" si="14"/>
        <v>1.3</v>
      </c>
      <c r="AZ61" s="14">
        <f t="shared" si="15"/>
        <v>40.90657188289304</v>
      </c>
      <c r="BA61" s="14">
        <f t="shared" si="16"/>
        <v>0</v>
      </c>
      <c r="BB61" s="14">
        <f t="shared" si="17"/>
        <v>2.127141737910438</v>
      </c>
      <c r="BC61" s="14">
        <f t="shared" si="18"/>
        <v>1.7872858262089562</v>
      </c>
      <c r="BD61" s="14">
        <f t="shared" si="36"/>
        <v>0.48891899466070676</v>
      </c>
      <c r="BE61" s="16">
        <f t="shared" si="37"/>
        <v>113.00670966537533</v>
      </c>
      <c r="BF61" s="16">
        <f t="shared" si="38"/>
        <v>173.98658066924935</v>
      </c>
      <c r="BG61" s="17">
        <f t="shared" si="39"/>
        <v>1</v>
      </c>
      <c r="BH61" s="14">
        <f t="shared" si="40"/>
        <v>248.61476126382573</v>
      </c>
      <c r="BI61" s="14">
        <f t="shared" si="41"/>
        <v>-97.229522527651454</v>
      </c>
      <c r="BJ61" s="14">
        <f t="shared" si="42"/>
        <v>39.885358256308649</v>
      </c>
    </row>
    <row r="62" spans="2:62">
      <c r="B62" s="35" t="s">
        <v>134</v>
      </c>
      <c r="C62" s="35" t="s">
        <v>135</v>
      </c>
      <c r="D62" s="14">
        <v>2052</v>
      </c>
      <c r="E62" s="90">
        <f t="shared" si="19"/>
        <v>35.5</v>
      </c>
      <c r="F62" s="89">
        <f t="shared" si="20"/>
        <v>21.5</v>
      </c>
      <c r="G62" s="35">
        <f t="shared" si="21"/>
        <v>2005</v>
      </c>
      <c r="H62" s="91" t="str">
        <f t="shared" si="22"/>
        <v>Pile 32 @ Berth 201</v>
      </c>
      <c r="I62" s="35" t="str">
        <f t="shared" si="23"/>
        <v>Turpentine Gum</v>
      </c>
      <c r="J62" s="35" t="str">
        <f t="shared" si="24"/>
        <v>HW1</v>
      </c>
      <c r="K62" s="35" t="str">
        <f t="shared" si="25"/>
        <v>SPHU</v>
      </c>
      <c r="L62" s="35">
        <f t="shared" si="26"/>
        <v>400</v>
      </c>
      <c r="M62" s="35">
        <f t="shared" si="27"/>
        <v>20</v>
      </c>
      <c r="N62" s="35">
        <f t="shared" si="28"/>
        <v>200</v>
      </c>
      <c r="O62" s="35" t="str">
        <f t="shared" si="29"/>
        <v>MTN2</v>
      </c>
      <c r="P62" s="35" t="str">
        <f t="shared" si="30"/>
        <v>CNT2</v>
      </c>
      <c r="Q62" s="35" t="str">
        <f t="shared" si="31"/>
        <v>KNT3</v>
      </c>
      <c r="R62" s="35" t="str">
        <f t="shared" si="32"/>
        <v>E</v>
      </c>
      <c r="S62" s="35" t="str">
        <f t="shared" si="33"/>
        <v>EXP1</v>
      </c>
      <c r="T62" s="58"/>
      <c r="U62" s="58"/>
      <c r="V62" s="58"/>
      <c r="W62" s="58"/>
      <c r="X62" s="58"/>
      <c r="Y62" s="58"/>
      <c r="Z62" s="58"/>
      <c r="AA62" s="95">
        <f t="shared" si="9"/>
        <v>1</v>
      </c>
      <c r="AB62" s="96">
        <f t="shared" si="10"/>
        <v>115.13385140328577</v>
      </c>
      <c r="AC62" s="58"/>
      <c r="AD62" s="58"/>
      <c r="AE62" s="58"/>
      <c r="AF62" s="58"/>
      <c r="AG62" s="58"/>
      <c r="AH62" s="58"/>
      <c r="AI62" s="58"/>
      <c r="AJ62" s="58"/>
      <c r="AK62" s="58"/>
      <c r="AL62" s="58"/>
      <c r="AM62" s="89">
        <f t="shared" si="11"/>
        <v>47</v>
      </c>
      <c r="AN62" s="5">
        <f t="shared" si="34"/>
        <v>35.5</v>
      </c>
      <c r="AO62" s="14">
        <f t="shared" si="35"/>
        <v>1.6362628753157216</v>
      </c>
      <c r="AP62" s="14">
        <f>IF((OR(R62="A",R62="B",R62="C")),INDEX(Coefficients!$S$4:$S$22,MATCH(J62,Coefficients!$R$4:$R$22)),INDEX(Coefficients!$T$4:$T$22,MATCH(J62,Coefficients!$R$4:$R$22)))</f>
        <v>1.3</v>
      </c>
      <c r="AQ62" s="27">
        <f>IF((OR(R62="A",R62="B",R62="C")),INDEX(Coefficients!$S$4:$S$22,MATCH(K62,Coefficients!$R$4:$R$22)),INDEX(Coefficients!$T$4:$T$22,MATCH(K62,Coefficients!$R$4:$R$22)))</f>
        <v>25</v>
      </c>
      <c r="AR62" s="15">
        <f>IF(OR(R62="A",R62="B",R62="C",R62="D"),IF(AN62&gt;=11,IF(AN62&gt;=26,Coefficients!$M$6,Coefficients!$M$5),Coefficients!$M$4),IF(AN62&gt;=11,IF(AN62&gt;=26,Coefficients!$N$6,Coefficients!$N$5),Coefficients!$N$4))</f>
        <v>1</v>
      </c>
      <c r="AS62" s="15">
        <f>INDEX(Coefficients!$X$3:$X$4,MATCH(S62,Coefficients!$W$3:$W$4))</f>
        <v>1</v>
      </c>
      <c r="AT62" s="15">
        <f>INDEX(Coefficients!$X$7:$X$8,MATCH(O62,Coefficients!$W$7:$W$8))</f>
        <v>1</v>
      </c>
      <c r="AU62" s="15">
        <f>INDEX(Coefficients!$X$11:$X$12,MATCH(P62,Coefficients!$W$11:$W$12))</f>
        <v>1</v>
      </c>
      <c r="AV62" s="15">
        <f>INDEX(Coefficients!$X$15:$X$17,MATCH(Q62,Coefficients!$W$15:$W$17))</f>
        <v>1</v>
      </c>
      <c r="AW62" s="15">
        <f t="shared" si="12"/>
        <v>1</v>
      </c>
      <c r="AX62" s="15">
        <f t="shared" si="13"/>
        <v>1</v>
      </c>
      <c r="AY62" s="15">
        <f t="shared" si="14"/>
        <v>1.3</v>
      </c>
      <c r="AZ62" s="14">
        <f t="shared" si="15"/>
        <v>40.90657188289304</v>
      </c>
      <c r="BA62" s="14">
        <f t="shared" si="16"/>
        <v>0</v>
      </c>
      <c r="BB62" s="14">
        <f t="shared" si="17"/>
        <v>2.127141737910438</v>
      </c>
      <c r="BC62" s="14">
        <f t="shared" si="18"/>
        <v>1.7872858262089562</v>
      </c>
      <c r="BD62" s="14">
        <f t="shared" si="36"/>
        <v>0.48891899466070676</v>
      </c>
      <c r="BE62" s="16">
        <f t="shared" si="37"/>
        <v>115.13385140328577</v>
      </c>
      <c r="BF62" s="16">
        <f t="shared" si="38"/>
        <v>169.73229719342845</v>
      </c>
      <c r="BG62" s="17">
        <f t="shared" si="39"/>
        <v>1</v>
      </c>
      <c r="BH62" s="14">
        <f t="shared" si="40"/>
        <v>253.29447308722874</v>
      </c>
      <c r="BI62" s="14">
        <f t="shared" si="41"/>
        <v>-106.58894617445748</v>
      </c>
      <c r="BJ62" s="14">
        <f t="shared" si="42"/>
        <v>39.885358256308649</v>
      </c>
    </row>
    <row r="63" spans="2:62">
      <c r="B63" s="35" t="s">
        <v>134</v>
      </c>
      <c r="C63" s="35" t="s">
        <v>135</v>
      </c>
      <c r="D63" s="14">
        <v>2053</v>
      </c>
      <c r="E63" s="90">
        <f t="shared" si="19"/>
        <v>35.5</v>
      </c>
      <c r="F63" s="89">
        <f t="shared" si="20"/>
        <v>21.5</v>
      </c>
      <c r="G63" s="35">
        <f t="shared" si="21"/>
        <v>2005</v>
      </c>
      <c r="H63" s="91" t="str">
        <f t="shared" si="22"/>
        <v>Pile 32 @ Berth 201</v>
      </c>
      <c r="I63" s="35" t="str">
        <f t="shared" si="23"/>
        <v>Turpentine Gum</v>
      </c>
      <c r="J63" s="35" t="str">
        <f t="shared" si="24"/>
        <v>HW1</v>
      </c>
      <c r="K63" s="35" t="str">
        <f t="shared" si="25"/>
        <v>SPHU</v>
      </c>
      <c r="L63" s="35">
        <f t="shared" si="26"/>
        <v>400</v>
      </c>
      <c r="M63" s="35">
        <f t="shared" si="27"/>
        <v>20</v>
      </c>
      <c r="N63" s="35">
        <f t="shared" si="28"/>
        <v>200</v>
      </c>
      <c r="O63" s="35" t="str">
        <f t="shared" si="29"/>
        <v>MTN2</v>
      </c>
      <c r="P63" s="35" t="str">
        <f t="shared" si="30"/>
        <v>CNT2</v>
      </c>
      <c r="Q63" s="35" t="str">
        <f t="shared" si="31"/>
        <v>KNT3</v>
      </c>
      <c r="R63" s="35" t="str">
        <f t="shared" si="32"/>
        <v>E</v>
      </c>
      <c r="S63" s="35" t="str">
        <f t="shared" si="33"/>
        <v>EXP1</v>
      </c>
      <c r="T63" s="58"/>
      <c r="U63" s="58"/>
      <c r="V63" s="58"/>
      <c r="W63" s="58"/>
      <c r="X63" s="58"/>
      <c r="Y63" s="58"/>
      <c r="Z63" s="58"/>
      <c r="AA63" s="95">
        <f t="shared" si="9"/>
        <v>1</v>
      </c>
      <c r="AB63" s="96">
        <f t="shared" si="10"/>
        <v>117.26099314119621</v>
      </c>
      <c r="AC63" s="58"/>
      <c r="AD63" s="58"/>
      <c r="AE63" s="58"/>
      <c r="AF63" s="58"/>
      <c r="AG63" s="58"/>
      <c r="AH63" s="58"/>
      <c r="AI63" s="58"/>
      <c r="AJ63" s="58"/>
      <c r="AK63" s="58"/>
      <c r="AL63" s="58"/>
      <c r="AM63" s="89">
        <f t="shared" si="11"/>
        <v>48</v>
      </c>
      <c r="AN63" s="5">
        <f t="shared" si="34"/>
        <v>35.5</v>
      </c>
      <c r="AO63" s="14">
        <f t="shared" si="35"/>
        <v>1.6362628753157216</v>
      </c>
      <c r="AP63" s="14">
        <f>IF((OR(R63="A",R63="B",R63="C")),INDEX(Coefficients!$S$4:$S$22,MATCH(J63,Coefficients!$R$4:$R$22)),INDEX(Coefficients!$T$4:$T$22,MATCH(J63,Coefficients!$R$4:$R$22)))</f>
        <v>1.3</v>
      </c>
      <c r="AQ63" s="27">
        <f>IF((OR(R63="A",R63="B",R63="C")),INDEX(Coefficients!$S$4:$S$22,MATCH(K63,Coefficients!$R$4:$R$22)),INDEX(Coefficients!$T$4:$T$22,MATCH(K63,Coefficients!$R$4:$R$22)))</f>
        <v>25</v>
      </c>
      <c r="AR63" s="15">
        <f>IF(OR(R63="A",R63="B",R63="C",R63="D"),IF(AN63&gt;=11,IF(AN63&gt;=26,Coefficients!$M$6,Coefficients!$M$5),Coefficients!$M$4),IF(AN63&gt;=11,IF(AN63&gt;=26,Coefficients!$N$6,Coefficients!$N$5),Coefficients!$N$4))</f>
        <v>1</v>
      </c>
      <c r="AS63" s="15">
        <f>INDEX(Coefficients!$X$3:$X$4,MATCH(S63,Coefficients!$W$3:$W$4))</f>
        <v>1</v>
      </c>
      <c r="AT63" s="15">
        <f>INDEX(Coefficients!$X$7:$X$8,MATCH(O63,Coefficients!$W$7:$W$8))</f>
        <v>1</v>
      </c>
      <c r="AU63" s="15">
        <f>INDEX(Coefficients!$X$11:$X$12,MATCH(P63,Coefficients!$W$11:$W$12))</f>
        <v>1</v>
      </c>
      <c r="AV63" s="15">
        <f>INDEX(Coefficients!$X$15:$X$17,MATCH(Q63,Coefficients!$W$15:$W$17))</f>
        <v>1</v>
      </c>
      <c r="AW63" s="15">
        <f t="shared" si="12"/>
        <v>1</v>
      </c>
      <c r="AX63" s="15">
        <f t="shared" si="13"/>
        <v>1</v>
      </c>
      <c r="AY63" s="15">
        <f t="shared" si="14"/>
        <v>1.3</v>
      </c>
      <c r="AZ63" s="14">
        <f t="shared" si="15"/>
        <v>40.90657188289304</v>
      </c>
      <c r="BA63" s="14">
        <f t="shared" si="16"/>
        <v>0</v>
      </c>
      <c r="BB63" s="14">
        <f t="shared" si="17"/>
        <v>2.127141737910438</v>
      </c>
      <c r="BC63" s="14">
        <f t="shared" si="18"/>
        <v>1.7872858262089562</v>
      </c>
      <c r="BD63" s="14">
        <f t="shared" si="36"/>
        <v>0.48891899466070676</v>
      </c>
      <c r="BE63" s="16">
        <f t="shared" si="37"/>
        <v>117.26099314119621</v>
      </c>
      <c r="BF63" s="16">
        <f t="shared" si="38"/>
        <v>165.47801371760758</v>
      </c>
      <c r="BG63" s="17">
        <f t="shared" si="39"/>
        <v>1</v>
      </c>
      <c r="BH63" s="14">
        <f t="shared" si="40"/>
        <v>257.97418491063166</v>
      </c>
      <c r="BI63" s="14">
        <f t="shared" si="41"/>
        <v>-115.94836982126333</v>
      </c>
      <c r="BJ63" s="14">
        <f t="shared" si="42"/>
        <v>39.885358256308649</v>
      </c>
    </row>
    <row r="64" spans="2:62">
      <c r="B64" s="35" t="s">
        <v>134</v>
      </c>
      <c r="C64" s="35" t="s">
        <v>135</v>
      </c>
      <c r="D64" s="14">
        <v>2054</v>
      </c>
      <c r="E64" s="90">
        <f t="shared" si="19"/>
        <v>35.5</v>
      </c>
      <c r="F64" s="89">
        <f t="shared" si="20"/>
        <v>21.5</v>
      </c>
      <c r="G64" s="35">
        <f t="shared" si="21"/>
        <v>2005</v>
      </c>
      <c r="H64" s="91" t="str">
        <f t="shared" si="22"/>
        <v>Pile 32 @ Berth 201</v>
      </c>
      <c r="I64" s="35" t="str">
        <f t="shared" si="23"/>
        <v>Turpentine Gum</v>
      </c>
      <c r="J64" s="35" t="str">
        <f t="shared" si="24"/>
        <v>HW1</v>
      </c>
      <c r="K64" s="35" t="str">
        <f t="shared" si="25"/>
        <v>SPHU</v>
      </c>
      <c r="L64" s="35">
        <f t="shared" si="26"/>
        <v>400</v>
      </c>
      <c r="M64" s="35">
        <f t="shared" si="27"/>
        <v>20</v>
      </c>
      <c r="N64" s="35">
        <f t="shared" si="28"/>
        <v>200</v>
      </c>
      <c r="O64" s="35" t="str">
        <f t="shared" si="29"/>
        <v>MTN2</v>
      </c>
      <c r="P64" s="35" t="str">
        <f t="shared" si="30"/>
        <v>CNT2</v>
      </c>
      <c r="Q64" s="35" t="str">
        <f t="shared" si="31"/>
        <v>KNT3</v>
      </c>
      <c r="R64" s="35" t="str">
        <f t="shared" si="32"/>
        <v>E</v>
      </c>
      <c r="S64" s="35" t="str">
        <f t="shared" si="33"/>
        <v>EXP1</v>
      </c>
      <c r="T64" s="58"/>
      <c r="U64" s="58"/>
      <c r="V64" s="58"/>
      <c r="W64" s="58"/>
      <c r="X64" s="58"/>
      <c r="Y64" s="58"/>
      <c r="Z64" s="58"/>
      <c r="AA64" s="95">
        <f t="shared" si="9"/>
        <v>1</v>
      </c>
      <c r="AB64" s="96">
        <f t="shared" si="10"/>
        <v>119.38813487910664</v>
      </c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89">
        <f t="shared" si="11"/>
        <v>49</v>
      </c>
      <c r="AN64" s="5">
        <f t="shared" si="34"/>
        <v>35.5</v>
      </c>
      <c r="AO64" s="14">
        <f t="shared" si="35"/>
        <v>1.6362628753157216</v>
      </c>
      <c r="AP64" s="14">
        <f>IF((OR(R64="A",R64="B",R64="C")),INDEX(Coefficients!$S$4:$S$22,MATCH(J64,Coefficients!$R$4:$R$22)),INDEX(Coefficients!$T$4:$T$22,MATCH(J64,Coefficients!$R$4:$R$22)))</f>
        <v>1.3</v>
      </c>
      <c r="AQ64" s="27">
        <f>IF((OR(R64="A",R64="B",R64="C")),INDEX(Coefficients!$S$4:$S$22,MATCH(K64,Coefficients!$R$4:$R$22)),INDEX(Coefficients!$T$4:$T$22,MATCH(K64,Coefficients!$R$4:$R$22)))</f>
        <v>25</v>
      </c>
      <c r="AR64" s="15">
        <f>IF(OR(R64="A",R64="B",R64="C",R64="D"),IF(AN64&gt;=11,IF(AN64&gt;=26,Coefficients!$M$6,Coefficients!$M$5),Coefficients!$M$4),IF(AN64&gt;=11,IF(AN64&gt;=26,Coefficients!$N$6,Coefficients!$N$5),Coefficients!$N$4))</f>
        <v>1</v>
      </c>
      <c r="AS64" s="15">
        <f>INDEX(Coefficients!$X$3:$X$4,MATCH(S64,Coefficients!$W$3:$W$4))</f>
        <v>1</v>
      </c>
      <c r="AT64" s="15">
        <f>INDEX(Coefficients!$X$7:$X$8,MATCH(O64,Coefficients!$W$7:$W$8))</f>
        <v>1</v>
      </c>
      <c r="AU64" s="15">
        <f>INDEX(Coefficients!$X$11:$X$12,MATCH(P64,Coefficients!$W$11:$W$12))</f>
        <v>1</v>
      </c>
      <c r="AV64" s="15">
        <f>INDEX(Coefficients!$X$15:$X$17,MATCH(Q64,Coefficients!$W$15:$W$17))</f>
        <v>1</v>
      </c>
      <c r="AW64" s="15">
        <f t="shared" si="12"/>
        <v>1</v>
      </c>
      <c r="AX64" s="15">
        <f t="shared" si="13"/>
        <v>1</v>
      </c>
      <c r="AY64" s="15">
        <f t="shared" si="14"/>
        <v>1.3</v>
      </c>
      <c r="AZ64" s="14">
        <f t="shared" si="15"/>
        <v>40.90657188289304</v>
      </c>
      <c r="BA64" s="14">
        <f t="shared" si="16"/>
        <v>0</v>
      </c>
      <c r="BB64" s="14">
        <f t="shared" si="17"/>
        <v>2.127141737910438</v>
      </c>
      <c r="BC64" s="14">
        <f t="shared" si="18"/>
        <v>1.7872858262089562</v>
      </c>
      <c r="BD64" s="14">
        <f t="shared" si="36"/>
        <v>0.48891899466070676</v>
      </c>
      <c r="BE64" s="16">
        <f t="shared" si="37"/>
        <v>119.38813487910664</v>
      </c>
      <c r="BF64" s="16">
        <f t="shared" si="38"/>
        <v>161.22373024178671</v>
      </c>
      <c r="BG64" s="17">
        <f t="shared" si="39"/>
        <v>1</v>
      </c>
      <c r="BH64" s="14">
        <f t="shared" si="40"/>
        <v>262.65389673403462</v>
      </c>
      <c r="BI64" s="14">
        <f t="shared" si="41"/>
        <v>-125.30779346806924</v>
      </c>
      <c r="BJ64" s="14">
        <f t="shared" si="42"/>
        <v>39.885358256308649</v>
      </c>
    </row>
    <row r="65" spans="2:62">
      <c r="B65" s="35" t="s">
        <v>134</v>
      </c>
      <c r="C65" s="35" t="s">
        <v>135</v>
      </c>
      <c r="D65" s="14">
        <v>2055</v>
      </c>
      <c r="E65" s="90">
        <f t="shared" si="19"/>
        <v>35.5</v>
      </c>
      <c r="F65" s="89">
        <f t="shared" si="20"/>
        <v>21.5</v>
      </c>
      <c r="G65" s="35">
        <f t="shared" si="21"/>
        <v>2005</v>
      </c>
      <c r="H65" s="91" t="str">
        <f t="shared" si="22"/>
        <v>Pile 32 @ Berth 201</v>
      </c>
      <c r="I65" s="35" t="str">
        <f t="shared" si="23"/>
        <v>Turpentine Gum</v>
      </c>
      <c r="J65" s="35" t="str">
        <f t="shared" si="24"/>
        <v>HW1</v>
      </c>
      <c r="K65" s="35" t="str">
        <f t="shared" si="25"/>
        <v>SPHU</v>
      </c>
      <c r="L65" s="35">
        <f t="shared" si="26"/>
        <v>400</v>
      </c>
      <c r="M65" s="35">
        <f t="shared" si="27"/>
        <v>20</v>
      </c>
      <c r="N65" s="35">
        <f t="shared" si="28"/>
        <v>200</v>
      </c>
      <c r="O65" s="35" t="str">
        <f t="shared" si="29"/>
        <v>MTN2</v>
      </c>
      <c r="P65" s="35" t="str">
        <f t="shared" si="30"/>
        <v>CNT2</v>
      </c>
      <c r="Q65" s="35" t="str">
        <f t="shared" si="31"/>
        <v>KNT3</v>
      </c>
      <c r="R65" s="35" t="str">
        <f t="shared" si="32"/>
        <v>E</v>
      </c>
      <c r="S65" s="35" t="str">
        <f t="shared" si="33"/>
        <v>EXP1</v>
      </c>
      <c r="T65" s="58"/>
      <c r="U65" s="58"/>
      <c r="V65" s="58"/>
      <c r="W65" s="58"/>
      <c r="X65" s="58"/>
      <c r="Y65" s="58"/>
      <c r="Z65" s="58"/>
      <c r="AA65" s="95">
        <f t="shared" si="9"/>
        <v>1</v>
      </c>
      <c r="AB65" s="96">
        <f t="shared" si="10"/>
        <v>121.51527661701708</v>
      </c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89">
        <f t="shared" si="11"/>
        <v>50</v>
      </c>
      <c r="AN65" s="5">
        <f t="shared" si="34"/>
        <v>35.5</v>
      </c>
      <c r="AO65" s="14">
        <f t="shared" si="35"/>
        <v>1.6362628753157216</v>
      </c>
      <c r="AP65" s="14">
        <f>IF((OR(R65="A",R65="B",R65="C")),INDEX(Coefficients!$S$4:$S$22,MATCH(J65,Coefficients!$R$4:$R$22)),INDEX(Coefficients!$T$4:$T$22,MATCH(J65,Coefficients!$R$4:$R$22)))</f>
        <v>1.3</v>
      </c>
      <c r="AQ65" s="27">
        <f>IF((OR(R65="A",R65="B",R65="C")),INDEX(Coefficients!$S$4:$S$22,MATCH(K65,Coefficients!$R$4:$R$22)),INDEX(Coefficients!$T$4:$T$22,MATCH(K65,Coefficients!$R$4:$R$22)))</f>
        <v>25</v>
      </c>
      <c r="AR65" s="15">
        <f>IF(OR(R65="A",R65="B",R65="C",R65="D"),IF(AN65&gt;=11,IF(AN65&gt;=26,Coefficients!$M$6,Coefficients!$M$5),Coefficients!$M$4),IF(AN65&gt;=11,IF(AN65&gt;=26,Coefficients!$N$6,Coefficients!$N$5),Coefficients!$N$4))</f>
        <v>1</v>
      </c>
      <c r="AS65" s="15">
        <f>INDEX(Coefficients!$X$3:$X$4,MATCH(S65,Coefficients!$W$3:$W$4))</f>
        <v>1</v>
      </c>
      <c r="AT65" s="15">
        <f>INDEX(Coefficients!$X$7:$X$8,MATCH(O65,Coefficients!$W$7:$W$8))</f>
        <v>1</v>
      </c>
      <c r="AU65" s="15">
        <f>INDEX(Coefficients!$X$11:$X$12,MATCH(P65,Coefficients!$W$11:$W$12))</f>
        <v>1</v>
      </c>
      <c r="AV65" s="15">
        <f>INDEX(Coefficients!$X$15:$X$17,MATCH(Q65,Coefficients!$W$15:$W$17))</f>
        <v>1</v>
      </c>
      <c r="AW65" s="15">
        <f t="shared" si="12"/>
        <v>1</v>
      </c>
      <c r="AX65" s="15">
        <f t="shared" si="13"/>
        <v>1</v>
      </c>
      <c r="AY65" s="15">
        <f t="shared" si="14"/>
        <v>1.3</v>
      </c>
      <c r="AZ65" s="14">
        <f t="shared" si="15"/>
        <v>40.90657188289304</v>
      </c>
      <c r="BA65" s="14">
        <f t="shared" si="16"/>
        <v>0</v>
      </c>
      <c r="BB65" s="14">
        <f t="shared" si="17"/>
        <v>2.127141737910438</v>
      </c>
      <c r="BC65" s="14">
        <f t="shared" si="18"/>
        <v>1.7872858262089562</v>
      </c>
      <c r="BD65" s="14">
        <f t="shared" si="36"/>
        <v>0.48891899466070676</v>
      </c>
      <c r="BE65" s="16">
        <f t="shared" si="37"/>
        <v>121.51527661701708</v>
      </c>
      <c r="BF65" s="16">
        <f t="shared" si="38"/>
        <v>156.96944676596584</v>
      </c>
      <c r="BG65" s="17">
        <f t="shared" si="39"/>
        <v>1</v>
      </c>
      <c r="BH65" s="14">
        <f t="shared" si="40"/>
        <v>267.33360855743757</v>
      </c>
      <c r="BI65" s="14">
        <f t="shared" si="41"/>
        <v>-134.66721711487514</v>
      </c>
      <c r="BJ65" s="14">
        <f t="shared" si="42"/>
        <v>39.885358256308649</v>
      </c>
    </row>
    <row r="66" spans="2:62">
      <c r="B66" s="35" t="s">
        <v>134</v>
      </c>
      <c r="C66" s="35" t="s">
        <v>135</v>
      </c>
      <c r="D66" s="14">
        <v>2056</v>
      </c>
      <c r="E66" s="90">
        <f t="shared" si="19"/>
        <v>35.5</v>
      </c>
      <c r="F66" s="89">
        <f t="shared" si="20"/>
        <v>21.5</v>
      </c>
      <c r="G66" s="35">
        <f t="shared" si="21"/>
        <v>2005</v>
      </c>
      <c r="H66" s="91" t="str">
        <f t="shared" si="22"/>
        <v>Pile 32 @ Berth 201</v>
      </c>
      <c r="I66" s="35" t="str">
        <f t="shared" si="23"/>
        <v>Turpentine Gum</v>
      </c>
      <c r="J66" s="35" t="str">
        <f t="shared" si="24"/>
        <v>HW1</v>
      </c>
      <c r="K66" s="35" t="str">
        <f t="shared" si="25"/>
        <v>SPHU</v>
      </c>
      <c r="L66" s="35">
        <f t="shared" si="26"/>
        <v>400</v>
      </c>
      <c r="M66" s="35">
        <f t="shared" si="27"/>
        <v>20</v>
      </c>
      <c r="N66" s="35">
        <f t="shared" si="28"/>
        <v>200</v>
      </c>
      <c r="O66" s="35" t="str">
        <f t="shared" si="29"/>
        <v>MTN2</v>
      </c>
      <c r="P66" s="35" t="str">
        <f t="shared" si="30"/>
        <v>CNT2</v>
      </c>
      <c r="Q66" s="35" t="str">
        <f t="shared" si="31"/>
        <v>KNT3</v>
      </c>
      <c r="R66" s="35" t="str">
        <f t="shared" si="32"/>
        <v>E</v>
      </c>
      <c r="S66" s="35" t="str">
        <f t="shared" si="33"/>
        <v>EXP1</v>
      </c>
      <c r="T66" s="58"/>
      <c r="U66" s="58"/>
      <c r="V66" s="58"/>
      <c r="W66" s="58"/>
      <c r="X66" s="58"/>
      <c r="Y66" s="58"/>
      <c r="Z66" s="58"/>
      <c r="AA66" s="95">
        <f t="shared" si="9"/>
        <v>1</v>
      </c>
      <c r="AB66" s="96">
        <f t="shared" si="10"/>
        <v>123.64241835492753</v>
      </c>
      <c r="AC66" s="58"/>
      <c r="AD66" s="58"/>
      <c r="AE66" s="58"/>
      <c r="AF66" s="58"/>
      <c r="AG66" s="58"/>
      <c r="AH66" s="58"/>
      <c r="AI66" s="58"/>
      <c r="AJ66" s="58"/>
      <c r="AK66" s="58"/>
      <c r="AL66" s="58"/>
      <c r="AM66" s="89">
        <f t="shared" si="11"/>
        <v>51</v>
      </c>
      <c r="AN66" s="5">
        <f t="shared" si="34"/>
        <v>35.5</v>
      </c>
      <c r="AO66" s="14">
        <f t="shared" si="35"/>
        <v>1.6362628753157216</v>
      </c>
      <c r="AP66" s="14">
        <f>IF((OR(R66="A",R66="B",R66="C")),INDEX(Coefficients!$S$4:$S$22,MATCH(J66,Coefficients!$R$4:$R$22)),INDEX(Coefficients!$T$4:$T$22,MATCH(J66,Coefficients!$R$4:$R$22)))</f>
        <v>1.3</v>
      </c>
      <c r="AQ66" s="27">
        <f>IF((OR(R66="A",R66="B",R66="C")),INDEX(Coefficients!$S$4:$S$22,MATCH(K66,Coefficients!$R$4:$R$22)),INDEX(Coefficients!$T$4:$T$22,MATCH(K66,Coefficients!$R$4:$R$22)))</f>
        <v>25</v>
      </c>
      <c r="AR66" s="15">
        <f>IF(OR(R66="A",R66="B",R66="C",R66="D"),IF(AN66&gt;=11,IF(AN66&gt;=26,Coefficients!$M$6,Coefficients!$M$5),Coefficients!$M$4),IF(AN66&gt;=11,IF(AN66&gt;=26,Coefficients!$N$6,Coefficients!$N$5),Coefficients!$N$4))</f>
        <v>1</v>
      </c>
      <c r="AS66" s="15">
        <f>INDEX(Coefficients!$X$3:$X$4,MATCH(S66,Coefficients!$W$3:$W$4))</f>
        <v>1</v>
      </c>
      <c r="AT66" s="15">
        <f>INDEX(Coefficients!$X$7:$X$8,MATCH(O66,Coefficients!$W$7:$W$8))</f>
        <v>1</v>
      </c>
      <c r="AU66" s="15">
        <f>INDEX(Coefficients!$X$11:$X$12,MATCH(P66,Coefficients!$W$11:$W$12))</f>
        <v>1</v>
      </c>
      <c r="AV66" s="15">
        <f>INDEX(Coefficients!$X$15:$X$17,MATCH(Q66,Coefficients!$W$15:$W$17))</f>
        <v>1</v>
      </c>
      <c r="AW66" s="15">
        <f t="shared" si="12"/>
        <v>1</v>
      </c>
      <c r="AX66" s="15">
        <f t="shared" si="13"/>
        <v>1</v>
      </c>
      <c r="AY66" s="15">
        <f t="shared" si="14"/>
        <v>1.3</v>
      </c>
      <c r="AZ66" s="14">
        <f t="shared" si="15"/>
        <v>40.90657188289304</v>
      </c>
      <c r="BA66" s="14">
        <f t="shared" si="16"/>
        <v>0</v>
      </c>
      <c r="BB66" s="14">
        <f t="shared" si="17"/>
        <v>2.127141737910438</v>
      </c>
      <c r="BC66" s="14">
        <f t="shared" si="18"/>
        <v>1.7872858262089562</v>
      </c>
      <c r="BD66" s="14">
        <f t="shared" si="36"/>
        <v>0.48891899466070676</v>
      </c>
      <c r="BE66" s="16">
        <f t="shared" si="37"/>
        <v>123.64241835492753</v>
      </c>
      <c r="BF66" s="16">
        <f t="shared" si="38"/>
        <v>152.71516329014494</v>
      </c>
      <c r="BG66" s="17">
        <f t="shared" si="39"/>
        <v>1</v>
      </c>
      <c r="BH66" s="14">
        <f t="shared" si="40"/>
        <v>272.01332038084058</v>
      </c>
      <c r="BI66" s="14">
        <f t="shared" si="41"/>
        <v>-144.02664076168116</v>
      </c>
      <c r="BJ66" s="14">
        <f t="shared" si="42"/>
        <v>39.885358256308649</v>
      </c>
    </row>
    <row r="67" spans="2:62">
      <c r="B67" s="35" t="s">
        <v>134</v>
      </c>
      <c r="C67" s="35" t="s">
        <v>135</v>
      </c>
      <c r="D67" s="14">
        <v>2057</v>
      </c>
      <c r="E67" s="90">
        <f t="shared" si="19"/>
        <v>35.5</v>
      </c>
      <c r="F67" s="89">
        <f t="shared" si="20"/>
        <v>21.5</v>
      </c>
      <c r="G67" s="35">
        <f t="shared" si="21"/>
        <v>2005</v>
      </c>
      <c r="H67" s="91" t="str">
        <f t="shared" si="22"/>
        <v>Pile 32 @ Berth 201</v>
      </c>
      <c r="I67" s="35" t="str">
        <f t="shared" si="23"/>
        <v>Turpentine Gum</v>
      </c>
      <c r="J67" s="35" t="str">
        <f t="shared" si="24"/>
        <v>HW1</v>
      </c>
      <c r="K67" s="35" t="str">
        <f t="shared" si="25"/>
        <v>SPHU</v>
      </c>
      <c r="L67" s="35">
        <f t="shared" si="26"/>
        <v>400</v>
      </c>
      <c r="M67" s="35">
        <f t="shared" si="27"/>
        <v>20</v>
      </c>
      <c r="N67" s="35">
        <f t="shared" si="28"/>
        <v>200</v>
      </c>
      <c r="O67" s="35" t="str">
        <f t="shared" si="29"/>
        <v>MTN2</v>
      </c>
      <c r="P67" s="35" t="str">
        <f t="shared" si="30"/>
        <v>CNT2</v>
      </c>
      <c r="Q67" s="35" t="str">
        <f t="shared" si="31"/>
        <v>KNT3</v>
      </c>
      <c r="R67" s="35" t="str">
        <f t="shared" si="32"/>
        <v>E</v>
      </c>
      <c r="S67" s="35" t="str">
        <f t="shared" si="33"/>
        <v>EXP1</v>
      </c>
      <c r="T67" s="58"/>
      <c r="U67" s="58"/>
      <c r="V67" s="58"/>
      <c r="W67" s="58"/>
      <c r="X67" s="58"/>
      <c r="Y67" s="58"/>
      <c r="Z67" s="58"/>
      <c r="AA67" s="95">
        <f t="shared" si="9"/>
        <v>1</v>
      </c>
      <c r="AB67" s="96">
        <f t="shared" si="10"/>
        <v>125.76956009283796</v>
      </c>
      <c r="AC67" s="58"/>
      <c r="AD67" s="58"/>
      <c r="AE67" s="58"/>
      <c r="AF67" s="58"/>
      <c r="AG67" s="58"/>
      <c r="AH67" s="58"/>
      <c r="AI67" s="58"/>
      <c r="AJ67" s="58"/>
      <c r="AK67" s="58"/>
      <c r="AL67" s="58"/>
      <c r="AM67" s="89">
        <f t="shared" si="11"/>
        <v>52</v>
      </c>
      <c r="AN67" s="5">
        <f t="shared" si="34"/>
        <v>35.5</v>
      </c>
      <c r="AO67" s="14">
        <f t="shared" si="35"/>
        <v>1.6362628753157216</v>
      </c>
      <c r="AP67" s="14">
        <f>IF((OR(R67="A",R67="B",R67="C")),INDEX(Coefficients!$S$4:$S$22,MATCH(J67,Coefficients!$R$4:$R$22)),INDEX(Coefficients!$T$4:$T$22,MATCH(J67,Coefficients!$R$4:$R$22)))</f>
        <v>1.3</v>
      </c>
      <c r="AQ67" s="27">
        <f>IF((OR(R67="A",R67="B",R67="C")),INDEX(Coefficients!$S$4:$S$22,MATCH(K67,Coefficients!$R$4:$R$22)),INDEX(Coefficients!$T$4:$T$22,MATCH(K67,Coefficients!$R$4:$R$22)))</f>
        <v>25</v>
      </c>
      <c r="AR67" s="15">
        <f>IF(OR(R67="A",R67="B",R67="C",R67="D"),IF(AN67&gt;=11,IF(AN67&gt;=26,Coefficients!$M$6,Coefficients!$M$5),Coefficients!$M$4),IF(AN67&gt;=11,IF(AN67&gt;=26,Coefficients!$N$6,Coefficients!$N$5),Coefficients!$N$4))</f>
        <v>1</v>
      </c>
      <c r="AS67" s="15">
        <f>INDEX(Coefficients!$X$3:$X$4,MATCH(S67,Coefficients!$W$3:$W$4))</f>
        <v>1</v>
      </c>
      <c r="AT67" s="15">
        <f>INDEX(Coefficients!$X$7:$X$8,MATCH(O67,Coefficients!$W$7:$W$8))</f>
        <v>1</v>
      </c>
      <c r="AU67" s="15">
        <f>INDEX(Coefficients!$X$11:$X$12,MATCH(P67,Coefficients!$W$11:$W$12))</f>
        <v>1</v>
      </c>
      <c r="AV67" s="15">
        <f>INDEX(Coefficients!$X$15:$X$17,MATCH(Q67,Coefficients!$W$15:$W$17))</f>
        <v>1</v>
      </c>
      <c r="AW67" s="15">
        <f t="shared" si="12"/>
        <v>1</v>
      </c>
      <c r="AX67" s="15">
        <f t="shared" si="13"/>
        <v>1</v>
      </c>
      <c r="AY67" s="15">
        <f t="shared" si="14"/>
        <v>1.3</v>
      </c>
      <c r="AZ67" s="14">
        <f t="shared" si="15"/>
        <v>40.90657188289304</v>
      </c>
      <c r="BA67" s="14">
        <f t="shared" si="16"/>
        <v>0</v>
      </c>
      <c r="BB67" s="14">
        <f t="shared" si="17"/>
        <v>2.127141737910438</v>
      </c>
      <c r="BC67" s="14">
        <f t="shared" si="18"/>
        <v>1.7872858262089562</v>
      </c>
      <c r="BD67" s="14">
        <f t="shared" si="36"/>
        <v>0.48891899466070676</v>
      </c>
      <c r="BE67" s="16">
        <f t="shared" si="37"/>
        <v>125.76956009283796</v>
      </c>
      <c r="BF67" s="16">
        <f t="shared" si="38"/>
        <v>148.46087981432407</v>
      </c>
      <c r="BG67" s="17">
        <f t="shared" si="39"/>
        <v>1</v>
      </c>
      <c r="BH67" s="14">
        <f t="shared" si="40"/>
        <v>276.69303220424354</v>
      </c>
      <c r="BI67" s="14">
        <f t="shared" si="41"/>
        <v>-153.38606440848707</v>
      </c>
      <c r="BJ67" s="14">
        <f t="shared" si="42"/>
        <v>39.885358256308649</v>
      </c>
    </row>
    <row r="68" spans="2:62">
      <c r="B68" s="35" t="s">
        <v>134</v>
      </c>
      <c r="C68" s="35" t="s">
        <v>135</v>
      </c>
      <c r="D68" s="14">
        <v>2058</v>
      </c>
      <c r="E68" s="90">
        <f t="shared" si="19"/>
        <v>35.5</v>
      </c>
      <c r="F68" s="89">
        <f t="shared" si="20"/>
        <v>21.5</v>
      </c>
      <c r="G68" s="35">
        <f t="shared" si="21"/>
        <v>2005</v>
      </c>
      <c r="H68" s="91" t="str">
        <f t="shared" si="22"/>
        <v>Pile 32 @ Berth 201</v>
      </c>
      <c r="I68" s="35" t="str">
        <f t="shared" si="23"/>
        <v>Turpentine Gum</v>
      </c>
      <c r="J68" s="35" t="str">
        <f t="shared" si="24"/>
        <v>HW1</v>
      </c>
      <c r="K68" s="35" t="str">
        <f t="shared" si="25"/>
        <v>SPHU</v>
      </c>
      <c r="L68" s="35">
        <f t="shared" si="26"/>
        <v>400</v>
      </c>
      <c r="M68" s="35">
        <f t="shared" si="27"/>
        <v>20</v>
      </c>
      <c r="N68" s="35">
        <f t="shared" si="28"/>
        <v>200</v>
      </c>
      <c r="O68" s="35" t="str">
        <f t="shared" si="29"/>
        <v>MTN2</v>
      </c>
      <c r="P68" s="35" t="str">
        <f t="shared" si="30"/>
        <v>CNT2</v>
      </c>
      <c r="Q68" s="35" t="str">
        <f t="shared" si="31"/>
        <v>KNT3</v>
      </c>
      <c r="R68" s="35" t="str">
        <f t="shared" si="32"/>
        <v>E</v>
      </c>
      <c r="S68" s="35" t="str">
        <f t="shared" si="33"/>
        <v>EXP1</v>
      </c>
      <c r="T68" s="58"/>
      <c r="U68" s="58"/>
      <c r="V68" s="58"/>
      <c r="W68" s="58"/>
      <c r="X68" s="58"/>
      <c r="Y68" s="58"/>
      <c r="Z68" s="58"/>
      <c r="AA68" s="95">
        <f t="shared" si="9"/>
        <v>1</v>
      </c>
      <c r="AB68" s="96">
        <f t="shared" si="10"/>
        <v>127.8967018307484</v>
      </c>
      <c r="AC68" s="58"/>
      <c r="AD68" s="58"/>
      <c r="AE68" s="58"/>
      <c r="AF68" s="58"/>
      <c r="AG68" s="58"/>
      <c r="AH68" s="58"/>
      <c r="AI68" s="58"/>
      <c r="AJ68" s="58"/>
      <c r="AK68" s="58"/>
      <c r="AL68" s="58"/>
      <c r="AM68" s="89">
        <f t="shared" si="11"/>
        <v>53</v>
      </c>
      <c r="AN68" s="5">
        <f t="shared" si="34"/>
        <v>35.5</v>
      </c>
      <c r="AO68" s="14">
        <f t="shared" si="35"/>
        <v>1.6362628753157216</v>
      </c>
      <c r="AP68" s="14">
        <f>IF((OR(R68="A",R68="B",R68="C")),INDEX(Coefficients!$S$4:$S$22,MATCH(J68,Coefficients!$R$4:$R$22)),INDEX(Coefficients!$T$4:$T$22,MATCH(J68,Coefficients!$R$4:$R$22)))</f>
        <v>1.3</v>
      </c>
      <c r="AQ68" s="27">
        <f>IF((OR(R68="A",R68="B",R68="C")),INDEX(Coefficients!$S$4:$S$22,MATCH(K68,Coefficients!$R$4:$R$22)),INDEX(Coefficients!$T$4:$T$22,MATCH(K68,Coefficients!$R$4:$R$22)))</f>
        <v>25</v>
      </c>
      <c r="AR68" s="15">
        <f>IF(OR(R68="A",R68="B",R68="C",R68="D"),IF(AN68&gt;=11,IF(AN68&gt;=26,Coefficients!$M$6,Coefficients!$M$5),Coefficients!$M$4),IF(AN68&gt;=11,IF(AN68&gt;=26,Coefficients!$N$6,Coefficients!$N$5),Coefficients!$N$4))</f>
        <v>1</v>
      </c>
      <c r="AS68" s="15">
        <f>INDEX(Coefficients!$X$3:$X$4,MATCH(S68,Coefficients!$W$3:$W$4))</f>
        <v>1</v>
      </c>
      <c r="AT68" s="15">
        <f>INDEX(Coefficients!$X$7:$X$8,MATCH(O68,Coefficients!$W$7:$W$8))</f>
        <v>1</v>
      </c>
      <c r="AU68" s="15">
        <f>INDEX(Coefficients!$X$11:$X$12,MATCH(P68,Coefficients!$W$11:$W$12))</f>
        <v>1</v>
      </c>
      <c r="AV68" s="15">
        <f>INDEX(Coefficients!$X$15:$X$17,MATCH(Q68,Coefficients!$W$15:$W$17))</f>
        <v>1</v>
      </c>
      <c r="AW68" s="15">
        <f t="shared" si="12"/>
        <v>1</v>
      </c>
      <c r="AX68" s="15">
        <f t="shared" si="13"/>
        <v>1</v>
      </c>
      <c r="AY68" s="15">
        <f t="shared" si="14"/>
        <v>1.3</v>
      </c>
      <c r="AZ68" s="14">
        <f t="shared" si="15"/>
        <v>40.90657188289304</v>
      </c>
      <c r="BA68" s="14">
        <f t="shared" si="16"/>
        <v>0</v>
      </c>
      <c r="BB68" s="14">
        <f t="shared" si="17"/>
        <v>2.127141737910438</v>
      </c>
      <c r="BC68" s="14">
        <f t="shared" si="18"/>
        <v>1.7872858262089562</v>
      </c>
      <c r="BD68" s="14">
        <f t="shared" si="36"/>
        <v>0.48891899466070676</v>
      </c>
      <c r="BE68" s="16">
        <f t="shared" si="37"/>
        <v>127.8967018307484</v>
      </c>
      <c r="BF68" s="16">
        <f t="shared" si="38"/>
        <v>144.2065963385032</v>
      </c>
      <c r="BG68" s="17">
        <f t="shared" si="39"/>
        <v>1</v>
      </c>
      <c r="BH68" s="14">
        <f t="shared" si="40"/>
        <v>281.37274402764649</v>
      </c>
      <c r="BI68" s="14">
        <f t="shared" si="41"/>
        <v>-162.74548805529298</v>
      </c>
      <c r="BJ68" s="14">
        <f t="shared" si="42"/>
        <v>39.885358256308649</v>
      </c>
    </row>
    <row r="69" spans="2:62">
      <c r="B69" s="35" t="s">
        <v>134</v>
      </c>
      <c r="C69" s="35" t="s">
        <v>135</v>
      </c>
      <c r="D69" s="14">
        <v>2059</v>
      </c>
      <c r="E69" s="90">
        <f t="shared" si="19"/>
        <v>35.5</v>
      </c>
      <c r="F69" s="89">
        <f t="shared" si="20"/>
        <v>21.5</v>
      </c>
      <c r="G69" s="35">
        <f t="shared" si="21"/>
        <v>2005</v>
      </c>
      <c r="H69" s="91" t="str">
        <f t="shared" si="22"/>
        <v>Pile 32 @ Berth 201</v>
      </c>
      <c r="I69" s="35" t="str">
        <f t="shared" si="23"/>
        <v>Turpentine Gum</v>
      </c>
      <c r="J69" s="35" t="str">
        <f t="shared" si="24"/>
        <v>HW1</v>
      </c>
      <c r="K69" s="35" t="str">
        <f t="shared" si="25"/>
        <v>SPHU</v>
      </c>
      <c r="L69" s="35">
        <f t="shared" si="26"/>
        <v>400</v>
      </c>
      <c r="M69" s="35">
        <f t="shared" si="27"/>
        <v>20</v>
      </c>
      <c r="N69" s="35">
        <f t="shared" si="28"/>
        <v>200</v>
      </c>
      <c r="O69" s="35" t="str">
        <f t="shared" si="29"/>
        <v>MTN2</v>
      </c>
      <c r="P69" s="35" t="str">
        <f t="shared" si="30"/>
        <v>CNT2</v>
      </c>
      <c r="Q69" s="35" t="str">
        <f t="shared" si="31"/>
        <v>KNT3</v>
      </c>
      <c r="R69" s="35" t="str">
        <f t="shared" si="32"/>
        <v>E</v>
      </c>
      <c r="S69" s="35" t="str">
        <f t="shared" si="33"/>
        <v>EXP1</v>
      </c>
      <c r="T69" s="58"/>
      <c r="U69" s="58"/>
      <c r="V69" s="58"/>
      <c r="W69" s="58"/>
      <c r="X69" s="58"/>
      <c r="Y69" s="58"/>
      <c r="Z69" s="58"/>
      <c r="AA69" s="95">
        <f t="shared" si="9"/>
        <v>1</v>
      </c>
      <c r="AB69" s="96">
        <f t="shared" si="10"/>
        <v>130.02384356865883</v>
      </c>
      <c r="AC69" s="58"/>
      <c r="AD69" s="58"/>
      <c r="AE69" s="58"/>
      <c r="AF69" s="58"/>
      <c r="AG69" s="58"/>
      <c r="AH69" s="58"/>
      <c r="AI69" s="58"/>
      <c r="AJ69" s="58"/>
      <c r="AK69" s="58"/>
      <c r="AL69" s="58"/>
      <c r="AM69" s="89">
        <f t="shared" si="11"/>
        <v>54</v>
      </c>
      <c r="AN69" s="5">
        <f t="shared" si="34"/>
        <v>35.5</v>
      </c>
      <c r="AO69" s="14">
        <f t="shared" si="35"/>
        <v>1.6362628753157216</v>
      </c>
      <c r="AP69" s="14">
        <f>IF((OR(R69="A",R69="B",R69="C")),INDEX(Coefficients!$S$4:$S$22,MATCH(J69,Coefficients!$R$4:$R$22)),INDEX(Coefficients!$T$4:$T$22,MATCH(J69,Coefficients!$R$4:$R$22)))</f>
        <v>1.3</v>
      </c>
      <c r="AQ69" s="27">
        <f>IF((OR(R69="A",R69="B",R69="C")),INDEX(Coefficients!$S$4:$S$22,MATCH(K69,Coefficients!$R$4:$R$22)),INDEX(Coefficients!$T$4:$T$22,MATCH(K69,Coefficients!$R$4:$R$22)))</f>
        <v>25</v>
      </c>
      <c r="AR69" s="15">
        <f>IF(OR(R69="A",R69="B",R69="C",R69="D"),IF(AN69&gt;=11,IF(AN69&gt;=26,Coefficients!$M$6,Coefficients!$M$5),Coefficients!$M$4),IF(AN69&gt;=11,IF(AN69&gt;=26,Coefficients!$N$6,Coefficients!$N$5),Coefficients!$N$4))</f>
        <v>1</v>
      </c>
      <c r="AS69" s="15">
        <f>INDEX(Coefficients!$X$3:$X$4,MATCH(S69,Coefficients!$W$3:$W$4))</f>
        <v>1</v>
      </c>
      <c r="AT69" s="15">
        <f>INDEX(Coefficients!$X$7:$X$8,MATCH(O69,Coefficients!$W$7:$W$8))</f>
        <v>1</v>
      </c>
      <c r="AU69" s="15">
        <f>INDEX(Coefficients!$X$11:$X$12,MATCH(P69,Coefficients!$W$11:$W$12))</f>
        <v>1</v>
      </c>
      <c r="AV69" s="15">
        <f>INDEX(Coefficients!$X$15:$X$17,MATCH(Q69,Coefficients!$W$15:$W$17))</f>
        <v>1</v>
      </c>
      <c r="AW69" s="15">
        <f t="shared" si="12"/>
        <v>1</v>
      </c>
      <c r="AX69" s="15">
        <f t="shared" si="13"/>
        <v>1</v>
      </c>
      <c r="AY69" s="15">
        <f t="shared" si="14"/>
        <v>1.3</v>
      </c>
      <c r="AZ69" s="14">
        <f t="shared" si="15"/>
        <v>40.90657188289304</v>
      </c>
      <c r="BA69" s="14">
        <f t="shared" si="16"/>
        <v>0</v>
      </c>
      <c r="BB69" s="14">
        <f t="shared" si="17"/>
        <v>2.127141737910438</v>
      </c>
      <c r="BC69" s="14">
        <f t="shared" si="18"/>
        <v>1.7872858262089562</v>
      </c>
      <c r="BD69" s="14">
        <f t="shared" si="36"/>
        <v>0.48891899466070676</v>
      </c>
      <c r="BE69" s="16">
        <f t="shared" si="37"/>
        <v>130.02384356865883</v>
      </c>
      <c r="BF69" s="16">
        <f t="shared" si="38"/>
        <v>139.95231286268233</v>
      </c>
      <c r="BG69" s="17">
        <f t="shared" si="39"/>
        <v>1</v>
      </c>
      <c r="BH69" s="14">
        <f t="shared" si="40"/>
        <v>286.05245585104944</v>
      </c>
      <c r="BI69" s="14">
        <f t="shared" si="41"/>
        <v>-172.10491170209889</v>
      </c>
      <c r="BJ69" s="14">
        <f t="shared" si="42"/>
        <v>39.885358256308649</v>
      </c>
    </row>
    <row r="70" spans="2:62">
      <c r="B70" s="35" t="s">
        <v>134</v>
      </c>
      <c r="C70" s="35" t="s">
        <v>135</v>
      </c>
      <c r="D70" s="14">
        <v>2060</v>
      </c>
      <c r="E70" s="90">
        <f t="shared" si="19"/>
        <v>35.5</v>
      </c>
      <c r="F70" s="89">
        <f t="shared" si="20"/>
        <v>21.5</v>
      </c>
      <c r="G70" s="35">
        <f t="shared" si="21"/>
        <v>2005</v>
      </c>
      <c r="H70" s="91" t="str">
        <f t="shared" si="22"/>
        <v>Pile 32 @ Berth 201</v>
      </c>
      <c r="I70" s="35" t="str">
        <f t="shared" si="23"/>
        <v>Turpentine Gum</v>
      </c>
      <c r="J70" s="35" t="str">
        <f t="shared" si="24"/>
        <v>HW1</v>
      </c>
      <c r="K70" s="35" t="str">
        <f t="shared" si="25"/>
        <v>SPHU</v>
      </c>
      <c r="L70" s="35">
        <f t="shared" si="26"/>
        <v>400</v>
      </c>
      <c r="M70" s="35">
        <f t="shared" si="27"/>
        <v>20</v>
      </c>
      <c r="N70" s="35">
        <f t="shared" si="28"/>
        <v>200</v>
      </c>
      <c r="O70" s="35" t="str">
        <f t="shared" si="29"/>
        <v>MTN2</v>
      </c>
      <c r="P70" s="35" t="str">
        <f t="shared" si="30"/>
        <v>CNT2</v>
      </c>
      <c r="Q70" s="35" t="str">
        <f t="shared" si="31"/>
        <v>KNT3</v>
      </c>
      <c r="R70" s="35" t="str">
        <f t="shared" si="32"/>
        <v>E</v>
      </c>
      <c r="S70" s="35" t="str">
        <f t="shared" si="33"/>
        <v>EXP1</v>
      </c>
      <c r="T70" s="58"/>
      <c r="U70" s="58"/>
      <c r="V70" s="58"/>
      <c r="W70" s="58"/>
      <c r="X70" s="58"/>
      <c r="Y70" s="58"/>
      <c r="Z70" s="58"/>
      <c r="AA70" s="95">
        <f t="shared" si="9"/>
        <v>1</v>
      </c>
      <c r="AB70" s="96">
        <f t="shared" si="10"/>
        <v>132.15098530656928</v>
      </c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89">
        <f t="shared" si="11"/>
        <v>55</v>
      </c>
      <c r="AN70" s="5">
        <f t="shared" si="34"/>
        <v>35.5</v>
      </c>
      <c r="AO70" s="14">
        <f t="shared" si="35"/>
        <v>1.6362628753157216</v>
      </c>
      <c r="AP70" s="14">
        <f>IF((OR(R70="A",R70="B",R70="C")),INDEX(Coefficients!$S$4:$S$22,MATCH(J70,Coefficients!$R$4:$R$22)),INDEX(Coefficients!$T$4:$T$22,MATCH(J70,Coefficients!$R$4:$R$22)))</f>
        <v>1.3</v>
      </c>
      <c r="AQ70" s="27">
        <f>IF((OR(R70="A",R70="B",R70="C")),INDEX(Coefficients!$S$4:$S$22,MATCH(K70,Coefficients!$R$4:$R$22)),INDEX(Coefficients!$T$4:$T$22,MATCH(K70,Coefficients!$R$4:$R$22)))</f>
        <v>25</v>
      </c>
      <c r="AR70" s="15">
        <f>IF(OR(R70="A",R70="B",R70="C",R70="D"),IF(AN70&gt;=11,IF(AN70&gt;=26,Coefficients!$M$6,Coefficients!$M$5),Coefficients!$M$4),IF(AN70&gt;=11,IF(AN70&gt;=26,Coefficients!$N$6,Coefficients!$N$5),Coefficients!$N$4))</f>
        <v>1</v>
      </c>
      <c r="AS70" s="15">
        <f>INDEX(Coefficients!$X$3:$X$4,MATCH(S70,Coefficients!$W$3:$W$4))</f>
        <v>1</v>
      </c>
      <c r="AT70" s="15">
        <f>INDEX(Coefficients!$X$7:$X$8,MATCH(O70,Coefficients!$W$7:$W$8))</f>
        <v>1</v>
      </c>
      <c r="AU70" s="15">
        <f>INDEX(Coefficients!$X$11:$X$12,MATCH(P70,Coefficients!$W$11:$W$12))</f>
        <v>1</v>
      </c>
      <c r="AV70" s="15">
        <f>INDEX(Coefficients!$X$15:$X$17,MATCH(Q70,Coefficients!$W$15:$W$17))</f>
        <v>1</v>
      </c>
      <c r="AW70" s="15">
        <f t="shared" si="12"/>
        <v>1</v>
      </c>
      <c r="AX70" s="15">
        <f t="shared" si="13"/>
        <v>1</v>
      </c>
      <c r="AY70" s="15">
        <f t="shared" si="14"/>
        <v>1.3</v>
      </c>
      <c r="AZ70" s="14">
        <f t="shared" si="15"/>
        <v>40.90657188289304</v>
      </c>
      <c r="BA70" s="14">
        <f t="shared" si="16"/>
        <v>0</v>
      </c>
      <c r="BB70" s="14">
        <f t="shared" si="17"/>
        <v>2.127141737910438</v>
      </c>
      <c r="BC70" s="14">
        <f t="shared" si="18"/>
        <v>1.7872858262089562</v>
      </c>
      <c r="BD70" s="14">
        <f t="shared" si="36"/>
        <v>0.48891899466070676</v>
      </c>
      <c r="BE70" s="16">
        <f t="shared" si="37"/>
        <v>132.15098530656928</v>
      </c>
      <c r="BF70" s="16">
        <f t="shared" si="38"/>
        <v>135.69802938686144</v>
      </c>
      <c r="BG70" s="17">
        <f t="shared" si="39"/>
        <v>1</v>
      </c>
      <c r="BH70" s="14">
        <f t="shared" si="40"/>
        <v>290.73216767445246</v>
      </c>
      <c r="BI70" s="14">
        <f t="shared" si="41"/>
        <v>-181.46433534890491</v>
      </c>
      <c r="BJ70" s="14">
        <f t="shared" si="42"/>
        <v>39.885358256308649</v>
      </c>
    </row>
    <row r="71" spans="2:62">
      <c r="B71" s="35" t="s">
        <v>134</v>
      </c>
      <c r="C71" s="35" t="s">
        <v>135</v>
      </c>
      <c r="D71" s="14">
        <v>2061</v>
      </c>
      <c r="E71" s="90">
        <f t="shared" si="19"/>
        <v>35.5</v>
      </c>
      <c r="F71" s="89">
        <f t="shared" si="20"/>
        <v>21.5</v>
      </c>
      <c r="G71" s="35">
        <f t="shared" si="21"/>
        <v>2005</v>
      </c>
      <c r="H71" s="91" t="str">
        <f t="shared" si="22"/>
        <v>Pile 32 @ Berth 201</v>
      </c>
      <c r="I71" s="35" t="str">
        <f t="shared" si="23"/>
        <v>Turpentine Gum</v>
      </c>
      <c r="J71" s="35" t="str">
        <f t="shared" si="24"/>
        <v>HW1</v>
      </c>
      <c r="K71" s="35" t="str">
        <f t="shared" si="25"/>
        <v>SPHU</v>
      </c>
      <c r="L71" s="35">
        <f t="shared" si="26"/>
        <v>400</v>
      </c>
      <c r="M71" s="35">
        <f t="shared" si="27"/>
        <v>20</v>
      </c>
      <c r="N71" s="35">
        <f t="shared" si="28"/>
        <v>200</v>
      </c>
      <c r="O71" s="35" t="str">
        <f t="shared" si="29"/>
        <v>MTN2</v>
      </c>
      <c r="P71" s="35" t="str">
        <f t="shared" si="30"/>
        <v>CNT2</v>
      </c>
      <c r="Q71" s="35" t="str">
        <f t="shared" si="31"/>
        <v>KNT3</v>
      </c>
      <c r="R71" s="35" t="str">
        <f t="shared" si="32"/>
        <v>E</v>
      </c>
      <c r="S71" s="35" t="str">
        <f t="shared" si="33"/>
        <v>EXP1</v>
      </c>
      <c r="T71" s="58"/>
      <c r="U71" s="58"/>
      <c r="V71" s="58"/>
      <c r="W71" s="58"/>
      <c r="X71" s="58"/>
      <c r="Y71" s="58"/>
      <c r="Z71" s="58"/>
      <c r="AA71" s="95">
        <f t="shared" si="9"/>
        <v>1</v>
      </c>
      <c r="AB71" s="96">
        <f t="shared" si="10"/>
        <v>134.27812704447973</v>
      </c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89">
        <f t="shared" si="11"/>
        <v>56</v>
      </c>
      <c r="AN71" s="5">
        <f t="shared" si="34"/>
        <v>35.5</v>
      </c>
      <c r="AO71" s="14">
        <f t="shared" si="35"/>
        <v>1.6362628753157216</v>
      </c>
      <c r="AP71" s="14">
        <f>IF((OR(R71="A",R71="B",R71="C")),INDEX(Coefficients!$S$4:$S$22,MATCH(J71,Coefficients!$R$4:$R$22)),INDEX(Coefficients!$T$4:$T$22,MATCH(J71,Coefficients!$R$4:$R$22)))</f>
        <v>1.3</v>
      </c>
      <c r="AQ71" s="27">
        <f>IF((OR(R71="A",R71="B",R71="C")),INDEX(Coefficients!$S$4:$S$22,MATCH(K71,Coefficients!$R$4:$R$22)),INDEX(Coefficients!$T$4:$T$22,MATCH(K71,Coefficients!$R$4:$R$22)))</f>
        <v>25</v>
      </c>
      <c r="AR71" s="15">
        <f>IF(OR(R71="A",R71="B",R71="C",R71="D"),IF(AN71&gt;=11,IF(AN71&gt;=26,Coefficients!$M$6,Coefficients!$M$5),Coefficients!$M$4),IF(AN71&gt;=11,IF(AN71&gt;=26,Coefficients!$N$6,Coefficients!$N$5),Coefficients!$N$4))</f>
        <v>1</v>
      </c>
      <c r="AS71" s="15">
        <f>INDEX(Coefficients!$X$3:$X$4,MATCH(S71,Coefficients!$W$3:$W$4))</f>
        <v>1</v>
      </c>
      <c r="AT71" s="15">
        <f>INDEX(Coefficients!$X$7:$X$8,MATCH(O71,Coefficients!$W$7:$W$8))</f>
        <v>1</v>
      </c>
      <c r="AU71" s="15">
        <f>INDEX(Coefficients!$X$11:$X$12,MATCH(P71,Coefficients!$W$11:$W$12))</f>
        <v>1</v>
      </c>
      <c r="AV71" s="15">
        <f>INDEX(Coefficients!$X$15:$X$17,MATCH(Q71,Coefficients!$W$15:$W$17))</f>
        <v>1</v>
      </c>
      <c r="AW71" s="15">
        <f t="shared" si="12"/>
        <v>1</v>
      </c>
      <c r="AX71" s="15">
        <f t="shared" si="13"/>
        <v>1</v>
      </c>
      <c r="AY71" s="15">
        <f t="shared" si="14"/>
        <v>1.3</v>
      </c>
      <c r="AZ71" s="14">
        <f t="shared" si="15"/>
        <v>40.90657188289304</v>
      </c>
      <c r="BA71" s="14">
        <f t="shared" si="16"/>
        <v>0</v>
      </c>
      <c r="BB71" s="14">
        <f t="shared" si="17"/>
        <v>2.127141737910438</v>
      </c>
      <c r="BC71" s="14">
        <f t="shared" si="18"/>
        <v>1.7872858262089562</v>
      </c>
      <c r="BD71" s="14">
        <f t="shared" si="36"/>
        <v>0.48891899466070676</v>
      </c>
      <c r="BE71" s="16">
        <f t="shared" si="37"/>
        <v>134.27812704447973</v>
      </c>
      <c r="BF71" s="16">
        <f t="shared" si="38"/>
        <v>131.44374591104054</v>
      </c>
      <c r="BG71" s="17">
        <f t="shared" si="39"/>
        <v>1</v>
      </c>
      <c r="BH71" s="14">
        <f t="shared" si="40"/>
        <v>295.41187949785541</v>
      </c>
      <c r="BI71" s="14">
        <f t="shared" si="41"/>
        <v>-190.82375899571082</v>
      </c>
      <c r="BJ71" s="14">
        <f t="shared" si="42"/>
        <v>39.885358256308649</v>
      </c>
    </row>
    <row r="72" spans="2:62">
      <c r="B72" s="35" t="s">
        <v>134</v>
      </c>
      <c r="C72" s="35" t="s">
        <v>135</v>
      </c>
      <c r="D72" s="14">
        <v>2062</v>
      </c>
      <c r="E72" s="90">
        <f t="shared" si="19"/>
        <v>35.5</v>
      </c>
      <c r="F72" s="89">
        <f t="shared" si="20"/>
        <v>21.5</v>
      </c>
      <c r="G72" s="35">
        <f t="shared" si="21"/>
        <v>2005</v>
      </c>
      <c r="H72" s="91" t="str">
        <f t="shared" si="22"/>
        <v>Pile 32 @ Berth 201</v>
      </c>
      <c r="I72" s="35" t="str">
        <f t="shared" si="23"/>
        <v>Turpentine Gum</v>
      </c>
      <c r="J72" s="35" t="str">
        <f t="shared" si="24"/>
        <v>HW1</v>
      </c>
      <c r="K72" s="35" t="str">
        <f t="shared" si="25"/>
        <v>SPHU</v>
      </c>
      <c r="L72" s="35">
        <f t="shared" si="26"/>
        <v>400</v>
      </c>
      <c r="M72" s="35">
        <f t="shared" si="27"/>
        <v>20</v>
      </c>
      <c r="N72" s="35">
        <f t="shared" si="28"/>
        <v>200</v>
      </c>
      <c r="O72" s="35" t="str">
        <f t="shared" si="29"/>
        <v>MTN2</v>
      </c>
      <c r="P72" s="35" t="str">
        <f t="shared" si="30"/>
        <v>CNT2</v>
      </c>
      <c r="Q72" s="35" t="str">
        <f t="shared" si="31"/>
        <v>KNT3</v>
      </c>
      <c r="R72" s="35" t="str">
        <f t="shared" si="32"/>
        <v>E</v>
      </c>
      <c r="S72" s="35" t="str">
        <f t="shared" si="33"/>
        <v>EXP1</v>
      </c>
      <c r="T72" s="58"/>
      <c r="U72" s="58"/>
      <c r="V72" s="58"/>
      <c r="W72" s="58"/>
      <c r="X72" s="58"/>
      <c r="Y72" s="58"/>
      <c r="Z72" s="58"/>
      <c r="AA72" s="95">
        <f t="shared" si="9"/>
        <v>1</v>
      </c>
      <c r="AB72" s="96">
        <f t="shared" si="10"/>
        <v>136.40526878239015</v>
      </c>
      <c r="AC72" s="58"/>
      <c r="AD72" s="58"/>
      <c r="AE72" s="58"/>
      <c r="AF72" s="58"/>
      <c r="AG72" s="58"/>
      <c r="AH72" s="58"/>
      <c r="AI72" s="58"/>
      <c r="AJ72" s="58"/>
      <c r="AK72" s="58"/>
      <c r="AL72" s="58"/>
      <c r="AM72" s="89">
        <f t="shared" si="11"/>
        <v>57</v>
      </c>
      <c r="AN72" s="5">
        <f t="shared" si="34"/>
        <v>35.5</v>
      </c>
      <c r="AO72" s="14">
        <f t="shared" si="35"/>
        <v>1.6362628753157216</v>
      </c>
      <c r="AP72" s="14">
        <f>IF((OR(R72="A",R72="B",R72="C")),INDEX(Coefficients!$S$4:$S$22,MATCH(J72,Coefficients!$R$4:$R$22)),INDEX(Coefficients!$T$4:$T$22,MATCH(J72,Coefficients!$R$4:$R$22)))</f>
        <v>1.3</v>
      </c>
      <c r="AQ72" s="27">
        <f>IF((OR(R72="A",R72="B",R72="C")),INDEX(Coefficients!$S$4:$S$22,MATCH(K72,Coefficients!$R$4:$R$22)),INDEX(Coefficients!$T$4:$T$22,MATCH(K72,Coefficients!$R$4:$R$22)))</f>
        <v>25</v>
      </c>
      <c r="AR72" s="15">
        <f>IF(OR(R72="A",R72="B",R72="C",R72="D"),IF(AN72&gt;=11,IF(AN72&gt;=26,Coefficients!$M$6,Coefficients!$M$5),Coefficients!$M$4),IF(AN72&gt;=11,IF(AN72&gt;=26,Coefficients!$N$6,Coefficients!$N$5),Coefficients!$N$4))</f>
        <v>1</v>
      </c>
      <c r="AS72" s="15">
        <f>INDEX(Coefficients!$X$3:$X$4,MATCH(S72,Coefficients!$W$3:$W$4))</f>
        <v>1</v>
      </c>
      <c r="AT72" s="15">
        <f>INDEX(Coefficients!$X$7:$X$8,MATCH(O72,Coefficients!$W$7:$W$8))</f>
        <v>1</v>
      </c>
      <c r="AU72" s="15">
        <f>INDEX(Coefficients!$X$11:$X$12,MATCH(P72,Coefficients!$W$11:$W$12))</f>
        <v>1</v>
      </c>
      <c r="AV72" s="15">
        <f>INDEX(Coefficients!$X$15:$X$17,MATCH(Q72,Coefficients!$W$15:$W$17))</f>
        <v>1</v>
      </c>
      <c r="AW72" s="15">
        <f t="shared" si="12"/>
        <v>1</v>
      </c>
      <c r="AX72" s="15">
        <f t="shared" si="13"/>
        <v>1</v>
      </c>
      <c r="AY72" s="15">
        <f t="shared" si="14"/>
        <v>1.3</v>
      </c>
      <c r="AZ72" s="14">
        <f t="shared" si="15"/>
        <v>40.90657188289304</v>
      </c>
      <c r="BA72" s="14">
        <f t="shared" si="16"/>
        <v>0</v>
      </c>
      <c r="BB72" s="14">
        <f t="shared" si="17"/>
        <v>2.127141737910438</v>
      </c>
      <c r="BC72" s="14">
        <f t="shared" si="18"/>
        <v>1.7872858262089562</v>
      </c>
      <c r="BD72" s="14">
        <f t="shared" si="36"/>
        <v>0.48891899466070676</v>
      </c>
      <c r="BE72" s="16">
        <f t="shared" si="37"/>
        <v>136.40526878239015</v>
      </c>
      <c r="BF72" s="16">
        <f t="shared" si="38"/>
        <v>127.1894624352197</v>
      </c>
      <c r="BG72" s="17">
        <f t="shared" si="39"/>
        <v>1</v>
      </c>
      <c r="BH72" s="14">
        <f t="shared" si="40"/>
        <v>300.09159132125836</v>
      </c>
      <c r="BI72" s="14">
        <f t="shared" si="41"/>
        <v>-200.18318264251673</v>
      </c>
      <c r="BJ72" s="14">
        <f t="shared" si="42"/>
        <v>39.885358256308649</v>
      </c>
    </row>
    <row r="73" spans="2:62">
      <c r="B73" s="35" t="s">
        <v>134</v>
      </c>
      <c r="C73" s="35" t="s">
        <v>135</v>
      </c>
      <c r="D73" s="14">
        <v>2063</v>
      </c>
      <c r="E73" s="90">
        <f t="shared" si="19"/>
        <v>35.5</v>
      </c>
      <c r="F73" s="89">
        <f t="shared" si="20"/>
        <v>21.5</v>
      </c>
      <c r="G73" s="35">
        <f t="shared" si="21"/>
        <v>2005</v>
      </c>
      <c r="H73" s="91" t="str">
        <f t="shared" si="22"/>
        <v>Pile 32 @ Berth 201</v>
      </c>
      <c r="I73" s="35" t="str">
        <f t="shared" si="23"/>
        <v>Turpentine Gum</v>
      </c>
      <c r="J73" s="35" t="str">
        <f t="shared" si="24"/>
        <v>HW1</v>
      </c>
      <c r="K73" s="35" t="str">
        <f t="shared" si="25"/>
        <v>SPHU</v>
      </c>
      <c r="L73" s="35">
        <f t="shared" si="26"/>
        <v>400</v>
      </c>
      <c r="M73" s="35">
        <f t="shared" si="27"/>
        <v>20</v>
      </c>
      <c r="N73" s="35">
        <f t="shared" si="28"/>
        <v>200</v>
      </c>
      <c r="O73" s="35" t="str">
        <f t="shared" si="29"/>
        <v>MTN2</v>
      </c>
      <c r="P73" s="35" t="str">
        <f t="shared" si="30"/>
        <v>CNT2</v>
      </c>
      <c r="Q73" s="35" t="str">
        <f t="shared" si="31"/>
        <v>KNT3</v>
      </c>
      <c r="R73" s="35" t="str">
        <f t="shared" si="32"/>
        <v>E</v>
      </c>
      <c r="S73" s="35" t="str">
        <f t="shared" si="33"/>
        <v>EXP1</v>
      </c>
      <c r="T73" s="58"/>
      <c r="U73" s="58"/>
      <c r="V73" s="58"/>
      <c r="W73" s="58"/>
      <c r="X73" s="58"/>
      <c r="Y73" s="58"/>
      <c r="Z73" s="58"/>
      <c r="AA73" s="95">
        <f t="shared" si="9"/>
        <v>1</v>
      </c>
      <c r="AB73" s="96">
        <f t="shared" si="10"/>
        <v>138.53241052030057</v>
      </c>
      <c r="AC73" s="58"/>
      <c r="AD73" s="58"/>
      <c r="AE73" s="58"/>
      <c r="AF73" s="58"/>
      <c r="AG73" s="58"/>
      <c r="AH73" s="58"/>
      <c r="AI73" s="58"/>
      <c r="AJ73" s="58"/>
      <c r="AK73" s="58"/>
      <c r="AL73" s="58"/>
      <c r="AM73" s="89">
        <f t="shared" si="11"/>
        <v>58</v>
      </c>
      <c r="AN73" s="5">
        <f t="shared" si="34"/>
        <v>35.5</v>
      </c>
      <c r="AO73" s="14">
        <f t="shared" si="35"/>
        <v>1.6362628753157216</v>
      </c>
      <c r="AP73" s="14">
        <f>IF((OR(R73="A",R73="B",R73="C")),INDEX(Coefficients!$S$4:$S$22,MATCH(J73,Coefficients!$R$4:$R$22)),INDEX(Coefficients!$T$4:$T$22,MATCH(J73,Coefficients!$R$4:$R$22)))</f>
        <v>1.3</v>
      </c>
      <c r="AQ73" s="27">
        <f>IF((OR(R73="A",R73="B",R73="C")),INDEX(Coefficients!$S$4:$S$22,MATCH(K73,Coefficients!$R$4:$R$22)),INDEX(Coefficients!$T$4:$T$22,MATCH(K73,Coefficients!$R$4:$R$22)))</f>
        <v>25</v>
      </c>
      <c r="AR73" s="15">
        <f>IF(OR(R73="A",R73="B",R73="C",R73="D"),IF(AN73&gt;=11,IF(AN73&gt;=26,Coefficients!$M$6,Coefficients!$M$5),Coefficients!$M$4),IF(AN73&gt;=11,IF(AN73&gt;=26,Coefficients!$N$6,Coefficients!$N$5),Coefficients!$N$4))</f>
        <v>1</v>
      </c>
      <c r="AS73" s="15">
        <f>INDEX(Coefficients!$X$3:$X$4,MATCH(S73,Coefficients!$W$3:$W$4))</f>
        <v>1</v>
      </c>
      <c r="AT73" s="15">
        <f>INDEX(Coefficients!$X$7:$X$8,MATCH(O73,Coefficients!$W$7:$W$8))</f>
        <v>1</v>
      </c>
      <c r="AU73" s="15">
        <f>INDEX(Coefficients!$X$11:$X$12,MATCH(P73,Coefficients!$W$11:$W$12))</f>
        <v>1</v>
      </c>
      <c r="AV73" s="15">
        <f>INDEX(Coefficients!$X$15:$X$17,MATCH(Q73,Coefficients!$W$15:$W$17))</f>
        <v>1</v>
      </c>
      <c r="AW73" s="15">
        <f t="shared" si="12"/>
        <v>1</v>
      </c>
      <c r="AX73" s="15">
        <f t="shared" si="13"/>
        <v>1</v>
      </c>
      <c r="AY73" s="15">
        <f t="shared" si="14"/>
        <v>1.3</v>
      </c>
      <c r="AZ73" s="14">
        <f t="shared" si="15"/>
        <v>40.90657188289304</v>
      </c>
      <c r="BA73" s="14">
        <f t="shared" si="16"/>
        <v>0</v>
      </c>
      <c r="BB73" s="14">
        <f t="shared" si="17"/>
        <v>2.127141737910438</v>
      </c>
      <c r="BC73" s="14">
        <f t="shared" si="18"/>
        <v>1.7872858262089562</v>
      </c>
      <c r="BD73" s="14">
        <f t="shared" si="36"/>
        <v>0.48891899466070676</v>
      </c>
      <c r="BE73" s="16">
        <f t="shared" si="37"/>
        <v>138.53241052030057</v>
      </c>
      <c r="BF73" s="16">
        <f t="shared" si="38"/>
        <v>122.93517895939885</v>
      </c>
      <c r="BG73" s="17">
        <f t="shared" si="39"/>
        <v>1</v>
      </c>
      <c r="BH73" s="14">
        <f t="shared" si="40"/>
        <v>304.77130314466126</v>
      </c>
      <c r="BI73" s="14">
        <f t="shared" si="41"/>
        <v>-209.54260628932252</v>
      </c>
      <c r="BJ73" s="14">
        <f t="shared" si="42"/>
        <v>39.885358256308649</v>
      </c>
    </row>
    <row r="74" spans="2:62">
      <c r="B74" s="35" t="s">
        <v>134</v>
      </c>
      <c r="C74" s="35" t="s">
        <v>135</v>
      </c>
      <c r="D74" s="14">
        <v>2064</v>
      </c>
      <c r="E74" s="90">
        <f t="shared" si="19"/>
        <v>35.5</v>
      </c>
      <c r="F74" s="89">
        <f t="shared" si="20"/>
        <v>21.5</v>
      </c>
      <c r="G74" s="35">
        <f t="shared" si="21"/>
        <v>2005</v>
      </c>
      <c r="H74" s="91" t="str">
        <f t="shared" si="22"/>
        <v>Pile 32 @ Berth 201</v>
      </c>
      <c r="I74" s="35" t="str">
        <f t="shared" si="23"/>
        <v>Turpentine Gum</v>
      </c>
      <c r="J74" s="35" t="str">
        <f t="shared" si="24"/>
        <v>HW1</v>
      </c>
      <c r="K74" s="35" t="str">
        <f t="shared" si="25"/>
        <v>SPHU</v>
      </c>
      <c r="L74" s="35">
        <f t="shared" si="26"/>
        <v>400</v>
      </c>
      <c r="M74" s="35">
        <f t="shared" si="27"/>
        <v>20</v>
      </c>
      <c r="N74" s="35">
        <f t="shared" si="28"/>
        <v>200</v>
      </c>
      <c r="O74" s="35" t="str">
        <f t="shared" si="29"/>
        <v>MTN2</v>
      </c>
      <c r="P74" s="35" t="str">
        <f t="shared" si="30"/>
        <v>CNT2</v>
      </c>
      <c r="Q74" s="35" t="str">
        <f t="shared" si="31"/>
        <v>KNT3</v>
      </c>
      <c r="R74" s="35" t="str">
        <f t="shared" si="32"/>
        <v>E</v>
      </c>
      <c r="S74" s="35" t="str">
        <f t="shared" si="33"/>
        <v>EXP1</v>
      </c>
      <c r="T74" s="58"/>
      <c r="U74" s="58"/>
      <c r="V74" s="58"/>
      <c r="W74" s="58"/>
      <c r="X74" s="58"/>
      <c r="Y74" s="58"/>
      <c r="Z74" s="58"/>
      <c r="AA74" s="95">
        <f t="shared" si="9"/>
        <v>1</v>
      </c>
      <c r="AB74" s="96">
        <f t="shared" si="10"/>
        <v>140.65955225821102</v>
      </c>
      <c r="AC74" s="58"/>
      <c r="AD74" s="58"/>
      <c r="AE74" s="58"/>
      <c r="AF74" s="58"/>
      <c r="AG74" s="58"/>
      <c r="AH74" s="58"/>
      <c r="AI74" s="58"/>
      <c r="AJ74" s="58"/>
      <c r="AK74" s="58"/>
      <c r="AL74" s="58"/>
      <c r="AM74" s="89">
        <f t="shared" si="11"/>
        <v>59</v>
      </c>
      <c r="AN74" s="5">
        <f t="shared" ref="AN74:AN80" si="43">E74</f>
        <v>35.5</v>
      </c>
      <c r="AO74" s="14">
        <f t="shared" ref="AO74:AO80" si="44">0.1*EXP(0.13*F74)</f>
        <v>1.6362628753157216</v>
      </c>
      <c r="AP74" s="14">
        <f>IF((OR(R74="A",R74="B",R74="C")),INDEX(Coefficients!$S$4:$S$22,MATCH(J74,Coefficients!$R$4:$R$22)),INDEX(Coefficients!$T$4:$T$22,MATCH(J74,Coefficients!$R$4:$R$22)))</f>
        <v>1.3</v>
      </c>
      <c r="AQ74" s="27">
        <f>IF((OR(R74="A",R74="B",R74="C")),INDEX(Coefficients!$S$4:$S$22,MATCH(K74,Coefficients!$R$4:$R$22)),INDEX(Coefficients!$T$4:$T$22,MATCH(K74,Coefficients!$R$4:$R$22)))</f>
        <v>25</v>
      </c>
      <c r="AR74" s="15">
        <f>IF(OR(R74="A",R74="B",R74="C",R74="D"),IF(AN74&gt;=11,IF(AN74&gt;=26,Coefficients!$M$6,Coefficients!$M$5),Coefficients!$M$4),IF(AN74&gt;=11,IF(AN74&gt;=26,Coefficients!$N$6,Coefficients!$N$5),Coefficients!$N$4))</f>
        <v>1</v>
      </c>
      <c r="AS74" s="15">
        <f>INDEX(Coefficients!$X$3:$X$4,MATCH(S74,Coefficients!$W$3:$W$4))</f>
        <v>1</v>
      </c>
      <c r="AT74" s="15">
        <f>INDEX(Coefficients!$X$7:$X$8,MATCH(O74,Coefficients!$W$7:$W$8))</f>
        <v>1</v>
      </c>
      <c r="AU74" s="15">
        <f>INDEX(Coefficients!$X$11:$X$12,MATCH(P74,Coefficients!$W$11:$W$12))</f>
        <v>1</v>
      </c>
      <c r="AV74" s="15">
        <f>INDEX(Coefficients!$X$15:$X$17,MATCH(Q74,Coefficients!$W$15:$W$17))</f>
        <v>1</v>
      </c>
      <c r="AW74" s="15">
        <f t="shared" si="12"/>
        <v>1</v>
      </c>
      <c r="AX74" s="15">
        <f t="shared" si="13"/>
        <v>1</v>
      </c>
      <c r="AY74" s="15">
        <f t="shared" si="14"/>
        <v>1.3</v>
      </c>
      <c r="AZ74" s="14">
        <f t="shared" si="15"/>
        <v>40.90657188289304</v>
      </c>
      <c r="BA74" s="14">
        <f t="shared" si="16"/>
        <v>0</v>
      </c>
      <c r="BB74" s="14">
        <f t="shared" si="17"/>
        <v>2.127141737910438</v>
      </c>
      <c r="BC74" s="14">
        <f t="shared" si="18"/>
        <v>1.7872858262089562</v>
      </c>
      <c r="BD74" s="14">
        <f t="shared" ref="BD74:BD80" si="45">M74/AZ74+BA74</f>
        <v>0.48891899466070676</v>
      </c>
      <c r="BE74" s="16">
        <f t="shared" ref="BE74:BE80" si="46">IF(AM74&lt;=0,0,IF(AM74&gt;(BD74+BC74),M74+(AM74-BD74-BC74)*BB74,M74))</f>
        <v>140.65955225821102</v>
      </c>
      <c r="BF74" s="16">
        <f t="shared" ref="BF74:BF80" si="47">L74-2*BE74</f>
        <v>118.68089548357796</v>
      </c>
      <c r="BG74" s="17">
        <f t="shared" ref="BG74:BG80" si="48">IF(2*BE74&gt;(L74-N74),1,BE74/((L74-N74)/2))</f>
        <v>1</v>
      </c>
      <c r="BH74" s="14">
        <f t="shared" ref="BH74:BH80" si="49">BE74*(1+$BF$1*$BF$2)</f>
        <v>309.45101496806427</v>
      </c>
      <c r="BI74" s="14">
        <f t="shared" ref="BI74:BI80" si="50">L74-2*BH74</f>
        <v>-218.90202993612854</v>
      </c>
      <c r="BJ74" s="14">
        <f t="shared" ref="BJ74:BJ80" si="51">($BF$3/2-M74)/BB74+BD74+BC74</f>
        <v>39.885358256308649</v>
      </c>
    </row>
    <row r="75" spans="2:62">
      <c r="B75" s="35" t="s">
        <v>134</v>
      </c>
      <c r="C75" s="35" t="s">
        <v>135</v>
      </c>
      <c r="D75" s="14">
        <v>2065</v>
      </c>
      <c r="E75" s="90">
        <f t="shared" si="19"/>
        <v>35.5</v>
      </c>
      <c r="F75" s="89">
        <f t="shared" si="20"/>
        <v>21.5</v>
      </c>
      <c r="G75" s="35">
        <f t="shared" si="21"/>
        <v>2005</v>
      </c>
      <c r="H75" s="91" t="str">
        <f t="shared" si="22"/>
        <v>Pile 32 @ Berth 201</v>
      </c>
      <c r="I75" s="35" t="str">
        <f t="shared" si="23"/>
        <v>Turpentine Gum</v>
      </c>
      <c r="J75" s="35" t="str">
        <f t="shared" si="24"/>
        <v>HW1</v>
      </c>
      <c r="K75" s="35" t="str">
        <f t="shared" si="25"/>
        <v>SPHU</v>
      </c>
      <c r="L75" s="35">
        <f t="shared" si="26"/>
        <v>400</v>
      </c>
      <c r="M75" s="35">
        <f t="shared" si="27"/>
        <v>20</v>
      </c>
      <c r="N75" s="35">
        <f t="shared" si="28"/>
        <v>200</v>
      </c>
      <c r="O75" s="35" t="str">
        <f t="shared" si="29"/>
        <v>MTN2</v>
      </c>
      <c r="P75" s="35" t="str">
        <f t="shared" si="30"/>
        <v>CNT2</v>
      </c>
      <c r="Q75" s="35" t="str">
        <f t="shared" si="31"/>
        <v>KNT3</v>
      </c>
      <c r="R75" s="35" t="str">
        <f t="shared" si="32"/>
        <v>E</v>
      </c>
      <c r="S75" s="35" t="str">
        <f t="shared" si="33"/>
        <v>EXP1</v>
      </c>
      <c r="T75" s="58"/>
      <c r="U75" s="58"/>
      <c r="V75" s="58"/>
      <c r="W75" s="58"/>
      <c r="X75" s="58"/>
      <c r="Y75" s="58"/>
      <c r="Z75" s="58"/>
      <c r="AA75" s="95">
        <f t="shared" ref="AA75:AA138" si="52">BG75</f>
        <v>1</v>
      </c>
      <c r="AB75" s="96">
        <f t="shared" ref="AB75:AB80" si="53">BE75</f>
        <v>142.78669399612147</v>
      </c>
      <c r="AC75" s="58"/>
      <c r="AD75" s="58"/>
      <c r="AE75" s="58"/>
      <c r="AF75" s="58"/>
      <c r="AG75" s="58"/>
      <c r="AH75" s="58"/>
      <c r="AI75" s="58"/>
      <c r="AJ75" s="58"/>
      <c r="AK75" s="58"/>
      <c r="AL75" s="58"/>
      <c r="AM75" s="89">
        <f t="shared" ref="AM75:AM80" si="54">MAX(0,D75-G75)</f>
        <v>60</v>
      </c>
      <c r="AN75" s="5">
        <f t="shared" si="43"/>
        <v>35.5</v>
      </c>
      <c r="AO75" s="14">
        <f t="shared" si="44"/>
        <v>1.6362628753157216</v>
      </c>
      <c r="AP75" s="14">
        <f>IF((OR(R75="A",R75="B",R75="C")),INDEX(Coefficients!$S$4:$S$22,MATCH(J75,Coefficients!$R$4:$R$22)),INDEX(Coefficients!$T$4:$T$22,MATCH(J75,Coefficients!$R$4:$R$22)))</f>
        <v>1.3</v>
      </c>
      <c r="AQ75" s="27">
        <f>IF((OR(R75="A",R75="B",R75="C")),INDEX(Coefficients!$S$4:$S$22,MATCH(K75,Coefficients!$R$4:$R$22)),INDEX(Coefficients!$T$4:$T$22,MATCH(K75,Coefficients!$R$4:$R$22)))</f>
        <v>25</v>
      </c>
      <c r="AR75" s="15">
        <f>IF(OR(R75="A",R75="B",R75="C",R75="D"),IF(AN75&gt;=11,IF(AN75&gt;=26,Coefficients!$M$6,Coefficients!$M$5),Coefficients!$M$4),IF(AN75&gt;=11,IF(AN75&gt;=26,Coefficients!$N$6,Coefficients!$N$5),Coefficients!$N$4))</f>
        <v>1</v>
      </c>
      <c r="AS75" s="15">
        <f>INDEX(Coefficients!$X$3:$X$4,MATCH(S75,Coefficients!$W$3:$W$4))</f>
        <v>1</v>
      </c>
      <c r="AT75" s="15">
        <f>INDEX(Coefficients!$X$7:$X$8,MATCH(O75,Coefficients!$W$7:$W$8))</f>
        <v>1</v>
      </c>
      <c r="AU75" s="15">
        <f>INDEX(Coefficients!$X$11:$X$12,MATCH(P75,Coefficients!$W$11:$W$12))</f>
        <v>1</v>
      </c>
      <c r="AV75" s="15">
        <f>INDEX(Coefficients!$X$15:$X$17,MATCH(Q75,Coefficients!$W$15:$W$17))</f>
        <v>1</v>
      </c>
      <c r="AW75" s="15">
        <f t="shared" ref="AW75:AW80" si="55">AR75*AS75</f>
        <v>1</v>
      </c>
      <c r="AX75" s="15">
        <f t="shared" ref="AX75:AX80" si="56">AT75*AU75*AV75</f>
        <v>1</v>
      </c>
      <c r="AY75" s="15">
        <f t="shared" ref="AY75:AY80" si="57">AP75*AR75*AS75*AT75*AU75*AV75</f>
        <v>1.3</v>
      </c>
      <c r="AZ75" s="14">
        <f t="shared" ref="AZ75:AZ80" si="58">AO75*AQ75*AW75*AX75</f>
        <v>40.90657188289304</v>
      </c>
      <c r="BA75" s="14">
        <f t="shared" ref="BA75:BA80" si="59">IF(AZ75&gt;=20,0,2-0.1*AZ75)</f>
        <v>0</v>
      </c>
      <c r="BB75" s="14">
        <f t="shared" ref="BB75:BB80" si="60">AO75*AP75*AR75*AS75*AT75*AU75*AV75</f>
        <v>2.127141737910438</v>
      </c>
      <c r="BC75" s="14">
        <f t="shared" ref="BC75:BC80" si="61">IF(BB75&gt;=20,0,2-0.1*BB75)</f>
        <v>1.7872858262089562</v>
      </c>
      <c r="BD75" s="14">
        <f t="shared" si="45"/>
        <v>0.48891899466070676</v>
      </c>
      <c r="BE75" s="16">
        <f t="shared" si="46"/>
        <v>142.78669399612147</v>
      </c>
      <c r="BF75" s="16">
        <f t="shared" si="47"/>
        <v>114.42661200775706</v>
      </c>
      <c r="BG75" s="17">
        <f t="shared" si="48"/>
        <v>1</v>
      </c>
      <c r="BH75" s="14">
        <f t="shared" si="49"/>
        <v>314.13072679146728</v>
      </c>
      <c r="BI75" s="14">
        <f t="shared" si="50"/>
        <v>-228.26145358293456</v>
      </c>
      <c r="BJ75" s="14">
        <f t="shared" si="51"/>
        <v>39.885358256308649</v>
      </c>
    </row>
    <row r="76" spans="2:62">
      <c r="B76" s="35" t="s">
        <v>134</v>
      </c>
      <c r="C76" s="35" t="s">
        <v>135</v>
      </c>
      <c r="D76" s="14">
        <v>2066</v>
      </c>
      <c r="E76" s="90">
        <f t="shared" ref="E76:E80" si="62">E75</f>
        <v>35.5</v>
      </c>
      <c r="F76" s="89">
        <f t="shared" ref="F76:F80" si="63">F75</f>
        <v>21.5</v>
      </c>
      <c r="G76" s="35">
        <f>$G$10</f>
        <v>2005</v>
      </c>
      <c r="H76" s="91" t="str">
        <f t="shared" ref="H76:H139" si="64">$H$10</f>
        <v>Pile 32 @ Berth 201</v>
      </c>
      <c r="I76" s="35" t="str">
        <f t="shared" ref="I76:I139" si="65">$I$10</f>
        <v>Turpentine Gum</v>
      </c>
      <c r="J76" s="35" t="str">
        <f t="shared" ref="J76:J139" si="66">$J$10</f>
        <v>HW1</v>
      </c>
      <c r="K76" s="35" t="str">
        <f>$K$10</f>
        <v>SPHU</v>
      </c>
      <c r="L76" s="35">
        <f t="shared" ref="L76:L139" si="67">$L$10</f>
        <v>400</v>
      </c>
      <c r="M76" s="35">
        <f t="shared" ref="M76:M139" si="68">$M$10</f>
        <v>20</v>
      </c>
      <c r="N76" s="35">
        <f t="shared" ref="N76:N139" si="69">$N$10</f>
        <v>200</v>
      </c>
      <c r="O76" s="35" t="str">
        <f t="shared" ref="O76:O139" si="70">$O$10</f>
        <v>MTN2</v>
      </c>
      <c r="P76" s="35" t="str">
        <f t="shared" ref="P76:P139" si="71">$P$10</f>
        <v>CNT2</v>
      </c>
      <c r="Q76" s="35" t="str">
        <f t="shared" ref="Q76:Q139" si="72">$Q$10</f>
        <v>KNT3</v>
      </c>
      <c r="R76" s="35" t="str">
        <f t="shared" ref="R76:R139" si="73">$R$10</f>
        <v>E</v>
      </c>
      <c r="S76" s="35" t="str">
        <f t="shared" ref="S76:S139" si="74">$S$10</f>
        <v>EXP1</v>
      </c>
      <c r="T76" s="58"/>
      <c r="U76" s="58"/>
      <c r="V76" s="58"/>
      <c r="W76" s="58"/>
      <c r="X76" s="58"/>
      <c r="Y76" s="58"/>
      <c r="Z76" s="58"/>
      <c r="AA76" s="95">
        <f t="shared" si="52"/>
        <v>1</v>
      </c>
      <c r="AB76" s="96">
        <f t="shared" si="53"/>
        <v>144.91383573403192</v>
      </c>
      <c r="AC76" s="58"/>
      <c r="AD76" s="58"/>
      <c r="AE76" s="58"/>
      <c r="AF76" s="58"/>
      <c r="AG76" s="58"/>
      <c r="AH76" s="58"/>
      <c r="AI76" s="58"/>
      <c r="AJ76" s="58"/>
      <c r="AK76" s="58"/>
      <c r="AL76" s="58"/>
      <c r="AM76" s="89">
        <f t="shared" si="54"/>
        <v>61</v>
      </c>
      <c r="AN76" s="5">
        <f t="shared" si="43"/>
        <v>35.5</v>
      </c>
      <c r="AO76" s="14">
        <f t="shared" si="44"/>
        <v>1.6362628753157216</v>
      </c>
      <c r="AP76" s="14">
        <f>IF((OR(R76="A",R76="B",R76="C")),INDEX(Coefficients!$S$4:$S$22,MATCH(J76,Coefficients!$R$4:$R$22)),INDEX(Coefficients!$T$4:$T$22,MATCH(J76,Coefficients!$R$4:$R$22)))</f>
        <v>1.3</v>
      </c>
      <c r="AQ76" s="27">
        <f>IF((OR(R76="A",R76="B",R76="C")),INDEX(Coefficients!$S$4:$S$22,MATCH(K76,Coefficients!$R$4:$R$22)),INDEX(Coefficients!$T$4:$T$22,MATCH(K76,Coefficients!$R$4:$R$22)))</f>
        <v>25</v>
      </c>
      <c r="AR76" s="15">
        <f>IF(OR(R76="A",R76="B",R76="C",R76="D"),IF(AN76&gt;=11,IF(AN76&gt;=26,Coefficients!$M$6,Coefficients!$M$5),Coefficients!$M$4),IF(AN76&gt;=11,IF(AN76&gt;=26,Coefficients!$N$6,Coefficients!$N$5),Coefficients!$N$4))</f>
        <v>1</v>
      </c>
      <c r="AS76" s="15">
        <f>INDEX(Coefficients!$X$3:$X$4,MATCH(S76,Coefficients!$W$3:$W$4))</f>
        <v>1</v>
      </c>
      <c r="AT76" s="15">
        <f>INDEX(Coefficients!$X$7:$X$8,MATCH(O76,Coefficients!$W$7:$W$8))</f>
        <v>1</v>
      </c>
      <c r="AU76" s="15">
        <f>INDEX(Coefficients!$X$11:$X$12,MATCH(P76,Coefficients!$W$11:$W$12))</f>
        <v>1</v>
      </c>
      <c r="AV76" s="15">
        <f>INDEX(Coefficients!$X$15:$X$17,MATCH(Q76,Coefficients!$W$15:$W$17))</f>
        <v>1</v>
      </c>
      <c r="AW76" s="15">
        <f t="shared" si="55"/>
        <v>1</v>
      </c>
      <c r="AX76" s="15">
        <f t="shared" si="56"/>
        <v>1</v>
      </c>
      <c r="AY76" s="15">
        <f t="shared" si="57"/>
        <v>1.3</v>
      </c>
      <c r="AZ76" s="14">
        <f t="shared" si="58"/>
        <v>40.90657188289304</v>
      </c>
      <c r="BA76" s="14">
        <f t="shared" si="59"/>
        <v>0</v>
      </c>
      <c r="BB76" s="14">
        <f t="shared" si="60"/>
        <v>2.127141737910438</v>
      </c>
      <c r="BC76" s="14">
        <f t="shared" si="61"/>
        <v>1.7872858262089562</v>
      </c>
      <c r="BD76" s="14">
        <f t="shared" si="45"/>
        <v>0.48891899466070676</v>
      </c>
      <c r="BE76" s="16">
        <f t="shared" si="46"/>
        <v>144.91383573403192</v>
      </c>
      <c r="BF76" s="16">
        <f t="shared" si="47"/>
        <v>110.17232853193616</v>
      </c>
      <c r="BG76" s="17">
        <f t="shared" si="48"/>
        <v>1</v>
      </c>
      <c r="BH76" s="14">
        <f t="shared" si="49"/>
        <v>318.81043861487024</v>
      </c>
      <c r="BI76" s="14">
        <f t="shared" si="50"/>
        <v>-237.62087722974047</v>
      </c>
      <c r="BJ76" s="14">
        <f t="shared" si="51"/>
        <v>39.885358256308649</v>
      </c>
    </row>
    <row r="77" spans="2:62">
      <c r="B77" s="35" t="s">
        <v>134</v>
      </c>
      <c r="C77" s="35" t="s">
        <v>135</v>
      </c>
      <c r="D77" s="14">
        <v>2067</v>
      </c>
      <c r="E77" s="90">
        <f t="shared" si="62"/>
        <v>35.5</v>
      </c>
      <c r="F77" s="89">
        <f t="shared" si="63"/>
        <v>21.5</v>
      </c>
      <c r="G77" s="35">
        <f>$G$10</f>
        <v>2005</v>
      </c>
      <c r="H77" s="91" t="str">
        <f t="shared" si="64"/>
        <v>Pile 32 @ Berth 201</v>
      </c>
      <c r="I77" s="35" t="str">
        <f t="shared" si="65"/>
        <v>Turpentine Gum</v>
      </c>
      <c r="J77" s="35" t="str">
        <f t="shared" si="66"/>
        <v>HW1</v>
      </c>
      <c r="K77" s="35" t="str">
        <f>$K$10</f>
        <v>SPHU</v>
      </c>
      <c r="L77" s="35">
        <f t="shared" si="67"/>
        <v>400</v>
      </c>
      <c r="M77" s="35">
        <f t="shared" si="68"/>
        <v>20</v>
      </c>
      <c r="N77" s="35">
        <f t="shared" si="69"/>
        <v>200</v>
      </c>
      <c r="O77" s="35" t="str">
        <f t="shared" si="70"/>
        <v>MTN2</v>
      </c>
      <c r="P77" s="35" t="str">
        <f t="shared" si="71"/>
        <v>CNT2</v>
      </c>
      <c r="Q77" s="35" t="str">
        <f t="shared" si="72"/>
        <v>KNT3</v>
      </c>
      <c r="R77" s="35" t="str">
        <f t="shared" si="73"/>
        <v>E</v>
      </c>
      <c r="S77" s="35" t="str">
        <f t="shared" si="74"/>
        <v>EXP1</v>
      </c>
      <c r="T77" s="58"/>
      <c r="U77" s="58"/>
      <c r="V77" s="58"/>
      <c r="W77" s="58"/>
      <c r="X77" s="58"/>
      <c r="Y77" s="58"/>
      <c r="Z77" s="58"/>
      <c r="AA77" s="95">
        <f t="shared" si="52"/>
        <v>1</v>
      </c>
      <c r="AB77" s="96">
        <f t="shared" si="53"/>
        <v>147.04097747194234</v>
      </c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89">
        <f t="shared" si="54"/>
        <v>62</v>
      </c>
      <c r="AN77" s="5">
        <f t="shared" si="43"/>
        <v>35.5</v>
      </c>
      <c r="AO77" s="14">
        <f t="shared" si="44"/>
        <v>1.6362628753157216</v>
      </c>
      <c r="AP77" s="14">
        <f>IF((OR(R77="A",R77="B",R77="C")),INDEX(Coefficients!$S$4:$S$22,MATCH(J77,Coefficients!$R$4:$R$22)),INDEX(Coefficients!$T$4:$T$22,MATCH(J77,Coefficients!$R$4:$R$22)))</f>
        <v>1.3</v>
      </c>
      <c r="AQ77" s="27">
        <f>IF((OR(R77="A",R77="B",R77="C")),INDEX(Coefficients!$S$4:$S$22,MATCH(K77,Coefficients!$R$4:$R$22)),INDEX(Coefficients!$T$4:$T$22,MATCH(K77,Coefficients!$R$4:$R$22)))</f>
        <v>25</v>
      </c>
      <c r="AR77" s="15">
        <f>IF(OR(R77="A",R77="B",R77="C",R77="D"),IF(AN77&gt;=11,IF(AN77&gt;=26,Coefficients!$M$6,Coefficients!$M$5),Coefficients!$M$4),IF(AN77&gt;=11,IF(AN77&gt;=26,Coefficients!$N$6,Coefficients!$N$5),Coefficients!$N$4))</f>
        <v>1</v>
      </c>
      <c r="AS77" s="15">
        <f>INDEX(Coefficients!$X$3:$X$4,MATCH(S77,Coefficients!$W$3:$W$4))</f>
        <v>1</v>
      </c>
      <c r="AT77" s="15">
        <f>INDEX(Coefficients!$X$7:$X$8,MATCH(O77,Coefficients!$W$7:$W$8))</f>
        <v>1</v>
      </c>
      <c r="AU77" s="15">
        <f>INDEX(Coefficients!$X$11:$X$12,MATCH(P77,Coefficients!$W$11:$W$12))</f>
        <v>1</v>
      </c>
      <c r="AV77" s="15">
        <f>INDEX(Coefficients!$X$15:$X$17,MATCH(Q77,Coefficients!$W$15:$W$17))</f>
        <v>1</v>
      </c>
      <c r="AW77" s="15">
        <f t="shared" si="55"/>
        <v>1</v>
      </c>
      <c r="AX77" s="15">
        <f t="shared" si="56"/>
        <v>1</v>
      </c>
      <c r="AY77" s="15">
        <f t="shared" si="57"/>
        <v>1.3</v>
      </c>
      <c r="AZ77" s="14">
        <f t="shared" si="58"/>
        <v>40.90657188289304</v>
      </c>
      <c r="BA77" s="14">
        <f t="shared" si="59"/>
        <v>0</v>
      </c>
      <c r="BB77" s="14">
        <f t="shared" si="60"/>
        <v>2.127141737910438</v>
      </c>
      <c r="BC77" s="14">
        <f t="shared" si="61"/>
        <v>1.7872858262089562</v>
      </c>
      <c r="BD77" s="14">
        <f t="shared" si="45"/>
        <v>0.48891899466070676</v>
      </c>
      <c r="BE77" s="16">
        <f t="shared" si="46"/>
        <v>147.04097747194234</v>
      </c>
      <c r="BF77" s="16">
        <f t="shared" si="47"/>
        <v>105.91804505611532</v>
      </c>
      <c r="BG77" s="17">
        <f t="shared" si="48"/>
        <v>1</v>
      </c>
      <c r="BH77" s="14">
        <f t="shared" si="49"/>
        <v>323.49015043827319</v>
      </c>
      <c r="BI77" s="14">
        <f t="shared" si="50"/>
        <v>-246.98030087654638</v>
      </c>
      <c r="BJ77" s="14">
        <f t="shared" si="51"/>
        <v>39.885358256308649</v>
      </c>
    </row>
    <row r="78" spans="2:62">
      <c r="B78" s="35" t="s">
        <v>134</v>
      </c>
      <c r="C78" s="35" t="s">
        <v>135</v>
      </c>
      <c r="D78" s="14">
        <v>2068</v>
      </c>
      <c r="E78" s="90">
        <f t="shared" si="62"/>
        <v>35.5</v>
      </c>
      <c r="F78" s="89">
        <f t="shared" si="63"/>
        <v>21.5</v>
      </c>
      <c r="G78" s="35">
        <f>$G$10</f>
        <v>2005</v>
      </c>
      <c r="H78" s="91" t="str">
        <f t="shared" si="64"/>
        <v>Pile 32 @ Berth 201</v>
      </c>
      <c r="I78" s="35" t="str">
        <f t="shared" si="65"/>
        <v>Turpentine Gum</v>
      </c>
      <c r="J78" s="35" t="str">
        <f t="shared" si="66"/>
        <v>HW1</v>
      </c>
      <c r="K78" s="35" t="str">
        <f>$K$10</f>
        <v>SPHU</v>
      </c>
      <c r="L78" s="35">
        <f t="shared" si="67"/>
        <v>400</v>
      </c>
      <c r="M78" s="35">
        <f t="shared" si="68"/>
        <v>20</v>
      </c>
      <c r="N78" s="35">
        <f t="shared" si="69"/>
        <v>200</v>
      </c>
      <c r="O78" s="35" t="str">
        <f t="shared" si="70"/>
        <v>MTN2</v>
      </c>
      <c r="P78" s="35" t="str">
        <f t="shared" si="71"/>
        <v>CNT2</v>
      </c>
      <c r="Q78" s="35" t="str">
        <f t="shared" si="72"/>
        <v>KNT3</v>
      </c>
      <c r="R78" s="35" t="str">
        <f t="shared" si="73"/>
        <v>E</v>
      </c>
      <c r="S78" s="35" t="str">
        <f t="shared" si="74"/>
        <v>EXP1</v>
      </c>
      <c r="T78" s="58"/>
      <c r="U78" s="58"/>
      <c r="V78" s="58"/>
      <c r="W78" s="58"/>
      <c r="X78" s="58"/>
      <c r="Y78" s="58"/>
      <c r="Z78" s="58"/>
      <c r="AA78" s="95">
        <f t="shared" si="52"/>
        <v>1</v>
      </c>
      <c r="AB78" s="96">
        <f t="shared" si="53"/>
        <v>149.16811920985279</v>
      </c>
      <c r="AC78" s="58"/>
      <c r="AD78" s="58"/>
      <c r="AE78" s="58"/>
      <c r="AF78" s="58"/>
      <c r="AG78" s="58"/>
      <c r="AH78" s="58"/>
      <c r="AI78" s="58"/>
      <c r="AJ78" s="58"/>
      <c r="AK78" s="58"/>
      <c r="AL78" s="58"/>
      <c r="AM78" s="89">
        <f t="shared" si="54"/>
        <v>63</v>
      </c>
      <c r="AN78" s="5">
        <f t="shared" si="43"/>
        <v>35.5</v>
      </c>
      <c r="AO78" s="14">
        <f t="shared" si="44"/>
        <v>1.6362628753157216</v>
      </c>
      <c r="AP78" s="14">
        <f>IF((OR(R78="A",R78="B",R78="C")),INDEX(Coefficients!$S$4:$S$22,MATCH(J78,Coefficients!$R$4:$R$22)),INDEX(Coefficients!$T$4:$T$22,MATCH(J78,Coefficients!$R$4:$R$22)))</f>
        <v>1.3</v>
      </c>
      <c r="AQ78" s="27">
        <f>IF((OR(R78="A",R78="B",R78="C")),INDEX(Coefficients!$S$4:$S$22,MATCH(K78,Coefficients!$R$4:$R$22)),INDEX(Coefficients!$T$4:$T$22,MATCH(K78,Coefficients!$R$4:$R$22)))</f>
        <v>25</v>
      </c>
      <c r="AR78" s="15">
        <f>IF(OR(R78="A",R78="B",R78="C",R78="D"),IF(AN78&gt;=11,IF(AN78&gt;=26,Coefficients!$M$6,Coefficients!$M$5),Coefficients!$M$4),IF(AN78&gt;=11,IF(AN78&gt;=26,Coefficients!$N$6,Coefficients!$N$5),Coefficients!$N$4))</f>
        <v>1</v>
      </c>
      <c r="AS78" s="15">
        <f>INDEX(Coefficients!$X$3:$X$4,MATCH(S78,Coefficients!$W$3:$W$4))</f>
        <v>1</v>
      </c>
      <c r="AT78" s="15">
        <f>INDEX(Coefficients!$X$7:$X$8,MATCH(O78,Coefficients!$W$7:$W$8))</f>
        <v>1</v>
      </c>
      <c r="AU78" s="15">
        <f>INDEX(Coefficients!$X$11:$X$12,MATCH(P78,Coefficients!$W$11:$W$12))</f>
        <v>1</v>
      </c>
      <c r="AV78" s="15">
        <f>INDEX(Coefficients!$X$15:$X$17,MATCH(Q78,Coefficients!$W$15:$W$17))</f>
        <v>1</v>
      </c>
      <c r="AW78" s="15">
        <f t="shared" si="55"/>
        <v>1</v>
      </c>
      <c r="AX78" s="15">
        <f t="shared" si="56"/>
        <v>1</v>
      </c>
      <c r="AY78" s="15">
        <f t="shared" si="57"/>
        <v>1.3</v>
      </c>
      <c r="AZ78" s="14">
        <f t="shared" si="58"/>
        <v>40.90657188289304</v>
      </c>
      <c r="BA78" s="14">
        <f t="shared" si="59"/>
        <v>0</v>
      </c>
      <c r="BB78" s="14">
        <f t="shared" si="60"/>
        <v>2.127141737910438</v>
      </c>
      <c r="BC78" s="14">
        <f t="shared" si="61"/>
        <v>1.7872858262089562</v>
      </c>
      <c r="BD78" s="14">
        <f t="shared" si="45"/>
        <v>0.48891899466070676</v>
      </c>
      <c r="BE78" s="16">
        <f t="shared" si="46"/>
        <v>149.16811920985279</v>
      </c>
      <c r="BF78" s="16">
        <f t="shared" si="47"/>
        <v>101.66376158029442</v>
      </c>
      <c r="BG78" s="17">
        <f t="shared" si="48"/>
        <v>1</v>
      </c>
      <c r="BH78" s="14">
        <f t="shared" si="49"/>
        <v>328.16986226167614</v>
      </c>
      <c r="BI78" s="14">
        <f t="shared" si="50"/>
        <v>-256.33972452335229</v>
      </c>
      <c r="BJ78" s="14">
        <f t="shared" si="51"/>
        <v>39.885358256308649</v>
      </c>
    </row>
    <row r="79" spans="2:62">
      <c r="B79" s="35" t="s">
        <v>134</v>
      </c>
      <c r="C79" s="35" t="s">
        <v>135</v>
      </c>
      <c r="D79" s="14">
        <v>2069</v>
      </c>
      <c r="E79" s="90">
        <f t="shared" si="62"/>
        <v>35.5</v>
      </c>
      <c r="F79" s="89">
        <f t="shared" si="63"/>
        <v>21.5</v>
      </c>
      <c r="G79" s="35">
        <f>$G$10</f>
        <v>2005</v>
      </c>
      <c r="H79" s="91" t="str">
        <f t="shared" si="64"/>
        <v>Pile 32 @ Berth 201</v>
      </c>
      <c r="I79" s="35" t="str">
        <f t="shared" si="65"/>
        <v>Turpentine Gum</v>
      </c>
      <c r="J79" s="35" t="str">
        <f t="shared" si="66"/>
        <v>HW1</v>
      </c>
      <c r="K79" s="35" t="str">
        <f>$K$10</f>
        <v>SPHU</v>
      </c>
      <c r="L79" s="35">
        <f t="shared" si="67"/>
        <v>400</v>
      </c>
      <c r="M79" s="35">
        <f t="shared" si="68"/>
        <v>20</v>
      </c>
      <c r="N79" s="35">
        <f t="shared" si="69"/>
        <v>200</v>
      </c>
      <c r="O79" s="35" t="str">
        <f t="shared" si="70"/>
        <v>MTN2</v>
      </c>
      <c r="P79" s="35" t="str">
        <f t="shared" si="71"/>
        <v>CNT2</v>
      </c>
      <c r="Q79" s="35" t="str">
        <f t="shared" si="72"/>
        <v>KNT3</v>
      </c>
      <c r="R79" s="35" t="str">
        <f t="shared" si="73"/>
        <v>E</v>
      </c>
      <c r="S79" s="35" t="str">
        <f t="shared" si="74"/>
        <v>EXP1</v>
      </c>
      <c r="T79" s="58"/>
      <c r="U79" s="58"/>
      <c r="V79" s="58"/>
      <c r="W79" s="58"/>
      <c r="X79" s="58"/>
      <c r="Y79" s="58"/>
      <c r="Z79" s="58"/>
      <c r="AA79" s="95">
        <f t="shared" si="52"/>
        <v>1</v>
      </c>
      <c r="AB79" s="96">
        <f t="shared" si="53"/>
        <v>151.29526094776321</v>
      </c>
      <c r="AC79" s="58"/>
      <c r="AD79" s="58"/>
      <c r="AE79" s="58"/>
      <c r="AF79" s="58"/>
      <c r="AG79" s="58"/>
      <c r="AH79" s="58"/>
      <c r="AI79" s="58"/>
      <c r="AJ79" s="58"/>
      <c r="AK79" s="58"/>
      <c r="AL79" s="58"/>
      <c r="AM79" s="89">
        <f t="shared" si="54"/>
        <v>64</v>
      </c>
      <c r="AN79" s="5">
        <f t="shared" si="43"/>
        <v>35.5</v>
      </c>
      <c r="AO79" s="14">
        <f t="shared" si="44"/>
        <v>1.6362628753157216</v>
      </c>
      <c r="AP79" s="14">
        <f>IF((OR(R79="A",R79="B",R79="C")),INDEX(Coefficients!$S$4:$S$22,MATCH(J79,Coefficients!$R$4:$R$22)),INDEX(Coefficients!$T$4:$T$22,MATCH(J79,Coefficients!$R$4:$R$22)))</f>
        <v>1.3</v>
      </c>
      <c r="AQ79" s="27">
        <f>IF((OR(R79="A",R79="B",R79="C")),INDEX(Coefficients!$S$4:$S$22,MATCH(K79,Coefficients!$R$4:$R$22)),INDEX(Coefficients!$T$4:$T$22,MATCH(K79,Coefficients!$R$4:$R$22)))</f>
        <v>25</v>
      </c>
      <c r="AR79" s="15">
        <f>IF(OR(R79="A",R79="B",R79="C",R79="D"),IF(AN79&gt;=11,IF(AN79&gt;=26,Coefficients!$M$6,Coefficients!$M$5),Coefficients!$M$4),IF(AN79&gt;=11,IF(AN79&gt;=26,Coefficients!$N$6,Coefficients!$N$5),Coefficients!$N$4))</f>
        <v>1</v>
      </c>
      <c r="AS79" s="15">
        <f>INDEX(Coefficients!$X$3:$X$4,MATCH(S79,Coefficients!$W$3:$W$4))</f>
        <v>1</v>
      </c>
      <c r="AT79" s="15">
        <f>INDEX(Coefficients!$X$7:$X$8,MATCH(O79,Coefficients!$W$7:$W$8))</f>
        <v>1</v>
      </c>
      <c r="AU79" s="15">
        <f>INDEX(Coefficients!$X$11:$X$12,MATCH(P79,Coefficients!$W$11:$W$12))</f>
        <v>1</v>
      </c>
      <c r="AV79" s="15">
        <f>INDEX(Coefficients!$X$15:$X$17,MATCH(Q79,Coefficients!$W$15:$W$17))</f>
        <v>1</v>
      </c>
      <c r="AW79" s="15">
        <f t="shared" si="55"/>
        <v>1</v>
      </c>
      <c r="AX79" s="15">
        <f t="shared" si="56"/>
        <v>1</v>
      </c>
      <c r="AY79" s="15">
        <f t="shared" si="57"/>
        <v>1.3</v>
      </c>
      <c r="AZ79" s="14">
        <f t="shared" si="58"/>
        <v>40.90657188289304</v>
      </c>
      <c r="BA79" s="14">
        <f t="shared" si="59"/>
        <v>0</v>
      </c>
      <c r="BB79" s="14">
        <f t="shared" si="60"/>
        <v>2.127141737910438</v>
      </c>
      <c r="BC79" s="14">
        <f t="shared" si="61"/>
        <v>1.7872858262089562</v>
      </c>
      <c r="BD79" s="14">
        <f t="shared" si="45"/>
        <v>0.48891899466070676</v>
      </c>
      <c r="BE79" s="16">
        <f t="shared" si="46"/>
        <v>151.29526094776321</v>
      </c>
      <c r="BF79" s="16">
        <f t="shared" si="47"/>
        <v>97.409478104473578</v>
      </c>
      <c r="BG79" s="17">
        <f t="shared" si="48"/>
        <v>1</v>
      </c>
      <c r="BH79" s="14">
        <f t="shared" si="49"/>
        <v>332.8495740850791</v>
      </c>
      <c r="BI79" s="14">
        <f t="shared" si="50"/>
        <v>-265.6991481701582</v>
      </c>
      <c r="BJ79" s="14">
        <f t="shared" si="51"/>
        <v>39.885358256308649</v>
      </c>
    </row>
    <row r="80" spans="2:62">
      <c r="B80" s="35" t="s">
        <v>134</v>
      </c>
      <c r="C80" s="35" t="s">
        <v>135</v>
      </c>
      <c r="D80" s="14">
        <v>2070</v>
      </c>
      <c r="E80" s="90">
        <f t="shared" si="62"/>
        <v>35.5</v>
      </c>
      <c r="F80" s="89">
        <f t="shared" si="63"/>
        <v>21.5</v>
      </c>
      <c r="G80" s="35">
        <f>$G$10</f>
        <v>2005</v>
      </c>
      <c r="H80" s="91" t="str">
        <f t="shared" si="64"/>
        <v>Pile 32 @ Berth 201</v>
      </c>
      <c r="I80" s="35" t="str">
        <f t="shared" si="65"/>
        <v>Turpentine Gum</v>
      </c>
      <c r="J80" s="35" t="str">
        <f t="shared" si="66"/>
        <v>HW1</v>
      </c>
      <c r="K80" s="35" t="str">
        <f>$K$10</f>
        <v>SPHU</v>
      </c>
      <c r="L80" s="35">
        <f t="shared" si="67"/>
        <v>400</v>
      </c>
      <c r="M80" s="35">
        <f t="shared" si="68"/>
        <v>20</v>
      </c>
      <c r="N80" s="35">
        <f t="shared" si="69"/>
        <v>200</v>
      </c>
      <c r="O80" s="35" t="str">
        <f t="shared" si="70"/>
        <v>MTN2</v>
      </c>
      <c r="P80" s="35" t="str">
        <f t="shared" si="71"/>
        <v>CNT2</v>
      </c>
      <c r="Q80" s="35" t="str">
        <f t="shared" si="72"/>
        <v>KNT3</v>
      </c>
      <c r="R80" s="35" t="str">
        <f t="shared" si="73"/>
        <v>E</v>
      </c>
      <c r="S80" s="35" t="str">
        <f t="shared" si="74"/>
        <v>EXP1</v>
      </c>
      <c r="T80" s="58"/>
      <c r="U80" s="58"/>
      <c r="V80" s="58"/>
      <c r="W80" s="58"/>
      <c r="X80" s="58"/>
      <c r="Y80" s="58"/>
      <c r="Z80" s="58"/>
      <c r="AA80" s="95">
        <f t="shared" si="52"/>
        <v>1</v>
      </c>
      <c r="AB80" s="96">
        <f t="shared" si="53"/>
        <v>153.42240268567366</v>
      </c>
      <c r="AC80" s="58"/>
      <c r="AD80" s="58"/>
      <c r="AE80" s="58"/>
      <c r="AF80" s="58"/>
      <c r="AG80" s="58"/>
      <c r="AH80" s="58"/>
      <c r="AI80" s="58"/>
      <c r="AJ80" s="58"/>
      <c r="AK80" s="58"/>
      <c r="AL80" s="58"/>
      <c r="AM80" s="89">
        <f t="shared" si="54"/>
        <v>65</v>
      </c>
      <c r="AN80" s="5">
        <f t="shared" si="43"/>
        <v>35.5</v>
      </c>
      <c r="AO80" s="14">
        <f t="shared" si="44"/>
        <v>1.6362628753157216</v>
      </c>
      <c r="AP80" s="14">
        <f>IF((OR(R80="A",R80="B",R80="C")),INDEX(Coefficients!$S$4:$S$22,MATCH(J80,Coefficients!$R$4:$R$22)),INDEX(Coefficients!$T$4:$T$22,MATCH(J80,Coefficients!$R$4:$R$22)))</f>
        <v>1.3</v>
      </c>
      <c r="AQ80" s="27">
        <f>IF((OR(R80="A",R80="B",R80="C")),INDEX(Coefficients!$S$4:$S$22,MATCH(K80,Coefficients!$R$4:$R$22)),INDEX(Coefficients!$T$4:$T$22,MATCH(K80,Coefficients!$R$4:$R$22)))</f>
        <v>25</v>
      </c>
      <c r="AR80" s="15">
        <f>IF(OR(R80="A",R80="B",R80="C",R80="D"),IF(AN80&gt;=11,IF(AN80&gt;=26,Coefficients!$M$6,Coefficients!$M$5),Coefficients!$M$4),IF(AN80&gt;=11,IF(AN80&gt;=26,Coefficients!$N$6,Coefficients!$N$5),Coefficients!$N$4))</f>
        <v>1</v>
      </c>
      <c r="AS80" s="15">
        <f>INDEX(Coefficients!$X$3:$X$4,MATCH(S80,Coefficients!$W$3:$W$4))</f>
        <v>1</v>
      </c>
      <c r="AT80" s="15">
        <f>INDEX(Coefficients!$X$7:$X$8,MATCH(O80,Coefficients!$W$7:$W$8))</f>
        <v>1</v>
      </c>
      <c r="AU80" s="15">
        <f>INDEX(Coefficients!$X$11:$X$12,MATCH(P80,Coefficients!$W$11:$W$12))</f>
        <v>1</v>
      </c>
      <c r="AV80" s="15">
        <f>INDEX(Coefficients!$X$15:$X$17,MATCH(Q80,Coefficients!$W$15:$W$17))</f>
        <v>1</v>
      </c>
      <c r="AW80" s="15">
        <f t="shared" si="55"/>
        <v>1</v>
      </c>
      <c r="AX80" s="15">
        <f t="shared" si="56"/>
        <v>1</v>
      </c>
      <c r="AY80" s="15">
        <f t="shared" si="57"/>
        <v>1.3</v>
      </c>
      <c r="AZ80" s="14">
        <f t="shared" si="58"/>
        <v>40.90657188289304</v>
      </c>
      <c r="BA80" s="14">
        <f t="shared" si="59"/>
        <v>0</v>
      </c>
      <c r="BB80" s="14">
        <f t="shared" si="60"/>
        <v>2.127141737910438</v>
      </c>
      <c r="BC80" s="14">
        <f t="shared" si="61"/>
        <v>1.7872858262089562</v>
      </c>
      <c r="BD80" s="14">
        <f t="shared" si="45"/>
        <v>0.48891899466070676</v>
      </c>
      <c r="BE80" s="16">
        <f t="shared" si="46"/>
        <v>153.42240268567366</v>
      </c>
      <c r="BF80" s="16">
        <f t="shared" si="47"/>
        <v>93.15519462865268</v>
      </c>
      <c r="BG80" s="17">
        <f t="shared" si="48"/>
        <v>1</v>
      </c>
      <c r="BH80" s="14">
        <f t="shared" si="49"/>
        <v>337.52928590848205</v>
      </c>
      <c r="BI80" s="14">
        <f t="shared" si="50"/>
        <v>-275.0585718169641</v>
      </c>
      <c r="BJ80" s="14">
        <f t="shared" si="51"/>
        <v>39.885358256308649</v>
      </c>
    </row>
    <row r="81" spans="1:62" s="86" customFormat="1">
      <c r="A81" s="86" t="s">
        <v>199</v>
      </c>
      <c r="B81" s="86" t="str">
        <f>B82&amp;" "&amp;C82</f>
        <v>A1FI MRI-CGCM2.3.2</v>
      </c>
      <c r="H81" s="77"/>
      <c r="AA81" s="97"/>
    </row>
    <row r="82" spans="1:62">
      <c r="B82" s="14" t="s">
        <v>91</v>
      </c>
      <c r="C82" s="24" t="str">
        <f>MostLikely!$B$1</f>
        <v>MRI-CGCM2.3.2</v>
      </c>
      <c r="D82" s="89">
        <v>2000</v>
      </c>
      <c r="E82" s="57">
        <f>'Cooler&amp;Wetter'!AA28</f>
        <v>35.508333333333333</v>
      </c>
      <c r="F82" s="28">
        <f>MostLikely!AC28</f>
        <v>21.598906416666665</v>
      </c>
      <c r="G82" s="35">
        <f>$G$10</f>
        <v>2005</v>
      </c>
      <c r="H82" s="91" t="str">
        <f t="shared" si="64"/>
        <v>Pile 32 @ Berth 201</v>
      </c>
      <c r="I82" s="35" t="str">
        <f t="shared" si="65"/>
        <v>Turpentine Gum</v>
      </c>
      <c r="J82" s="35" t="str">
        <f t="shared" si="66"/>
        <v>HW1</v>
      </c>
      <c r="K82" s="35" t="str">
        <f>$K$10</f>
        <v>SPHU</v>
      </c>
      <c r="L82" s="35">
        <f t="shared" si="67"/>
        <v>400</v>
      </c>
      <c r="M82" s="35">
        <f t="shared" si="68"/>
        <v>20</v>
      </c>
      <c r="N82" s="35">
        <f t="shared" si="69"/>
        <v>200</v>
      </c>
      <c r="O82" s="35" t="str">
        <f t="shared" si="70"/>
        <v>MTN2</v>
      </c>
      <c r="P82" s="35" t="str">
        <f t="shared" si="71"/>
        <v>CNT2</v>
      </c>
      <c r="Q82" s="35" t="str">
        <f t="shared" si="72"/>
        <v>KNT3</v>
      </c>
      <c r="R82" s="35" t="str">
        <f t="shared" si="73"/>
        <v>E</v>
      </c>
      <c r="S82" s="35" t="str">
        <f t="shared" si="74"/>
        <v>EXP1</v>
      </c>
      <c r="T82" s="58"/>
      <c r="U82" s="58"/>
      <c r="V82" s="58"/>
      <c r="W82" s="58"/>
      <c r="X82" s="58"/>
      <c r="Y82" s="58"/>
      <c r="Z82" s="58"/>
      <c r="AA82" s="95">
        <f t="shared" si="52"/>
        <v>0</v>
      </c>
      <c r="AB82" s="96">
        <f>BE82</f>
        <v>0</v>
      </c>
      <c r="AC82" s="58"/>
      <c r="AD82" s="58"/>
      <c r="AE82" s="58"/>
      <c r="AF82" s="58"/>
      <c r="AG82" s="58"/>
      <c r="AH82" s="58"/>
      <c r="AI82" s="58"/>
      <c r="AJ82" s="58"/>
      <c r="AK82" s="58"/>
      <c r="AL82" s="58"/>
      <c r="AM82" s="89">
        <f>MAX(0,D82-G82)</f>
        <v>0</v>
      </c>
      <c r="AN82" s="5">
        <f t="shared" ref="AN82:AN113" si="75">E82</f>
        <v>35.508333333333333</v>
      </c>
      <c r="AO82" s="14">
        <f t="shared" ref="AO82:AO113" si="76">0.1*EXP(0.13*F82)</f>
        <v>1.6574375102700305</v>
      </c>
      <c r="AP82" s="14">
        <f>IF((OR(R82="A",R82="B",R82="C")),INDEX(Coefficients!$S$4:$S$22,MATCH(J82,Coefficients!$R$4:$R$22)),INDEX(Coefficients!$T$4:$T$22,MATCH(J82,Coefficients!$R$4:$R$22)))</f>
        <v>1.3</v>
      </c>
      <c r="AQ82" s="27">
        <f>IF((OR(R82="A",R82="B",R82="C")),INDEX(Coefficients!$S$4:$S$22,MATCH(K82,Coefficients!$R$4:$R$22)),INDEX(Coefficients!$T$4:$T$22,MATCH(K82,Coefficients!$R$4:$R$22)))</f>
        <v>25</v>
      </c>
      <c r="AR82" s="15">
        <f>IF(OR(R82="A",R82="B",R82="C",R82="D"),IF(AN82&gt;=11,IF(AN82&gt;=26,Coefficients!$M$6,Coefficients!$M$5),Coefficients!$M$4),IF(AN82&gt;=11,IF(AN82&gt;=26,Coefficients!$N$6,Coefficients!$N$5),Coefficients!$N$4))</f>
        <v>1</v>
      </c>
      <c r="AS82" s="15">
        <f>INDEX(Coefficients!$X$3:$X$4,MATCH(S82,Coefficients!$W$3:$W$4))</f>
        <v>1</v>
      </c>
      <c r="AT82" s="15">
        <f>INDEX(Coefficients!$X$7:$X$8,MATCH(O82,Coefficients!$W$7:$W$8))</f>
        <v>1</v>
      </c>
      <c r="AU82" s="15">
        <f>INDEX(Coefficients!$X$11:$X$12,MATCH(P82,Coefficients!$W$11:$W$12))</f>
        <v>1</v>
      </c>
      <c r="AV82" s="15">
        <f>INDEX(Coefficients!$X$15:$X$17,MATCH(Q82,Coefficients!$W$15:$W$17))</f>
        <v>1</v>
      </c>
      <c r="AW82" s="15">
        <f>AR82*AS82</f>
        <v>1</v>
      </c>
      <c r="AX82" s="15">
        <f>AT82*AU82*AV82</f>
        <v>1</v>
      </c>
      <c r="AY82" s="15">
        <f>AP82*AR82*AS82*AT82*AU82*AV82</f>
        <v>1.3</v>
      </c>
      <c r="AZ82" s="14">
        <f>AO82*AQ82*AW82*AX82</f>
        <v>41.435937756750761</v>
      </c>
      <c r="BA82" s="14">
        <f>IF(AZ82&gt;=20,0,2-0.1*AZ82)</f>
        <v>0</v>
      </c>
      <c r="BB82" s="14">
        <f>AO82*AP82*AR82*AS82*AT82*AU82*AV82</f>
        <v>2.1546687633510397</v>
      </c>
      <c r="BC82" s="14">
        <f>IF(BB82&gt;=20,0,2-0.1*BB82)</f>
        <v>1.784533123664896</v>
      </c>
      <c r="BD82" s="14">
        <f t="shared" ref="BD82:BD113" si="77">M82/AZ82+BA82</f>
        <v>0.48267279764270793</v>
      </c>
      <c r="BE82" s="16">
        <f t="shared" ref="BE82:BE113" si="78">IF(AM82&lt;=0,0,IF(AM82&gt;(BD82+BC82),M82+(AM82-BD82-BC82)*BB82,M82))</f>
        <v>0</v>
      </c>
      <c r="BF82" s="16">
        <f t="shared" ref="BF82:BF113" si="79">L82-2*BE82</f>
        <v>400</v>
      </c>
      <c r="BG82" s="17">
        <f t="shared" ref="BG82:BG113" si="80">IF(2*BE82&gt;(L82-N82),1,BE82/((L82-N82)/2))</f>
        <v>0</v>
      </c>
      <c r="BH82" s="14">
        <f t="shared" ref="BH82:BH113" si="81">BE82*(1+$BF$1*$BF$2)</f>
        <v>0</v>
      </c>
      <c r="BI82" s="14">
        <f t="shared" ref="BI82:BI113" si="82">L82-2*BH82</f>
        <v>400</v>
      </c>
      <c r="BJ82" s="14">
        <f t="shared" ref="BJ82:BJ113" si="83">($BF$3/2-M82)/BB82+BD82+BC82</f>
        <v>39.395882663054358</v>
      </c>
    </row>
    <row r="83" spans="1:62">
      <c r="B83" s="14" t="s">
        <v>91</v>
      </c>
      <c r="C83" s="81" t="str">
        <f>MostLikely!$B$1</f>
        <v>MRI-CGCM2.3.2</v>
      </c>
      <c r="D83" s="89">
        <v>2001</v>
      </c>
      <c r="E83" s="57">
        <f>'Cooler&amp;Wetter'!AA29</f>
        <v>35.509166666666665</v>
      </c>
      <c r="F83" s="90">
        <f>MostLikely!AC29</f>
        <v>21.608797058333334</v>
      </c>
      <c r="G83" s="35">
        <f t="shared" ref="G83:G146" si="84">$G$10</f>
        <v>2005</v>
      </c>
      <c r="H83" s="91" t="str">
        <f t="shared" si="64"/>
        <v>Pile 32 @ Berth 201</v>
      </c>
      <c r="I83" s="35" t="str">
        <f t="shared" si="65"/>
        <v>Turpentine Gum</v>
      </c>
      <c r="J83" s="35" t="str">
        <f t="shared" si="66"/>
        <v>HW1</v>
      </c>
      <c r="K83" s="35" t="str">
        <f t="shared" ref="K83:K146" si="85">$K$10</f>
        <v>SPHU</v>
      </c>
      <c r="L83" s="35">
        <f t="shared" si="67"/>
        <v>400</v>
      </c>
      <c r="M83" s="35">
        <f t="shared" si="68"/>
        <v>20</v>
      </c>
      <c r="N83" s="35">
        <f t="shared" si="69"/>
        <v>200</v>
      </c>
      <c r="O83" s="35" t="str">
        <f t="shared" si="70"/>
        <v>MTN2</v>
      </c>
      <c r="P83" s="35" t="str">
        <f t="shared" si="71"/>
        <v>CNT2</v>
      </c>
      <c r="Q83" s="35" t="str">
        <f t="shared" si="72"/>
        <v>KNT3</v>
      </c>
      <c r="R83" s="35" t="str">
        <f t="shared" si="73"/>
        <v>E</v>
      </c>
      <c r="S83" s="35" t="str">
        <f t="shared" si="74"/>
        <v>EXP1</v>
      </c>
      <c r="T83" s="58"/>
      <c r="U83" s="58"/>
      <c r="V83" s="58"/>
      <c r="W83" s="58"/>
      <c r="X83" s="58"/>
      <c r="Y83" s="58"/>
      <c r="Z83" s="58"/>
      <c r="AA83" s="95">
        <f t="shared" si="52"/>
        <v>0</v>
      </c>
      <c r="AB83" s="96">
        <f t="shared" ref="AB83:AB146" si="86">BE83</f>
        <v>0</v>
      </c>
      <c r="AC83" s="58"/>
      <c r="AD83" s="58"/>
      <c r="AE83" s="58"/>
      <c r="AF83" s="58"/>
      <c r="AG83" s="58"/>
      <c r="AH83" s="58"/>
      <c r="AI83" s="58"/>
      <c r="AJ83" s="58"/>
      <c r="AK83" s="58"/>
      <c r="AL83" s="58"/>
      <c r="AM83" s="89">
        <f t="shared" ref="AM83:AM146" si="87">MAX(0,D83-G83)</f>
        <v>0</v>
      </c>
      <c r="AN83" s="5">
        <f t="shared" si="75"/>
        <v>35.509166666666665</v>
      </c>
      <c r="AO83" s="14">
        <f t="shared" si="76"/>
        <v>1.6595699865924525</v>
      </c>
      <c r="AP83" s="14">
        <f>IF((OR(R83="A",R83="B",R83="C")),INDEX(Coefficients!$S$4:$S$22,MATCH(J83,Coefficients!$R$4:$R$22)),INDEX(Coefficients!$T$4:$T$22,MATCH(J83,Coefficients!$R$4:$R$22)))</f>
        <v>1.3</v>
      </c>
      <c r="AQ83" s="27">
        <f>IF((OR(R83="A",R83="B",R83="C")),INDEX(Coefficients!$S$4:$S$22,MATCH(K83,Coefficients!$R$4:$R$22)),INDEX(Coefficients!$T$4:$T$22,MATCH(K83,Coefficients!$R$4:$R$22)))</f>
        <v>25</v>
      </c>
      <c r="AR83" s="15">
        <f>IF(OR(R83="A",R83="B",R83="C",R83="D"),IF(AN83&gt;=11,IF(AN83&gt;=26,Coefficients!$M$6,Coefficients!$M$5),Coefficients!$M$4),IF(AN83&gt;=11,IF(AN83&gt;=26,Coefficients!$N$6,Coefficients!$N$5),Coefficients!$N$4))</f>
        <v>1</v>
      </c>
      <c r="AS83" s="15">
        <f>INDEX(Coefficients!$X$3:$X$4,MATCH(S83,Coefficients!$W$3:$W$4))</f>
        <v>1</v>
      </c>
      <c r="AT83" s="15">
        <f>INDEX(Coefficients!$X$7:$X$8,MATCH(O83,Coefficients!$W$7:$W$8))</f>
        <v>1</v>
      </c>
      <c r="AU83" s="15">
        <f>INDEX(Coefficients!$X$11:$X$12,MATCH(P83,Coefficients!$W$11:$W$12))</f>
        <v>1</v>
      </c>
      <c r="AV83" s="15">
        <f>INDEX(Coefficients!$X$15:$X$17,MATCH(Q83,Coefficients!$W$15:$W$17))</f>
        <v>1</v>
      </c>
      <c r="AW83" s="15">
        <f t="shared" ref="AW83:AW146" si="88">AR83*AS83</f>
        <v>1</v>
      </c>
      <c r="AX83" s="15">
        <f t="shared" ref="AX83:AX146" si="89">AT83*AU83*AV83</f>
        <v>1</v>
      </c>
      <c r="AY83" s="15">
        <f t="shared" ref="AY83:AY146" si="90">AP83*AR83*AS83*AT83*AU83*AV83</f>
        <v>1.3</v>
      </c>
      <c r="AZ83" s="14">
        <f t="shared" ref="AZ83:AZ146" si="91">AO83*AQ83*AW83*AX83</f>
        <v>41.489249664811311</v>
      </c>
      <c r="BA83" s="14">
        <f t="shared" ref="BA83:BA146" si="92">IF(AZ83&gt;=20,0,2-0.1*AZ83)</f>
        <v>0</v>
      </c>
      <c r="BB83" s="14">
        <f t="shared" ref="BB83:BB146" si="93">AO83*AP83*AR83*AS83*AT83*AU83*AV83</f>
        <v>2.1574409825701881</v>
      </c>
      <c r="BC83" s="14">
        <f t="shared" ref="BC83:BC146" si="94">IF(BB83&gt;=20,0,2-0.1*BB83)</f>
        <v>1.7842559017429811</v>
      </c>
      <c r="BD83" s="14">
        <f t="shared" si="77"/>
        <v>0.4820525837796194</v>
      </c>
      <c r="BE83" s="16">
        <f t="shared" si="78"/>
        <v>0</v>
      </c>
      <c r="BF83" s="16">
        <f t="shared" si="79"/>
        <v>400</v>
      </c>
      <c r="BG83" s="17">
        <f t="shared" si="80"/>
        <v>0</v>
      </c>
      <c r="BH83" s="14">
        <f t="shared" si="81"/>
        <v>0</v>
      </c>
      <c r="BI83" s="14">
        <f t="shared" si="82"/>
        <v>400</v>
      </c>
      <c r="BJ83" s="14">
        <f t="shared" si="83"/>
        <v>39.347276468570243</v>
      </c>
    </row>
    <row r="84" spans="1:62">
      <c r="B84" s="14" t="s">
        <v>91</v>
      </c>
      <c r="C84" s="81" t="str">
        <f>MostLikely!$B$1</f>
        <v>MRI-CGCM2.3.2</v>
      </c>
      <c r="D84" s="89">
        <v>2002</v>
      </c>
      <c r="E84" s="57">
        <f>'Cooler&amp;Wetter'!AA30</f>
        <v>35.51</v>
      </c>
      <c r="F84" s="90">
        <f>MostLikely!AC30</f>
        <v>21.618687699999999</v>
      </c>
      <c r="G84" s="35">
        <f t="shared" si="84"/>
        <v>2005</v>
      </c>
      <c r="H84" s="91" t="str">
        <f t="shared" si="64"/>
        <v>Pile 32 @ Berth 201</v>
      </c>
      <c r="I84" s="35" t="str">
        <f t="shared" si="65"/>
        <v>Turpentine Gum</v>
      </c>
      <c r="J84" s="35" t="str">
        <f t="shared" si="66"/>
        <v>HW1</v>
      </c>
      <c r="K84" s="35" t="str">
        <f t="shared" si="85"/>
        <v>SPHU</v>
      </c>
      <c r="L84" s="35">
        <f t="shared" si="67"/>
        <v>400</v>
      </c>
      <c r="M84" s="35">
        <f t="shared" si="68"/>
        <v>20</v>
      </c>
      <c r="N84" s="35">
        <f t="shared" si="69"/>
        <v>200</v>
      </c>
      <c r="O84" s="35" t="str">
        <f t="shared" si="70"/>
        <v>MTN2</v>
      </c>
      <c r="P84" s="35" t="str">
        <f t="shared" si="71"/>
        <v>CNT2</v>
      </c>
      <c r="Q84" s="35" t="str">
        <f t="shared" si="72"/>
        <v>KNT3</v>
      </c>
      <c r="R84" s="35" t="str">
        <f t="shared" si="73"/>
        <v>E</v>
      </c>
      <c r="S84" s="35" t="str">
        <f t="shared" si="74"/>
        <v>EXP1</v>
      </c>
      <c r="T84" s="58"/>
      <c r="U84" s="58"/>
      <c r="V84" s="58"/>
      <c r="W84" s="58"/>
      <c r="X84" s="58"/>
      <c r="Y84" s="58"/>
      <c r="Z84" s="58"/>
      <c r="AA84" s="95">
        <f t="shared" si="52"/>
        <v>0</v>
      </c>
      <c r="AB84" s="96">
        <f t="shared" si="86"/>
        <v>0</v>
      </c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89">
        <f t="shared" si="87"/>
        <v>0</v>
      </c>
      <c r="AN84" s="5">
        <f t="shared" si="75"/>
        <v>35.51</v>
      </c>
      <c r="AO84" s="14">
        <f t="shared" si="76"/>
        <v>1.6617052065810674</v>
      </c>
      <c r="AP84" s="14">
        <f>IF((OR(R84="A",R84="B",R84="C")),INDEX(Coefficients!$S$4:$S$22,MATCH(J84,Coefficients!$R$4:$R$22)),INDEX(Coefficients!$T$4:$T$22,MATCH(J84,Coefficients!$R$4:$R$22)))</f>
        <v>1.3</v>
      </c>
      <c r="AQ84" s="27">
        <f>IF((OR(R84="A",R84="B",R84="C")),INDEX(Coefficients!$S$4:$S$22,MATCH(K84,Coefficients!$R$4:$R$22)),INDEX(Coefficients!$T$4:$T$22,MATCH(K84,Coefficients!$R$4:$R$22)))</f>
        <v>25</v>
      </c>
      <c r="AR84" s="15">
        <f>IF(OR(R84="A",R84="B",R84="C",R84="D"),IF(AN84&gt;=11,IF(AN84&gt;=26,Coefficients!$M$6,Coefficients!$M$5),Coefficients!$M$4),IF(AN84&gt;=11,IF(AN84&gt;=26,Coefficients!$N$6,Coefficients!$N$5),Coefficients!$N$4))</f>
        <v>1</v>
      </c>
      <c r="AS84" s="15">
        <f>INDEX(Coefficients!$X$3:$X$4,MATCH(S84,Coefficients!$W$3:$W$4))</f>
        <v>1</v>
      </c>
      <c r="AT84" s="15">
        <f>INDEX(Coefficients!$X$7:$X$8,MATCH(O84,Coefficients!$W$7:$W$8))</f>
        <v>1</v>
      </c>
      <c r="AU84" s="15">
        <f>INDEX(Coefficients!$X$11:$X$12,MATCH(P84,Coefficients!$W$11:$W$12))</f>
        <v>1</v>
      </c>
      <c r="AV84" s="15">
        <f>INDEX(Coefficients!$X$15:$X$17,MATCH(Q84,Coefficients!$W$15:$W$17))</f>
        <v>1</v>
      </c>
      <c r="AW84" s="15">
        <f t="shared" si="88"/>
        <v>1</v>
      </c>
      <c r="AX84" s="15">
        <f t="shared" si="89"/>
        <v>1</v>
      </c>
      <c r="AY84" s="15">
        <f t="shared" si="90"/>
        <v>1.3</v>
      </c>
      <c r="AZ84" s="14">
        <f t="shared" si="91"/>
        <v>41.542630164526685</v>
      </c>
      <c r="BA84" s="14">
        <f t="shared" si="92"/>
        <v>0</v>
      </c>
      <c r="BB84" s="14">
        <f t="shared" si="93"/>
        <v>2.1602167685553875</v>
      </c>
      <c r="BC84" s="14">
        <f t="shared" si="94"/>
        <v>1.7839783231444613</v>
      </c>
      <c r="BD84" s="14">
        <f t="shared" si="77"/>
        <v>0.48143316686476995</v>
      </c>
      <c r="BE84" s="16">
        <f t="shared" si="78"/>
        <v>0</v>
      </c>
      <c r="BF84" s="16">
        <f t="shared" si="79"/>
        <v>400</v>
      </c>
      <c r="BG84" s="17">
        <f t="shared" si="80"/>
        <v>0</v>
      </c>
      <c r="BH84" s="14">
        <f t="shared" si="81"/>
        <v>0</v>
      </c>
      <c r="BI84" s="14">
        <f t="shared" si="82"/>
        <v>400</v>
      </c>
      <c r="BJ84" s="14">
        <f t="shared" si="83"/>
        <v>39.298732018068456</v>
      </c>
    </row>
    <row r="85" spans="1:62">
      <c r="B85" s="14" t="s">
        <v>91</v>
      </c>
      <c r="C85" s="81" t="str">
        <f>MostLikely!$B$1</f>
        <v>MRI-CGCM2.3.2</v>
      </c>
      <c r="D85" s="89">
        <v>2003</v>
      </c>
      <c r="E85" s="57">
        <f>'Cooler&amp;Wetter'!AA31</f>
        <v>35.510833333333331</v>
      </c>
      <c r="F85" s="90">
        <f>MostLikely!AC31</f>
        <v>21.628578341666667</v>
      </c>
      <c r="G85" s="35">
        <f t="shared" si="84"/>
        <v>2005</v>
      </c>
      <c r="H85" s="91" t="str">
        <f t="shared" si="64"/>
        <v>Pile 32 @ Berth 201</v>
      </c>
      <c r="I85" s="35" t="str">
        <f t="shared" si="65"/>
        <v>Turpentine Gum</v>
      </c>
      <c r="J85" s="35" t="str">
        <f t="shared" si="66"/>
        <v>HW1</v>
      </c>
      <c r="K85" s="35" t="str">
        <f t="shared" si="85"/>
        <v>SPHU</v>
      </c>
      <c r="L85" s="35">
        <f t="shared" si="67"/>
        <v>400</v>
      </c>
      <c r="M85" s="35">
        <f t="shared" si="68"/>
        <v>20</v>
      </c>
      <c r="N85" s="35">
        <f t="shared" si="69"/>
        <v>200</v>
      </c>
      <c r="O85" s="35" t="str">
        <f t="shared" si="70"/>
        <v>MTN2</v>
      </c>
      <c r="P85" s="35" t="str">
        <f t="shared" si="71"/>
        <v>CNT2</v>
      </c>
      <c r="Q85" s="35" t="str">
        <f t="shared" si="72"/>
        <v>KNT3</v>
      </c>
      <c r="R85" s="35" t="str">
        <f t="shared" si="73"/>
        <v>E</v>
      </c>
      <c r="S85" s="35" t="str">
        <f t="shared" si="74"/>
        <v>EXP1</v>
      </c>
      <c r="T85" s="58"/>
      <c r="U85" s="58"/>
      <c r="V85" s="58"/>
      <c r="W85" s="58"/>
      <c r="X85" s="58"/>
      <c r="Y85" s="58"/>
      <c r="Z85" s="58"/>
      <c r="AA85" s="95">
        <f t="shared" si="52"/>
        <v>0</v>
      </c>
      <c r="AB85" s="96">
        <f t="shared" si="86"/>
        <v>0</v>
      </c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89">
        <f t="shared" si="87"/>
        <v>0</v>
      </c>
      <c r="AN85" s="5">
        <f t="shared" si="75"/>
        <v>35.510833333333331</v>
      </c>
      <c r="AO85" s="14">
        <f t="shared" si="76"/>
        <v>1.6638431737659065</v>
      </c>
      <c r="AP85" s="14">
        <f>IF((OR(R85="A",R85="B",R85="C")),INDEX(Coefficients!$S$4:$S$22,MATCH(J85,Coefficients!$R$4:$R$22)),INDEX(Coefficients!$T$4:$T$22,MATCH(J85,Coefficients!$R$4:$R$22)))</f>
        <v>1.3</v>
      </c>
      <c r="AQ85" s="27">
        <f>IF((OR(R85="A",R85="B",R85="C")),INDEX(Coefficients!$S$4:$S$22,MATCH(K85,Coefficients!$R$4:$R$22)),INDEX(Coefficients!$T$4:$T$22,MATCH(K85,Coefficients!$R$4:$R$22)))</f>
        <v>25</v>
      </c>
      <c r="AR85" s="15">
        <f>IF(OR(R85="A",R85="B",R85="C",R85="D"),IF(AN85&gt;=11,IF(AN85&gt;=26,Coefficients!$M$6,Coefficients!$M$5),Coefficients!$M$4),IF(AN85&gt;=11,IF(AN85&gt;=26,Coefficients!$N$6,Coefficients!$N$5),Coefficients!$N$4))</f>
        <v>1</v>
      </c>
      <c r="AS85" s="15">
        <f>INDEX(Coefficients!$X$3:$X$4,MATCH(S85,Coefficients!$W$3:$W$4))</f>
        <v>1</v>
      </c>
      <c r="AT85" s="15">
        <f>INDEX(Coefficients!$X$7:$X$8,MATCH(O85,Coefficients!$W$7:$W$8))</f>
        <v>1</v>
      </c>
      <c r="AU85" s="15">
        <f>INDEX(Coefficients!$X$11:$X$12,MATCH(P85,Coefficients!$W$11:$W$12))</f>
        <v>1</v>
      </c>
      <c r="AV85" s="15">
        <f>INDEX(Coefficients!$X$15:$X$17,MATCH(Q85,Coefficients!$W$15:$W$17))</f>
        <v>1</v>
      </c>
      <c r="AW85" s="15">
        <f t="shared" si="88"/>
        <v>1</v>
      </c>
      <c r="AX85" s="15">
        <f t="shared" si="89"/>
        <v>1</v>
      </c>
      <c r="AY85" s="15">
        <f t="shared" si="90"/>
        <v>1.3</v>
      </c>
      <c r="AZ85" s="14">
        <f t="shared" si="91"/>
        <v>41.596079344147661</v>
      </c>
      <c r="BA85" s="14">
        <f t="shared" si="92"/>
        <v>0</v>
      </c>
      <c r="BB85" s="14">
        <f t="shared" si="93"/>
        <v>2.1629961258956785</v>
      </c>
      <c r="BC85" s="14">
        <f t="shared" si="94"/>
        <v>1.7837003874104322</v>
      </c>
      <c r="BD85" s="14">
        <f t="shared" si="77"/>
        <v>0.48081454587411471</v>
      </c>
      <c r="BE85" s="16">
        <f t="shared" si="78"/>
        <v>0</v>
      </c>
      <c r="BF85" s="16">
        <f t="shared" si="79"/>
        <v>400</v>
      </c>
      <c r="BG85" s="17">
        <f t="shared" si="80"/>
        <v>0</v>
      </c>
      <c r="BH85" s="14">
        <f t="shared" si="81"/>
        <v>0</v>
      </c>
      <c r="BI85" s="14">
        <f t="shared" si="82"/>
        <v>400</v>
      </c>
      <c r="BJ85" s="14">
        <f t="shared" si="83"/>
        <v>39.250249231293374</v>
      </c>
    </row>
    <row r="86" spans="1:62">
      <c r="B86" s="14" t="s">
        <v>91</v>
      </c>
      <c r="C86" s="81" t="str">
        <f>MostLikely!$B$1</f>
        <v>MRI-CGCM2.3.2</v>
      </c>
      <c r="D86" s="89">
        <v>2004</v>
      </c>
      <c r="E86" s="57">
        <f>'Cooler&amp;Wetter'!AA32</f>
        <v>35.511666666666663</v>
      </c>
      <c r="F86" s="90">
        <f>MostLikely!AC32</f>
        <v>21.638468983333333</v>
      </c>
      <c r="G86" s="35">
        <f t="shared" si="84"/>
        <v>2005</v>
      </c>
      <c r="H86" s="91" t="str">
        <f t="shared" si="64"/>
        <v>Pile 32 @ Berth 201</v>
      </c>
      <c r="I86" s="35" t="str">
        <f t="shared" si="65"/>
        <v>Turpentine Gum</v>
      </c>
      <c r="J86" s="35" t="str">
        <f t="shared" si="66"/>
        <v>HW1</v>
      </c>
      <c r="K86" s="35" t="str">
        <f t="shared" si="85"/>
        <v>SPHU</v>
      </c>
      <c r="L86" s="35">
        <f t="shared" si="67"/>
        <v>400</v>
      </c>
      <c r="M86" s="35">
        <f t="shared" si="68"/>
        <v>20</v>
      </c>
      <c r="N86" s="35">
        <f t="shared" si="69"/>
        <v>200</v>
      </c>
      <c r="O86" s="35" t="str">
        <f t="shared" si="70"/>
        <v>MTN2</v>
      </c>
      <c r="P86" s="35" t="str">
        <f t="shared" si="71"/>
        <v>CNT2</v>
      </c>
      <c r="Q86" s="35" t="str">
        <f t="shared" si="72"/>
        <v>KNT3</v>
      </c>
      <c r="R86" s="35" t="str">
        <f t="shared" si="73"/>
        <v>E</v>
      </c>
      <c r="S86" s="35" t="str">
        <f t="shared" si="74"/>
        <v>EXP1</v>
      </c>
      <c r="T86" s="58"/>
      <c r="U86" s="58"/>
      <c r="V86" s="58"/>
      <c r="W86" s="58"/>
      <c r="X86" s="58"/>
      <c r="Y86" s="58"/>
      <c r="Z86" s="58"/>
      <c r="AA86" s="95">
        <f t="shared" si="52"/>
        <v>0</v>
      </c>
      <c r="AB86" s="96">
        <f t="shared" si="86"/>
        <v>0</v>
      </c>
      <c r="AC86" s="58"/>
      <c r="AD86" s="58"/>
      <c r="AE86" s="58"/>
      <c r="AF86" s="58"/>
      <c r="AG86" s="58"/>
      <c r="AH86" s="58"/>
      <c r="AI86" s="58"/>
      <c r="AJ86" s="58"/>
      <c r="AK86" s="58"/>
      <c r="AL86" s="58"/>
      <c r="AM86" s="89">
        <f t="shared" si="87"/>
        <v>0</v>
      </c>
      <c r="AN86" s="5">
        <f t="shared" si="75"/>
        <v>35.511666666666663</v>
      </c>
      <c r="AO86" s="14">
        <f t="shared" si="76"/>
        <v>1.6659838916815397</v>
      </c>
      <c r="AP86" s="14">
        <f>IF((OR(R86="A",R86="B",R86="C")),INDEX(Coefficients!$S$4:$S$22,MATCH(J86,Coefficients!$R$4:$R$22)),INDEX(Coefficients!$T$4:$T$22,MATCH(J86,Coefficients!$R$4:$R$22)))</f>
        <v>1.3</v>
      </c>
      <c r="AQ86" s="27">
        <f>IF((OR(R86="A",R86="B",R86="C")),INDEX(Coefficients!$S$4:$S$22,MATCH(K86,Coefficients!$R$4:$R$22)),INDEX(Coefficients!$T$4:$T$22,MATCH(K86,Coefficients!$R$4:$R$22)))</f>
        <v>25</v>
      </c>
      <c r="AR86" s="15">
        <f>IF(OR(R86="A",R86="B",R86="C",R86="D"),IF(AN86&gt;=11,IF(AN86&gt;=26,Coefficients!$M$6,Coefficients!$M$5),Coefficients!$M$4),IF(AN86&gt;=11,IF(AN86&gt;=26,Coefficients!$N$6,Coefficients!$N$5),Coefficients!$N$4))</f>
        <v>1</v>
      </c>
      <c r="AS86" s="15">
        <f>INDEX(Coefficients!$X$3:$X$4,MATCH(S86,Coefficients!$W$3:$W$4))</f>
        <v>1</v>
      </c>
      <c r="AT86" s="15">
        <f>INDEX(Coefficients!$X$7:$X$8,MATCH(O86,Coefficients!$W$7:$W$8))</f>
        <v>1</v>
      </c>
      <c r="AU86" s="15">
        <f>INDEX(Coefficients!$X$11:$X$12,MATCH(P86,Coefficients!$W$11:$W$12))</f>
        <v>1</v>
      </c>
      <c r="AV86" s="15">
        <f>INDEX(Coefficients!$X$15:$X$17,MATCH(Q86,Coefficients!$W$15:$W$17))</f>
        <v>1</v>
      </c>
      <c r="AW86" s="15">
        <f t="shared" si="88"/>
        <v>1</v>
      </c>
      <c r="AX86" s="15">
        <f t="shared" si="89"/>
        <v>1</v>
      </c>
      <c r="AY86" s="15">
        <f t="shared" si="90"/>
        <v>1.3</v>
      </c>
      <c r="AZ86" s="14">
        <f t="shared" si="91"/>
        <v>41.649597292038493</v>
      </c>
      <c r="BA86" s="14">
        <f t="shared" si="92"/>
        <v>0</v>
      </c>
      <c r="BB86" s="14">
        <f t="shared" si="93"/>
        <v>2.1657790591860016</v>
      </c>
      <c r="BC86" s="14">
        <f t="shared" si="94"/>
        <v>1.7834220940813998</v>
      </c>
      <c r="BD86" s="14">
        <f t="shared" si="77"/>
        <v>0.48019671978492551</v>
      </c>
      <c r="BE86" s="16">
        <f t="shared" si="78"/>
        <v>0</v>
      </c>
      <c r="BF86" s="16">
        <f t="shared" si="79"/>
        <v>400</v>
      </c>
      <c r="BG86" s="17">
        <f t="shared" si="80"/>
        <v>0</v>
      </c>
      <c r="BH86" s="14">
        <f t="shared" si="81"/>
        <v>0</v>
      </c>
      <c r="BI86" s="14">
        <f t="shared" si="82"/>
        <v>400</v>
      </c>
      <c r="BJ86" s="14">
        <f t="shared" si="83"/>
        <v>39.20182802809137</v>
      </c>
    </row>
    <row r="87" spans="1:62">
      <c r="B87" s="14" t="s">
        <v>91</v>
      </c>
      <c r="C87" s="81" t="str">
        <f>MostLikely!$B$1</f>
        <v>MRI-CGCM2.3.2</v>
      </c>
      <c r="D87" s="89">
        <v>2005</v>
      </c>
      <c r="E87" s="57">
        <f>'Cooler&amp;Wetter'!AA33</f>
        <v>35.512500000000003</v>
      </c>
      <c r="F87" s="90">
        <f>MostLikely!AC33</f>
        <v>21.648359624999998</v>
      </c>
      <c r="G87" s="35">
        <f t="shared" si="84"/>
        <v>2005</v>
      </c>
      <c r="H87" s="91" t="str">
        <f t="shared" si="64"/>
        <v>Pile 32 @ Berth 201</v>
      </c>
      <c r="I87" s="35" t="str">
        <f t="shared" si="65"/>
        <v>Turpentine Gum</v>
      </c>
      <c r="J87" s="35" t="str">
        <f t="shared" si="66"/>
        <v>HW1</v>
      </c>
      <c r="K87" s="35" t="str">
        <f t="shared" si="85"/>
        <v>SPHU</v>
      </c>
      <c r="L87" s="35">
        <f t="shared" si="67"/>
        <v>400</v>
      </c>
      <c r="M87" s="35">
        <f t="shared" si="68"/>
        <v>20</v>
      </c>
      <c r="N87" s="35">
        <f t="shared" si="69"/>
        <v>200</v>
      </c>
      <c r="O87" s="35" t="str">
        <f t="shared" si="70"/>
        <v>MTN2</v>
      </c>
      <c r="P87" s="35" t="str">
        <f t="shared" si="71"/>
        <v>CNT2</v>
      </c>
      <c r="Q87" s="35" t="str">
        <f t="shared" si="72"/>
        <v>KNT3</v>
      </c>
      <c r="R87" s="35" t="str">
        <f t="shared" si="73"/>
        <v>E</v>
      </c>
      <c r="S87" s="35" t="str">
        <f t="shared" si="74"/>
        <v>EXP1</v>
      </c>
      <c r="T87" s="58"/>
      <c r="U87" s="58"/>
      <c r="V87" s="58"/>
      <c r="W87" s="58"/>
      <c r="X87" s="58"/>
      <c r="Y87" s="58"/>
      <c r="Z87" s="58"/>
      <c r="AA87" s="95">
        <f t="shared" si="52"/>
        <v>0</v>
      </c>
      <c r="AB87" s="96">
        <f t="shared" si="86"/>
        <v>0</v>
      </c>
      <c r="AC87" s="58"/>
      <c r="AD87" s="58"/>
      <c r="AE87" s="58"/>
      <c r="AF87" s="58"/>
      <c r="AG87" s="58"/>
      <c r="AH87" s="58"/>
      <c r="AI87" s="58"/>
      <c r="AJ87" s="58"/>
      <c r="AK87" s="58"/>
      <c r="AL87" s="58"/>
      <c r="AM87" s="89">
        <f t="shared" si="87"/>
        <v>0</v>
      </c>
      <c r="AN87" s="5">
        <f t="shared" si="75"/>
        <v>35.512500000000003</v>
      </c>
      <c r="AO87" s="14">
        <f t="shared" si="76"/>
        <v>1.6681273638670864</v>
      </c>
      <c r="AP87" s="14">
        <f>IF((OR(R87="A",R87="B",R87="C")),INDEX(Coefficients!$S$4:$S$22,MATCH(J87,Coefficients!$R$4:$R$22)),INDEX(Coefficients!$T$4:$T$22,MATCH(J87,Coefficients!$R$4:$R$22)))</f>
        <v>1.3</v>
      </c>
      <c r="AQ87" s="27">
        <f>IF((OR(R87="A",R87="B",R87="C")),INDEX(Coefficients!$S$4:$S$22,MATCH(K87,Coefficients!$R$4:$R$22)),INDEX(Coefficients!$T$4:$T$22,MATCH(K87,Coefficients!$R$4:$R$22)))</f>
        <v>25</v>
      </c>
      <c r="AR87" s="15">
        <f>IF(OR(R87="A",R87="B",R87="C",R87="D"),IF(AN87&gt;=11,IF(AN87&gt;=26,Coefficients!$M$6,Coefficients!$M$5),Coefficients!$M$4),IF(AN87&gt;=11,IF(AN87&gt;=26,Coefficients!$N$6,Coefficients!$N$5),Coefficients!$N$4))</f>
        <v>1</v>
      </c>
      <c r="AS87" s="15">
        <f>INDEX(Coefficients!$X$3:$X$4,MATCH(S87,Coefficients!$W$3:$W$4))</f>
        <v>1</v>
      </c>
      <c r="AT87" s="15">
        <f>INDEX(Coefficients!$X$7:$X$8,MATCH(O87,Coefficients!$W$7:$W$8))</f>
        <v>1</v>
      </c>
      <c r="AU87" s="15">
        <f>INDEX(Coefficients!$X$11:$X$12,MATCH(P87,Coefficients!$W$11:$W$12))</f>
        <v>1</v>
      </c>
      <c r="AV87" s="15">
        <f>INDEX(Coefficients!$X$15:$X$17,MATCH(Q87,Coefficients!$W$15:$W$17))</f>
        <v>1</v>
      </c>
      <c r="AW87" s="15">
        <f t="shared" si="88"/>
        <v>1</v>
      </c>
      <c r="AX87" s="15">
        <f t="shared" si="89"/>
        <v>1</v>
      </c>
      <c r="AY87" s="15">
        <f t="shared" si="90"/>
        <v>1.3</v>
      </c>
      <c r="AZ87" s="14">
        <f t="shared" si="91"/>
        <v>41.703184096677163</v>
      </c>
      <c r="BA87" s="14">
        <f t="shared" si="92"/>
        <v>0</v>
      </c>
      <c r="BB87" s="14">
        <f t="shared" si="93"/>
        <v>2.1685655730272124</v>
      </c>
      <c r="BC87" s="14">
        <f t="shared" si="94"/>
        <v>1.7831434426972788</v>
      </c>
      <c r="BD87" s="14">
        <f t="shared" si="77"/>
        <v>0.47957968757578789</v>
      </c>
      <c r="BE87" s="16">
        <f t="shared" si="78"/>
        <v>0</v>
      </c>
      <c r="BF87" s="16">
        <f t="shared" si="79"/>
        <v>400</v>
      </c>
      <c r="BG87" s="17">
        <f t="shared" si="80"/>
        <v>0</v>
      </c>
      <c r="BH87" s="14">
        <f t="shared" si="81"/>
        <v>0</v>
      </c>
      <c r="BI87" s="14">
        <f t="shared" si="82"/>
        <v>400</v>
      </c>
      <c r="BJ87" s="14">
        <f t="shared" si="83"/>
        <v>39.153468328410597</v>
      </c>
    </row>
    <row r="88" spans="1:62">
      <c r="B88" s="14" t="s">
        <v>91</v>
      </c>
      <c r="C88" s="81" t="str">
        <f>MostLikely!$B$1</f>
        <v>MRI-CGCM2.3.2</v>
      </c>
      <c r="D88" s="89">
        <v>2006</v>
      </c>
      <c r="E88" s="57">
        <f>'Cooler&amp;Wetter'!AA34</f>
        <v>35.513333333333335</v>
      </c>
      <c r="F88" s="90">
        <f>MostLikely!AC34</f>
        <v>21.658250266666666</v>
      </c>
      <c r="G88" s="35">
        <f t="shared" si="84"/>
        <v>2005</v>
      </c>
      <c r="H88" s="91" t="str">
        <f t="shared" si="64"/>
        <v>Pile 32 @ Berth 201</v>
      </c>
      <c r="I88" s="35" t="str">
        <f t="shared" si="65"/>
        <v>Turpentine Gum</v>
      </c>
      <c r="J88" s="35" t="str">
        <f t="shared" si="66"/>
        <v>HW1</v>
      </c>
      <c r="K88" s="35" t="str">
        <f t="shared" si="85"/>
        <v>SPHU</v>
      </c>
      <c r="L88" s="35">
        <f t="shared" si="67"/>
        <v>400</v>
      </c>
      <c r="M88" s="35">
        <f t="shared" si="68"/>
        <v>20</v>
      </c>
      <c r="N88" s="35">
        <f t="shared" si="69"/>
        <v>200</v>
      </c>
      <c r="O88" s="35" t="str">
        <f t="shared" si="70"/>
        <v>MTN2</v>
      </c>
      <c r="P88" s="35" t="str">
        <f t="shared" si="71"/>
        <v>CNT2</v>
      </c>
      <c r="Q88" s="35" t="str">
        <f t="shared" si="72"/>
        <v>KNT3</v>
      </c>
      <c r="R88" s="35" t="str">
        <f t="shared" si="73"/>
        <v>E</v>
      </c>
      <c r="S88" s="35" t="str">
        <f t="shared" si="74"/>
        <v>EXP1</v>
      </c>
      <c r="T88" s="58"/>
      <c r="U88" s="58"/>
      <c r="V88" s="58"/>
      <c r="W88" s="58"/>
      <c r="X88" s="58"/>
      <c r="Y88" s="58"/>
      <c r="Z88" s="58"/>
      <c r="AA88" s="95">
        <f t="shared" si="52"/>
        <v>0.2</v>
      </c>
      <c r="AB88" s="96">
        <f t="shared" si="86"/>
        <v>20</v>
      </c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89">
        <f t="shared" si="87"/>
        <v>1</v>
      </c>
      <c r="AN88" s="5">
        <f t="shared" si="75"/>
        <v>35.513333333333335</v>
      </c>
      <c r="AO88" s="14">
        <f t="shared" si="76"/>
        <v>1.6702735938662201</v>
      </c>
      <c r="AP88" s="14">
        <f>IF((OR(R88="A",R88="B",R88="C")),INDEX(Coefficients!$S$4:$S$22,MATCH(J88,Coefficients!$R$4:$R$22)),INDEX(Coefficients!$T$4:$T$22,MATCH(J88,Coefficients!$R$4:$R$22)))</f>
        <v>1.3</v>
      </c>
      <c r="AQ88" s="27">
        <f>IF((OR(R88="A",R88="B",R88="C")),INDEX(Coefficients!$S$4:$S$22,MATCH(K88,Coefficients!$R$4:$R$22)),INDEX(Coefficients!$T$4:$T$22,MATCH(K88,Coefficients!$R$4:$R$22)))</f>
        <v>25</v>
      </c>
      <c r="AR88" s="15">
        <f>IF(OR(R88="A",R88="B",R88="C",R88="D"),IF(AN88&gt;=11,IF(AN88&gt;=26,Coefficients!$M$6,Coefficients!$M$5),Coefficients!$M$4),IF(AN88&gt;=11,IF(AN88&gt;=26,Coefficients!$N$6,Coefficients!$N$5),Coefficients!$N$4))</f>
        <v>1</v>
      </c>
      <c r="AS88" s="15">
        <f>INDEX(Coefficients!$X$3:$X$4,MATCH(S88,Coefficients!$W$3:$W$4))</f>
        <v>1</v>
      </c>
      <c r="AT88" s="15">
        <f>INDEX(Coefficients!$X$7:$X$8,MATCH(O88,Coefficients!$W$7:$W$8))</f>
        <v>1</v>
      </c>
      <c r="AU88" s="15">
        <f>INDEX(Coefficients!$X$11:$X$12,MATCH(P88,Coefficients!$W$11:$W$12))</f>
        <v>1</v>
      </c>
      <c r="AV88" s="15">
        <f>INDEX(Coefficients!$X$15:$X$17,MATCH(Q88,Coefficients!$W$15:$W$17))</f>
        <v>1</v>
      </c>
      <c r="AW88" s="15">
        <f t="shared" si="88"/>
        <v>1</v>
      </c>
      <c r="AX88" s="15">
        <f t="shared" si="89"/>
        <v>1</v>
      </c>
      <c r="AY88" s="15">
        <f t="shared" si="90"/>
        <v>1.3</v>
      </c>
      <c r="AZ88" s="14">
        <f t="shared" si="91"/>
        <v>41.756839846655502</v>
      </c>
      <c r="BA88" s="14">
        <f t="shared" si="92"/>
        <v>0</v>
      </c>
      <c r="BB88" s="14">
        <f t="shared" si="93"/>
        <v>2.171355672026086</v>
      </c>
      <c r="BC88" s="14">
        <f t="shared" si="94"/>
        <v>1.7828644327973913</v>
      </c>
      <c r="BD88" s="14">
        <f t="shared" si="77"/>
        <v>0.47896344822659975</v>
      </c>
      <c r="BE88" s="16">
        <f t="shared" si="78"/>
        <v>20</v>
      </c>
      <c r="BF88" s="16">
        <f t="shared" si="79"/>
        <v>360</v>
      </c>
      <c r="BG88" s="17">
        <f t="shared" si="80"/>
        <v>0.2</v>
      </c>
      <c r="BH88" s="14">
        <f t="shared" si="81"/>
        <v>44</v>
      </c>
      <c r="BI88" s="14">
        <f t="shared" si="82"/>
        <v>312</v>
      </c>
      <c r="BJ88" s="14">
        <f t="shared" si="83"/>
        <v>39.105170052300892</v>
      </c>
    </row>
    <row r="89" spans="1:62">
      <c r="B89" s="14" t="s">
        <v>91</v>
      </c>
      <c r="C89" s="81" t="str">
        <f>MostLikely!$B$1</f>
        <v>MRI-CGCM2.3.2</v>
      </c>
      <c r="D89" s="89">
        <v>2007</v>
      </c>
      <c r="E89" s="57">
        <f>'Cooler&amp;Wetter'!AA35</f>
        <v>35.514166666666668</v>
      </c>
      <c r="F89" s="90">
        <f>MostLikely!AC35</f>
        <v>21.668140908333331</v>
      </c>
      <c r="G89" s="35">
        <f t="shared" si="84"/>
        <v>2005</v>
      </c>
      <c r="H89" s="91" t="str">
        <f t="shared" si="64"/>
        <v>Pile 32 @ Berth 201</v>
      </c>
      <c r="I89" s="35" t="str">
        <f t="shared" si="65"/>
        <v>Turpentine Gum</v>
      </c>
      <c r="J89" s="35" t="str">
        <f t="shared" si="66"/>
        <v>HW1</v>
      </c>
      <c r="K89" s="35" t="str">
        <f t="shared" si="85"/>
        <v>SPHU</v>
      </c>
      <c r="L89" s="35">
        <f t="shared" si="67"/>
        <v>400</v>
      </c>
      <c r="M89" s="35">
        <f t="shared" si="68"/>
        <v>20</v>
      </c>
      <c r="N89" s="35">
        <f t="shared" si="69"/>
        <v>200</v>
      </c>
      <c r="O89" s="35" t="str">
        <f t="shared" si="70"/>
        <v>MTN2</v>
      </c>
      <c r="P89" s="35" t="str">
        <f t="shared" si="71"/>
        <v>CNT2</v>
      </c>
      <c r="Q89" s="35" t="str">
        <f t="shared" si="72"/>
        <v>KNT3</v>
      </c>
      <c r="R89" s="35" t="str">
        <f t="shared" si="73"/>
        <v>E</v>
      </c>
      <c r="S89" s="35" t="str">
        <f t="shared" si="74"/>
        <v>EXP1</v>
      </c>
      <c r="T89" s="58"/>
      <c r="U89" s="58"/>
      <c r="V89" s="58"/>
      <c r="W89" s="58"/>
      <c r="X89" s="58"/>
      <c r="Y89" s="58"/>
      <c r="Z89" s="58"/>
      <c r="AA89" s="95">
        <f t="shared" si="52"/>
        <v>0.2</v>
      </c>
      <c r="AB89" s="96">
        <f t="shared" si="86"/>
        <v>20</v>
      </c>
      <c r="AC89" s="58"/>
      <c r="AD89" s="58"/>
      <c r="AE89" s="58"/>
      <c r="AF89" s="58"/>
      <c r="AG89" s="58"/>
      <c r="AH89" s="58"/>
      <c r="AI89" s="58"/>
      <c r="AJ89" s="58"/>
      <c r="AK89" s="58"/>
      <c r="AL89" s="58"/>
      <c r="AM89" s="89">
        <f t="shared" si="87"/>
        <v>2</v>
      </c>
      <c r="AN89" s="5">
        <f t="shared" si="75"/>
        <v>35.514166666666668</v>
      </c>
      <c r="AO89" s="14">
        <f t="shared" si="76"/>
        <v>1.6724225852271701</v>
      </c>
      <c r="AP89" s="14">
        <f>IF((OR(R89="A",R89="B",R89="C")),INDEX(Coefficients!$S$4:$S$22,MATCH(J89,Coefficients!$R$4:$R$22)),INDEX(Coefficients!$T$4:$T$22,MATCH(J89,Coefficients!$R$4:$R$22)))</f>
        <v>1.3</v>
      </c>
      <c r="AQ89" s="27">
        <f>IF((OR(R89="A",R89="B",R89="C")),INDEX(Coefficients!$S$4:$S$22,MATCH(K89,Coefficients!$R$4:$R$22)),INDEX(Coefficients!$T$4:$T$22,MATCH(K89,Coefficients!$R$4:$R$22)))</f>
        <v>25</v>
      </c>
      <c r="AR89" s="15">
        <f>IF(OR(R89="A",R89="B",R89="C",R89="D"),IF(AN89&gt;=11,IF(AN89&gt;=26,Coefficients!$M$6,Coefficients!$M$5),Coefficients!$M$4),IF(AN89&gt;=11,IF(AN89&gt;=26,Coefficients!$N$6,Coefficients!$N$5),Coefficients!$N$4))</f>
        <v>1</v>
      </c>
      <c r="AS89" s="15">
        <f>INDEX(Coefficients!$X$3:$X$4,MATCH(S89,Coefficients!$W$3:$W$4))</f>
        <v>1</v>
      </c>
      <c r="AT89" s="15">
        <f>INDEX(Coefficients!$X$7:$X$8,MATCH(O89,Coefficients!$W$7:$W$8))</f>
        <v>1</v>
      </c>
      <c r="AU89" s="15">
        <f>INDEX(Coefficients!$X$11:$X$12,MATCH(P89,Coefficients!$W$11:$W$12))</f>
        <v>1</v>
      </c>
      <c r="AV89" s="15">
        <f>INDEX(Coefficients!$X$15:$X$17,MATCH(Q89,Coefficients!$W$15:$W$17))</f>
        <v>1</v>
      </c>
      <c r="AW89" s="15">
        <f t="shared" si="88"/>
        <v>1</v>
      </c>
      <c r="AX89" s="15">
        <f t="shared" si="89"/>
        <v>1</v>
      </c>
      <c r="AY89" s="15">
        <f t="shared" si="90"/>
        <v>1.3</v>
      </c>
      <c r="AZ89" s="14">
        <f t="shared" si="91"/>
        <v>41.810564630679252</v>
      </c>
      <c r="BA89" s="14">
        <f t="shared" si="92"/>
        <v>0</v>
      </c>
      <c r="BB89" s="14">
        <f t="shared" si="93"/>
        <v>2.1741493607953211</v>
      </c>
      <c r="BC89" s="14">
        <f t="shared" si="94"/>
        <v>1.7825850639204679</v>
      </c>
      <c r="BD89" s="14">
        <f t="shared" si="77"/>
        <v>0.47834800071857059</v>
      </c>
      <c r="BE89" s="16">
        <f t="shared" si="78"/>
        <v>20</v>
      </c>
      <c r="BF89" s="16">
        <f t="shared" si="79"/>
        <v>360</v>
      </c>
      <c r="BG89" s="17">
        <f t="shared" si="80"/>
        <v>0.2</v>
      </c>
      <c r="BH89" s="14">
        <f t="shared" si="81"/>
        <v>44</v>
      </c>
      <c r="BI89" s="14">
        <f t="shared" si="82"/>
        <v>312</v>
      </c>
      <c r="BJ89" s="14">
        <f t="shared" si="83"/>
        <v>39.056933119913694</v>
      </c>
    </row>
    <row r="90" spans="1:62">
      <c r="B90" s="14" t="s">
        <v>91</v>
      </c>
      <c r="C90" s="81" t="str">
        <f>MostLikely!$B$1</f>
        <v>MRI-CGCM2.3.2</v>
      </c>
      <c r="D90" s="89">
        <v>2008</v>
      </c>
      <c r="E90" s="57">
        <f>'Cooler&amp;Wetter'!AA36</f>
        <v>35.515000000000001</v>
      </c>
      <c r="F90" s="90">
        <f>MostLikely!AC36</f>
        <v>21.67803155</v>
      </c>
      <c r="G90" s="35">
        <f t="shared" si="84"/>
        <v>2005</v>
      </c>
      <c r="H90" s="91" t="str">
        <f t="shared" si="64"/>
        <v>Pile 32 @ Berth 201</v>
      </c>
      <c r="I90" s="35" t="str">
        <f t="shared" si="65"/>
        <v>Turpentine Gum</v>
      </c>
      <c r="J90" s="35" t="str">
        <f t="shared" si="66"/>
        <v>HW1</v>
      </c>
      <c r="K90" s="35" t="str">
        <f t="shared" si="85"/>
        <v>SPHU</v>
      </c>
      <c r="L90" s="35">
        <f t="shared" si="67"/>
        <v>400</v>
      </c>
      <c r="M90" s="35">
        <f t="shared" si="68"/>
        <v>20</v>
      </c>
      <c r="N90" s="35">
        <f t="shared" si="69"/>
        <v>200</v>
      </c>
      <c r="O90" s="35" t="str">
        <f t="shared" si="70"/>
        <v>MTN2</v>
      </c>
      <c r="P90" s="35" t="str">
        <f t="shared" si="71"/>
        <v>CNT2</v>
      </c>
      <c r="Q90" s="35" t="str">
        <f t="shared" si="72"/>
        <v>KNT3</v>
      </c>
      <c r="R90" s="35" t="str">
        <f t="shared" si="73"/>
        <v>E</v>
      </c>
      <c r="S90" s="35" t="str">
        <f t="shared" si="74"/>
        <v>EXP1</v>
      </c>
      <c r="T90" s="58"/>
      <c r="U90" s="58"/>
      <c r="V90" s="58"/>
      <c r="W90" s="58"/>
      <c r="X90" s="58"/>
      <c r="Y90" s="58"/>
      <c r="Z90" s="58"/>
      <c r="AA90" s="95">
        <f t="shared" si="52"/>
        <v>0.21610856313015619</v>
      </c>
      <c r="AB90" s="96">
        <f t="shared" si="86"/>
        <v>21.610856313015621</v>
      </c>
      <c r="AC90" s="58"/>
      <c r="AD90" s="58"/>
      <c r="AE90" s="58"/>
      <c r="AF90" s="58"/>
      <c r="AG90" s="58"/>
      <c r="AH90" s="58"/>
      <c r="AI90" s="58"/>
      <c r="AJ90" s="58"/>
      <c r="AK90" s="58"/>
      <c r="AL90" s="58"/>
      <c r="AM90" s="89">
        <f t="shared" si="87"/>
        <v>3</v>
      </c>
      <c r="AN90" s="5">
        <f t="shared" si="75"/>
        <v>35.515000000000001</v>
      </c>
      <c r="AO90" s="14">
        <f t="shared" si="76"/>
        <v>1.674574341502735</v>
      </c>
      <c r="AP90" s="14">
        <f>IF((OR(R90="A",R90="B",R90="C")),INDEX(Coefficients!$S$4:$S$22,MATCH(J90,Coefficients!$R$4:$R$22)),INDEX(Coefficients!$T$4:$T$22,MATCH(J90,Coefficients!$R$4:$R$22)))</f>
        <v>1.3</v>
      </c>
      <c r="AQ90" s="27">
        <f>IF((OR(R90="A",R90="B",R90="C")),INDEX(Coefficients!$S$4:$S$22,MATCH(K90,Coefficients!$R$4:$R$22)),INDEX(Coefficients!$T$4:$T$22,MATCH(K90,Coefficients!$R$4:$R$22)))</f>
        <v>25</v>
      </c>
      <c r="AR90" s="15">
        <f>IF(OR(R90="A",R90="B",R90="C",R90="D"),IF(AN90&gt;=11,IF(AN90&gt;=26,Coefficients!$M$6,Coefficients!$M$5),Coefficients!$M$4),IF(AN90&gt;=11,IF(AN90&gt;=26,Coefficients!$N$6,Coefficients!$N$5),Coefficients!$N$4))</f>
        <v>1</v>
      </c>
      <c r="AS90" s="15">
        <f>INDEX(Coefficients!$X$3:$X$4,MATCH(S90,Coefficients!$W$3:$W$4))</f>
        <v>1</v>
      </c>
      <c r="AT90" s="15">
        <f>INDEX(Coefficients!$X$7:$X$8,MATCH(O90,Coefficients!$W$7:$W$8))</f>
        <v>1</v>
      </c>
      <c r="AU90" s="15">
        <f>INDEX(Coefficients!$X$11:$X$12,MATCH(P90,Coefficients!$W$11:$W$12))</f>
        <v>1</v>
      </c>
      <c r="AV90" s="15">
        <f>INDEX(Coefficients!$X$15:$X$17,MATCH(Q90,Coefficients!$W$15:$W$17))</f>
        <v>1</v>
      </c>
      <c r="AW90" s="15">
        <f t="shared" si="88"/>
        <v>1</v>
      </c>
      <c r="AX90" s="15">
        <f t="shared" si="89"/>
        <v>1</v>
      </c>
      <c r="AY90" s="15">
        <f t="shared" si="90"/>
        <v>1.3</v>
      </c>
      <c r="AZ90" s="14">
        <f t="shared" si="91"/>
        <v>41.864358537568371</v>
      </c>
      <c r="BA90" s="14">
        <f t="shared" si="92"/>
        <v>0</v>
      </c>
      <c r="BB90" s="14">
        <f t="shared" si="93"/>
        <v>2.1769466439535554</v>
      </c>
      <c r="BC90" s="14">
        <f t="shared" si="94"/>
        <v>1.7823053356046445</v>
      </c>
      <c r="BD90" s="14">
        <f t="shared" si="77"/>
        <v>0.47773334403421797</v>
      </c>
      <c r="BE90" s="16">
        <f t="shared" si="78"/>
        <v>21.610856313015621</v>
      </c>
      <c r="BF90" s="16">
        <f t="shared" si="79"/>
        <v>356.77828737396874</v>
      </c>
      <c r="BG90" s="17">
        <f t="shared" si="80"/>
        <v>0.21610856313015619</v>
      </c>
      <c r="BH90" s="14">
        <f t="shared" si="81"/>
        <v>47.543883888634369</v>
      </c>
      <c r="BI90" s="14">
        <f t="shared" si="82"/>
        <v>304.91223222273129</v>
      </c>
      <c r="BJ90" s="14">
        <f t="shared" si="83"/>
        <v>39.008757451501786</v>
      </c>
    </row>
    <row r="91" spans="1:62">
      <c r="B91" s="14" t="s">
        <v>91</v>
      </c>
      <c r="C91" s="81" t="str">
        <f>MostLikely!$B$1</f>
        <v>MRI-CGCM2.3.2</v>
      </c>
      <c r="D91" s="89">
        <v>2009</v>
      </c>
      <c r="E91" s="57">
        <f>'Cooler&amp;Wetter'!AA37</f>
        <v>35.515833333333333</v>
      </c>
      <c r="F91" s="90">
        <f>MostLikely!AC37</f>
        <v>21.687922191666665</v>
      </c>
      <c r="G91" s="35">
        <f t="shared" si="84"/>
        <v>2005</v>
      </c>
      <c r="H91" s="91" t="str">
        <f t="shared" si="64"/>
        <v>Pile 32 @ Berth 201</v>
      </c>
      <c r="I91" s="35" t="str">
        <f t="shared" si="65"/>
        <v>Turpentine Gum</v>
      </c>
      <c r="J91" s="35" t="str">
        <f t="shared" si="66"/>
        <v>HW1</v>
      </c>
      <c r="K91" s="35" t="str">
        <f t="shared" si="85"/>
        <v>SPHU</v>
      </c>
      <c r="L91" s="35">
        <f t="shared" si="67"/>
        <v>400</v>
      </c>
      <c r="M91" s="35">
        <f t="shared" si="68"/>
        <v>20</v>
      </c>
      <c r="N91" s="35">
        <f t="shared" si="69"/>
        <v>200</v>
      </c>
      <c r="O91" s="35" t="str">
        <f t="shared" si="70"/>
        <v>MTN2</v>
      </c>
      <c r="P91" s="35" t="str">
        <f t="shared" si="71"/>
        <v>CNT2</v>
      </c>
      <c r="Q91" s="35" t="str">
        <f t="shared" si="72"/>
        <v>KNT3</v>
      </c>
      <c r="R91" s="35" t="str">
        <f t="shared" si="73"/>
        <v>E</v>
      </c>
      <c r="S91" s="35" t="str">
        <f t="shared" si="74"/>
        <v>EXP1</v>
      </c>
      <c r="T91" s="58"/>
      <c r="U91" s="58"/>
      <c r="V91" s="58"/>
      <c r="W91" s="58"/>
      <c r="X91" s="58"/>
      <c r="Y91" s="58"/>
      <c r="Z91" s="58"/>
      <c r="AA91" s="95">
        <f t="shared" si="52"/>
        <v>0.23794624980015694</v>
      </c>
      <c r="AB91" s="96">
        <f t="shared" si="86"/>
        <v>23.794624980015694</v>
      </c>
      <c r="AC91" s="58"/>
      <c r="AD91" s="58"/>
      <c r="AE91" s="58"/>
      <c r="AF91" s="58"/>
      <c r="AG91" s="58"/>
      <c r="AH91" s="58"/>
      <c r="AI91" s="58"/>
      <c r="AJ91" s="58"/>
      <c r="AK91" s="58"/>
      <c r="AL91" s="58"/>
      <c r="AM91" s="89">
        <f t="shared" si="87"/>
        <v>4</v>
      </c>
      <c r="AN91" s="5">
        <f t="shared" si="75"/>
        <v>35.515833333333333</v>
      </c>
      <c r="AO91" s="14">
        <f t="shared" si="76"/>
        <v>1.6767288662502811</v>
      </c>
      <c r="AP91" s="14">
        <f>IF((OR(R91="A",R91="B",R91="C")),INDEX(Coefficients!$S$4:$S$22,MATCH(J91,Coefficients!$R$4:$R$22)),INDEX(Coefficients!$T$4:$T$22,MATCH(J91,Coefficients!$R$4:$R$22)))</f>
        <v>1.3</v>
      </c>
      <c r="AQ91" s="27">
        <f>IF((OR(R91="A",R91="B",R91="C")),INDEX(Coefficients!$S$4:$S$22,MATCH(K91,Coefficients!$R$4:$R$22)),INDEX(Coefficients!$T$4:$T$22,MATCH(K91,Coefficients!$R$4:$R$22)))</f>
        <v>25</v>
      </c>
      <c r="AR91" s="15">
        <f>IF(OR(R91="A",R91="B",R91="C",R91="D"),IF(AN91&gt;=11,IF(AN91&gt;=26,Coefficients!$M$6,Coefficients!$M$5),Coefficients!$M$4),IF(AN91&gt;=11,IF(AN91&gt;=26,Coefficients!$N$6,Coefficients!$N$5),Coefficients!$N$4))</f>
        <v>1</v>
      </c>
      <c r="AS91" s="15">
        <f>INDEX(Coefficients!$X$3:$X$4,MATCH(S91,Coefficients!$W$3:$W$4))</f>
        <v>1</v>
      </c>
      <c r="AT91" s="15">
        <f>INDEX(Coefficients!$X$7:$X$8,MATCH(O91,Coefficients!$W$7:$W$8))</f>
        <v>1</v>
      </c>
      <c r="AU91" s="15">
        <f>INDEX(Coefficients!$X$11:$X$12,MATCH(P91,Coefficients!$W$11:$W$12))</f>
        <v>1</v>
      </c>
      <c r="AV91" s="15">
        <f>INDEX(Coefficients!$X$15:$X$17,MATCH(Q91,Coefficients!$W$15:$W$17))</f>
        <v>1</v>
      </c>
      <c r="AW91" s="15">
        <f t="shared" si="88"/>
        <v>1</v>
      </c>
      <c r="AX91" s="15">
        <f t="shared" si="89"/>
        <v>1</v>
      </c>
      <c r="AY91" s="15">
        <f t="shared" si="90"/>
        <v>1.3</v>
      </c>
      <c r="AZ91" s="14">
        <f t="shared" si="91"/>
        <v>41.918221656257025</v>
      </c>
      <c r="BA91" s="14">
        <f t="shared" si="92"/>
        <v>0</v>
      </c>
      <c r="BB91" s="14">
        <f t="shared" si="93"/>
        <v>2.1797475261253654</v>
      </c>
      <c r="BC91" s="14">
        <f t="shared" si="94"/>
        <v>1.7820252473874634</v>
      </c>
      <c r="BD91" s="14">
        <f t="shared" si="77"/>
        <v>0.47711947715736769</v>
      </c>
      <c r="BE91" s="16">
        <f t="shared" si="78"/>
        <v>23.794624980015694</v>
      </c>
      <c r="BF91" s="16">
        <f t="shared" si="79"/>
        <v>352.4107500399686</v>
      </c>
      <c r="BG91" s="17">
        <f t="shared" si="80"/>
        <v>0.23794624980015694</v>
      </c>
      <c r="BH91" s="14">
        <f t="shared" si="81"/>
        <v>52.348174956034534</v>
      </c>
      <c r="BI91" s="14">
        <f t="shared" si="82"/>
        <v>295.30365008793092</v>
      </c>
      <c r="BJ91" s="14">
        <f t="shared" si="83"/>
        <v>38.960642967419268</v>
      </c>
    </row>
    <row r="92" spans="1:62">
      <c r="B92" s="14" t="s">
        <v>91</v>
      </c>
      <c r="C92" s="81" t="str">
        <f>MostLikely!$B$1</f>
        <v>MRI-CGCM2.3.2</v>
      </c>
      <c r="D92" s="89">
        <v>2010</v>
      </c>
      <c r="E92" s="57">
        <f>'Cooler&amp;Wetter'!AA38</f>
        <v>35.516666666666666</v>
      </c>
      <c r="F92" s="90">
        <f>MostLikely!AC38</f>
        <v>21.697812833333334</v>
      </c>
      <c r="G92" s="35">
        <f t="shared" si="84"/>
        <v>2005</v>
      </c>
      <c r="H92" s="91" t="str">
        <f t="shared" si="64"/>
        <v>Pile 32 @ Berth 201</v>
      </c>
      <c r="I92" s="35" t="str">
        <f t="shared" si="65"/>
        <v>Turpentine Gum</v>
      </c>
      <c r="J92" s="35" t="str">
        <f t="shared" si="66"/>
        <v>HW1</v>
      </c>
      <c r="K92" s="35" t="str">
        <f t="shared" si="85"/>
        <v>SPHU</v>
      </c>
      <c r="L92" s="35">
        <f t="shared" si="67"/>
        <v>400</v>
      </c>
      <c r="M92" s="35">
        <f t="shared" si="68"/>
        <v>20</v>
      </c>
      <c r="N92" s="35">
        <f t="shared" si="69"/>
        <v>200</v>
      </c>
      <c r="O92" s="35" t="str">
        <f t="shared" si="70"/>
        <v>MTN2</v>
      </c>
      <c r="P92" s="35" t="str">
        <f t="shared" si="71"/>
        <v>CNT2</v>
      </c>
      <c r="Q92" s="35" t="str">
        <f t="shared" si="72"/>
        <v>KNT3</v>
      </c>
      <c r="R92" s="35" t="str">
        <f t="shared" si="73"/>
        <v>E</v>
      </c>
      <c r="S92" s="35" t="str">
        <f t="shared" si="74"/>
        <v>EXP1</v>
      </c>
      <c r="T92" s="58"/>
      <c r="U92" s="58"/>
      <c r="V92" s="58"/>
      <c r="W92" s="58"/>
      <c r="X92" s="58"/>
      <c r="Y92" s="58"/>
      <c r="Z92" s="58"/>
      <c r="AA92" s="95">
        <f t="shared" si="52"/>
        <v>0.25984009364306737</v>
      </c>
      <c r="AB92" s="96">
        <f t="shared" si="86"/>
        <v>25.98400936430674</v>
      </c>
      <c r="AC92" s="58"/>
      <c r="AD92" s="58"/>
      <c r="AE92" s="58"/>
      <c r="AF92" s="58"/>
      <c r="AG92" s="58"/>
      <c r="AH92" s="58"/>
      <c r="AI92" s="58"/>
      <c r="AJ92" s="58"/>
      <c r="AK92" s="58"/>
      <c r="AL92" s="58"/>
      <c r="AM92" s="89">
        <f t="shared" si="87"/>
        <v>5</v>
      </c>
      <c r="AN92" s="5">
        <f t="shared" si="75"/>
        <v>35.516666666666666</v>
      </c>
      <c r="AO92" s="14">
        <f t="shared" si="76"/>
        <v>1.6788861630317549</v>
      </c>
      <c r="AP92" s="14">
        <f>IF((OR(R92="A",R92="B",R92="C")),INDEX(Coefficients!$S$4:$S$22,MATCH(J92,Coefficients!$R$4:$R$22)),INDEX(Coefficients!$T$4:$T$22,MATCH(J92,Coefficients!$R$4:$R$22)))</f>
        <v>1.3</v>
      </c>
      <c r="AQ92" s="27">
        <f>IF((OR(R92="A",R92="B",R92="C")),INDEX(Coefficients!$S$4:$S$22,MATCH(K92,Coefficients!$R$4:$R$22)),INDEX(Coefficients!$T$4:$T$22,MATCH(K92,Coefficients!$R$4:$R$22)))</f>
        <v>25</v>
      </c>
      <c r="AR92" s="15">
        <f>IF(OR(R92="A",R92="B",R92="C",R92="D"),IF(AN92&gt;=11,IF(AN92&gt;=26,Coefficients!$M$6,Coefficients!$M$5),Coefficients!$M$4),IF(AN92&gt;=11,IF(AN92&gt;=26,Coefficients!$N$6,Coefficients!$N$5),Coefficients!$N$4))</f>
        <v>1</v>
      </c>
      <c r="AS92" s="15">
        <f>INDEX(Coefficients!$X$3:$X$4,MATCH(S92,Coefficients!$W$3:$W$4))</f>
        <v>1</v>
      </c>
      <c r="AT92" s="15">
        <f>INDEX(Coefficients!$X$7:$X$8,MATCH(O92,Coefficients!$W$7:$W$8))</f>
        <v>1</v>
      </c>
      <c r="AU92" s="15">
        <f>INDEX(Coefficients!$X$11:$X$12,MATCH(P92,Coefficients!$W$11:$W$12))</f>
        <v>1</v>
      </c>
      <c r="AV92" s="15">
        <f>INDEX(Coefficients!$X$15:$X$17,MATCH(Q92,Coefficients!$W$15:$W$17))</f>
        <v>1</v>
      </c>
      <c r="AW92" s="15">
        <f t="shared" si="88"/>
        <v>1</v>
      </c>
      <c r="AX92" s="15">
        <f t="shared" si="89"/>
        <v>1</v>
      </c>
      <c r="AY92" s="15">
        <f t="shared" si="90"/>
        <v>1.3</v>
      </c>
      <c r="AZ92" s="14">
        <f t="shared" si="91"/>
        <v>41.972154075793874</v>
      </c>
      <c r="BA92" s="14">
        <f t="shared" si="92"/>
        <v>0</v>
      </c>
      <c r="BB92" s="14">
        <f t="shared" si="93"/>
        <v>2.1825520119412816</v>
      </c>
      <c r="BC92" s="14">
        <f t="shared" si="94"/>
        <v>1.7817447988058719</v>
      </c>
      <c r="BD92" s="14">
        <f t="shared" si="77"/>
        <v>0.47650639907315062</v>
      </c>
      <c r="BE92" s="16">
        <f t="shared" si="78"/>
        <v>25.98400936430674</v>
      </c>
      <c r="BF92" s="16">
        <f t="shared" si="79"/>
        <v>348.03198127138654</v>
      </c>
      <c r="BG92" s="17">
        <f t="shared" si="80"/>
        <v>0.25984009364306737</v>
      </c>
      <c r="BH92" s="14">
        <f t="shared" si="81"/>
        <v>57.16482060147483</v>
      </c>
      <c r="BI92" s="14">
        <f t="shared" si="82"/>
        <v>285.67035879705031</v>
      </c>
      <c r="BJ92" s="14">
        <f t="shared" si="83"/>
        <v>38.912589588121378</v>
      </c>
    </row>
    <row r="93" spans="1:62">
      <c r="B93" s="14" t="s">
        <v>91</v>
      </c>
      <c r="C93" s="81" t="str">
        <f>MostLikely!$B$1</f>
        <v>MRI-CGCM2.3.2</v>
      </c>
      <c r="D93" s="89">
        <v>2011</v>
      </c>
      <c r="E93" s="57">
        <f>'Cooler&amp;Wetter'!AA39</f>
        <v>35.518333333333331</v>
      </c>
      <c r="F93" s="90">
        <f>MostLikely!AC39</f>
        <v>21.717594116666668</v>
      </c>
      <c r="G93" s="35">
        <f t="shared" si="84"/>
        <v>2005</v>
      </c>
      <c r="H93" s="91" t="str">
        <f t="shared" si="64"/>
        <v>Pile 32 @ Berth 201</v>
      </c>
      <c r="I93" s="35" t="str">
        <f t="shared" si="65"/>
        <v>Turpentine Gum</v>
      </c>
      <c r="J93" s="35" t="str">
        <f t="shared" si="66"/>
        <v>HW1</v>
      </c>
      <c r="K93" s="35" t="str">
        <f t="shared" si="85"/>
        <v>SPHU</v>
      </c>
      <c r="L93" s="35">
        <f t="shared" si="67"/>
        <v>400</v>
      </c>
      <c r="M93" s="35">
        <f t="shared" si="68"/>
        <v>20</v>
      </c>
      <c r="N93" s="35">
        <f t="shared" si="69"/>
        <v>200</v>
      </c>
      <c r="O93" s="35" t="str">
        <f t="shared" si="70"/>
        <v>MTN2</v>
      </c>
      <c r="P93" s="35" t="str">
        <f t="shared" si="71"/>
        <v>CNT2</v>
      </c>
      <c r="Q93" s="35" t="str">
        <f t="shared" si="72"/>
        <v>KNT3</v>
      </c>
      <c r="R93" s="35" t="str">
        <f t="shared" si="73"/>
        <v>E</v>
      </c>
      <c r="S93" s="35" t="str">
        <f t="shared" si="74"/>
        <v>EXP1</v>
      </c>
      <c r="T93" s="58"/>
      <c r="U93" s="58"/>
      <c r="V93" s="58"/>
      <c r="W93" s="58"/>
      <c r="X93" s="58"/>
      <c r="Y93" s="58"/>
      <c r="Z93" s="58"/>
      <c r="AA93" s="95">
        <f t="shared" si="52"/>
        <v>0.28191496840575214</v>
      </c>
      <c r="AB93" s="96">
        <f t="shared" si="86"/>
        <v>28.191496840575212</v>
      </c>
      <c r="AC93" s="58"/>
      <c r="AD93" s="58"/>
      <c r="AE93" s="58"/>
      <c r="AF93" s="58"/>
      <c r="AG93" s="58"/>
      <c r="AH93" s="58"/>
      <c r="AI93" s="58"/>
      <c r="AJ93" s="58"/>
      <c r="AK93" s="58"/>
      <c r="AL93" s="58"/>
      <c r="AM93" s="89">
        <f t="shared" si="87"/>
        <v>6</v>
      </c>
      <c r="AN93" s="5">
        <f t="shared" si="75"/>
        <v>35.518333333333331</v>
      </c>
      <c r="AO93" s="14">
        <f t="shared" si="76"/>
        <v>1.6832090869671821</v>
      </c>
      <c r="AP93" s="14">
        <f>IF((OR(R93="A",R93="B",R93="C")),INDEX(Coefficients!$S$4:$S$22,MATCH(J93,Coefficients!$R$4:$R$22)),INDEX(Coefficients!$T$4:$T$22,MATCH(J93,Coefficients!$R$4:$R$22)))</f>
        <v>1.3</v>
      </c>
      <c r="AQ93" s="27">
        <f>IF((OR(R93="A",R93="B",R93="C")),INDEX(Coefficients!$S$4:$S$22,MATCH(K93,Coefficients!$R$4:$R$22)),INDEX(Coefficients!$T$4:$T$22,MATCH(K93,Coefficients!$R$4:$R$22)))</f>
        <v>25</v>
      </c>
      <c r="AR93" s="15">
        <f>IF(OR(R93="A",R93="B",R93="C",R93="D"),IF(AN93&gt;=11,IF(AN93&gt;=26,Coefficients!$M$6,Coefficients!$M$5),Coefficients!$M$4),IF(AN93&gt;=11,IF(AN93&gt;=26,Coefficients!$N$6,Coefficients!$N$5),Coefficients!$N$4))</f>
        <v>1</v>
      </c>
      <c r="AS93" s="15">
        <f>INDEX(Coefficients!$X$3:$X$4,MATCH(S93,Coefficients!$W$3:$W$4))</f>
        <v>1</v>
      </c>
      <c r="AT93" s="15">
        <f>INDEX(Coefficients!$X$7:$X$8,MATCH(O93,Coefficients!$W$7:$W$8))</f>
        <v>1</v>
      </c>
      <c r="AU93" s="15">
        <f>INDEX(Coefficients!$X$11:$X$12,MATCH(P93,Coefficients!$W$11:$W$12))</f>
        <v>1</v>
      </c>
      <c r="AV93" s="15">
        <f>INDEX(Coefficients!$X$15:$X$17,MATCH(Q93,Coefficients!$W$15:$W$17))</f>
        <v>1</v>
      </c>
      <c r="AW93" s="15">
        <f t="shared" si="88"/>
        <v>1</v>
      </c>
      <c r="AX93" s="15">
        <f t="shared" si="89"/>
        <v>1</v>
      </c>
      <c r="AY93" s="15">
        <f t="shared" si="90"/>
        <v>1.3</v>
      </c>
      <c r="AZ93" s="14">
        <f t="shared" si="91"/>
        <v>42.080227174179555</v>
      </c>
      <c r="BA93" s="14">
        <f t="shared" si="92"/>
        <v>0</v>
      </c>
      <c r="BB93" s="14">
        <f t="shared" si="93"/>
        <v>2.1881718130573367</v>
      </c>
      <c r="BC93" s="14">
        <f t="shared" si="94"/>
        <v>1.7811828186942664</v>
      </c>
      <c r="BD93" s="14">
        <f t="shared" si="77"/>
        <v>0.47528260522966015</v>
      </c>
      <c r="BE93" s="16">
        <f t="shared" si="78"/>
        <v>28.191496840575212</v>
      </c>
      <c r="BF93" s="16">
        <f t="shared" si="79"/>
        <v>343.61700631884958</v>
      </c>
      <c r="BG93" s="17">
        <f t="shared" si="80"/>
        <v>0.28191496840575214</v>
      </c>
      <c r="BH93" s="14">
        <f t="shared" si="81"/>
        <v>62.021293049265473</v>
      </c>
      <c r="BI93" s="14">
        <f t="shared" si="82"/>
        <v>275.95741390146907</v>
      </c>
      <c r="BJ93" s="14">
        <f t="shared" si="83"/>
        <v>38.81666582620548</v>
      </c>
    </row>
    <row r="94" spans="1:62">
      <c r="B94" s="14" t="s">
        <v>91</v>
      </c>
      <c r="C94" s="81" t="str">
        <f>MostLikely!$B$1</f>
        <v>MRI-CGCM2.3.2</v>
      </c>
      <c r="D94" s="89">
        <v>2012</v>
      </c>
      <c r="E94" s="57">
        <f>'Cooler&amp;Wetter'!AA40</f>
        <v>35.520000000000003</v>
      </c>
      <c r="F94" s="90">
        <f>MostLikely!AC40</f>
        <v>21.737375399999998</v>
      </c>
      <c r="G94" s="35">
        <f t="shared" si="84"/>
        <v>2005</v>
      </c>
      <c r="H94" s="91" t="str">
        <f t="shared" si="64"/>
        <v>Pile 32 @ Berth 201</v>
      </c>
      <c r="I94" s="35" t="str">
        <f t="shared" si="65"/>
        <v>Turpentine Gum</v>
      </c>
      <c r="J94" s="35" t="str">
        <f t="shared" si="66"/>
        <v>HW1</v>
      </c>
      <c r="K94" s="35" t="str">
        <f t="shared" si="85"/>
        <v>SPHU</v>
      </c>
      <c r="L94" s="35">
        <f t="shared" si="67"/>
        <v>400</v>
      </c>
      <c r="M94" s="35">
        <f t="shared" si="68"/>
        <v>20</v>
      </c>
      <c r="N94" s="35">
        <f t="shared" si="69"/>
        <v>200</v>
      </c>
      <c r="O94" s="35" t="str">
        <f t="shared" si="70"/>
        <v>MTN2</v>
      </c>
      <c r="P94" s="35" t="str">
        <f t="shared" si="71"/>
        <v>CNT2</v>
      </c>
      <c r="Q94" s="35" t="str">
        <f t="shared" si="72"/>
        <v>KNT3</v>
      </c>
      <c r="R94" s="35" t="str">
        <f t="shared" si="73"/>
        <v>E</v>
      </c>
      <c r="S94" s="35" t="str">
        <f t="shared" si="74"/>
        <v>EXP1</v>
      </c>
      <c r="T94" s="58"/>
      <c r="U94" s="58"/>
      <c r="V94" s="58"/>
      <c r="W94" s="58"/>
      <c r="X94" s="58"/>
      <c r="Y94" s="58"/>
      <c r="Z94" s="58"/>
      <c r="AA94" s="95">
        <f t="shared" si="52"/>
        <v>0.30410308935949865</v>
      </c>
      <c r="AB94" s="96">
        <f t="shared" si="86"/>
        <v>30.410308935949864</v>
      </c>
      <c r="AC94" s="58"/>
      <c r="AD94" s="58"/>
      <c r="AE94" s="58"/>
      <c r="AF94" s="58"/>
      <c r="AG94" s="58"/>
      <c r="AH94" s="58"/>
      <c r="AI94" s="58"/>
      <c r="AJ94" s="58"/>
      <c r="AK94" s="58"/>
      <c r="AL94" s="58"/>
      <c r="AM94" s="89">
        <f t="shared" si="87"/>
        <v>7</v>
      </c>
      <c r="AN94" s="5">
        <f t="shared" si="75"/>
        <v>35.520000000000003</v>
      </c>
      <c r="AO94" s="14">
        <f t="shared" si="76"/>
        <v>1.6875431418963374</v>
      </c>
      <c r="AP94" s="14">
        <f>IF((OR(R94="A",R94="B",R94="C")),INDEX(Coefficients!$S$4:$S$22,MATCH(J94,Coefficients!$R$4:$R$22)),INDEX(Coefficients!$T$4:$T$22,MATCH(J94,Coefficients!$R$4:$R$22)))</f>
        <v>1.3</v>
      </c>
      <c r="AQ94" s="27">
        <f>IF((OR(R94="A",R94="B",R94="C")),INDEX(Coefficients!$S$4:$S$22,MATCH(K94,Coefficients!$R$4:$R$22)),INDEX(Coefficients!$T$4:$T$22,MATCH(K94,Coefficients!$R$4:$R$22)))</f>
        <v>25</v>
      </c>
      <c r="AR94" s="15">
        <f>IF(OR(R94="A",R94="B",R94="C",R94="D"),IF(AN94&gt;=11,IF(AN94&gt;=26,Coefficients!$M$6,Coefficients!$M$5),Coefficients!$M$4),IF(AN94&gt;=11,IF(AN94&gt;=26,Coefficients!$N$6,Coefficients!$N$5),Coefficients!$N$4))</f>
        <v>1</v>
      </c>
      <c r="AS94" s="15">
        <f>INDEX(Coefficients!$X$3:$X$4,MATCH(S94,Coefficients!$W$3:$W$4))</f>
        <v>1</v>
      </c>
      <c r="AT94" s="15">
        <f>INDEX(Coefficients!$X$7:$X$8,MATCH(O94,Coefficients!$W$7:$W$8))</f>
        <v>1</v>
      </c>
      <c r="AU94" s="15">
        <f>INDEX(Coefficients!$X$11:$X$12,MATCH(P94,Coefficients!$W$11:$W$12))</f>
        <v>1</v>
      </c>
      <c r="AV94" s="15">
        <f>INDEX(Coefficients!$X$15:$X$17,MATCH(Q94,Coefficients!$W$15:$W$17))</f>
        <v>1</v>
      </c>
      <c r="AW94" s="15">
        <f t="shared" si="88"/>
        <v>1</v>
      </c>
      <c r="AX94" s="15">
        <f t="shared" si="89"/>
        <v>1</v>
      </c>
      <c r="AY94" s="15">
        <f t="shared" si="90"/>
        <v>1.3</v>
      </c>
      <c r="AZ94" s="14">
        <f t="shared" si="91"/>
        <v>42.188578547408433</v>
      </c>
      <c r="BA94" s="14">
        <f t="shared" si="92"/>
        <v>0</v>
      </c>
      <c r="BB94" s="14">
        <f t="shared" si="93"/>
        <v>2.1938060844652387</v>
      </c>
      <c r="BC94" s="14">
        <f t="shared" si="94"/>
        <v>1.780619391553476</v>
      </c>
      <c r="BD94" s="14">
        <f t="shared" si="77"/>
        <v>0.47406195441084759</v>
      </c>
      <c r="BE94" s="16">
        <f t="shared" si="78"/>
        <v>30.410308935949864</v>
      </c>
      <c r="BF94" s="16">
        <f t="shared" si="79"/>
        <v>339.17938212810026</v>
      </c>
      <c r="BG94" s="17">
        <f t="shared" si="80"/>
        <v>0.30410308935949865</v>
      </c>
      <c r="BH94" s="14">
        <f t="shared" si="81"/>
        <v>66.902679659089699</v>
      </c>
      <c r="BI94" s="14">
        <f t="shared" si="82"/>
        <v>266.1946406818206</v>
      </c>
      <c r="BJ94" s="14">
        <f t="shared" si="83"/>
        <v>38.720985531414144</v>
      </c>
    </row>
    <row r="95" spans="1:62">
      <c r="B95" s="14" t="s">
        <v>91</v>
      </c>
      <c r="C95" s="81" t="str">
        <f>MostLikely!$B$1</f>
        <v>MRI-CGCM2.3.2</v>
      </c>
      <c r="D95" s="89">
        <v>2013</v>
      </c>
      <c r="E95" s="57">
        <f>'Cooler&amp;Wetter'!AA41</f>
        <v>35.521666666666668</v>
      </c>
      <c r="F95" s="90">
        <f>MostLikely!AC41</f>
        <v>21.757156683333331</v>
      </c>
      <c r="G95" s="35">
        <f t="shared" si="84"/>
        <v>2005</v>
      </c>
      <c r="H95" s="91" t="str">
        <f t="shared" si="64"/>
        <v>Pile 32 @ Berth 201</v>
      </c>
      <c r="I95" s="35" t="str">
        <f t="shared" si="65"/>
        <v>Turpentine Gum</v>
      </c>
      <c r="J95" s="35" t="str">
        <f t="shared" si="66"/>
        <v>HW1</v>
      </c>
      <c r="K95" s="35" t="str">
        <f t="shared" si="85"/>
        <v>SPHU</v>
      </c>
      <c r="L95" s="35">
        <f t="shared" si="67"/>
        <v>400</v>
      </c>
      <c r="M95" s="35">
        <f t="shared" si="68"/>
        <v>20</v>
      </c>
      <c r="N95" s="35">
        <f t="shared" si="69"/>
        <v>200</v>
      </c>
      <c r="O95" s="35" t="str">
        <f t="shared" si="70"/>
        <v>MTN2</v>
      </c>
      <c r="P95" s="35" t="str">
        <f t="shared" si="71"/>
        <v>CNT2</v>
      </c>
      <c r="Q95" s="35" t="str">
        <f t="shared" si="72"/>
        <v>KNT3</v>
      </c>
      <c r="R95" s="35" t="str">
        <f t="shared" si="73"/>
        <v>E</v>
      </c>
      <c r="S95" s="35" t="str">
        <f t="shared" si="74"/>
        <v>EXP1</v>
      </c>
      <c r="T95" s="58"/>
      <c r="U95" s="58"/>
      <c r="V95" s="58"/>
      <c r="W95" s="58"/>
      <c r="X95" s="58"/>
      <c r="Y95" s="58"/>
      <c r="Z95" s="58"/>
      <c r="AA95" s="95">
        <f t="shared" si="52"/>
        <v>0.32640489350169216</v>
      </c>
      <c r="AB95" s="96">
        <f t="shared" si="86"/>
        <v>32.640489350169219</v>
      </c>
      <c r="AC95" s="58"/>
      <c r="AD95" s="58"/>
      <c r="AE95" s="58"/>
      <c r="AF95" s="58"/>
      <c r="AG95" s="58"/>
      <c r="AH95" s="58"/>
      <c r="AI95" s="58"/>
      <c r="AJ95" s="58"/>
      <c r="AK95" s="58"/>
      <c r="AL95" s="58"/>
      <c r="AM95" s="89">
        <f t="shared" si="87"/>
        <v>8</v>
      </c>
      <c r="AN95" s="5">
        <f t="shared" si="75"/>
        <v>35.521666666666668</v>
      </c>
      <c r="AO95" s="14">
        <f t="shared" si="76"/>
        <v>1.6918883564801519</v>
      </c>
      <c r="AP95" s="14">
        <f>IF((OR(R95="A",R95="B",R95="C")),INDEX(Coefficients!$S$4:$S$22,MATCH(J95,Coefficients!$R$4:$R$22)),INDEX(Coefficients!$T$4:$T$22,MATCH(J95,Coefficients!$R$4:$R$22)))</f>
        <v>1.3</v>
      </c>
      <c r="AQ95" s="27">
        <f>IF((OR(R95="A",R95="B",R95="C")),INDEX(Coefficients!$S$4:$S$22,MATCH(K95,Coefficients!$R$4:$R$22)),INDEX(Coefficients!$T$4:$T$22,MATCH(K95,Coefficients!$R$4:$R$22)))</f>
        <v>25</v>
      </c>
      <c r="AR95" s="15">
        <f>IF(OR(R95="A",R95="B",R95="C",R95="D"),IF(AN95&gt;=11,IF(AN95&gt;=26,Coefficients!$M$6,Coefficients!$M$5),Coefficients!$M$4),IF(AN95&gt;=11,IF(AN95&gt;=26,Coefficients!$N$6,Coefficients!$N$5),Coefficients!$N$4))</f>
        <v>1</v>
      </c>
      <c r="AS95" s="15">
        <f>INDEX(Coefficients!$X$3:$X$4,MATCH(S95,Coefficients!$W$3:$W$4))</f>
        <v>1</v>
      </c>
      <c r="AT95" s="15">
        <f>INDEX(Coefficients!$X$7:$X$8,MATCH(O95,Coefficients!$W$7:$W$8))</f>
        <v>1</v>
      </c>
      <c r="AU95" s="15">
        <f>INDEX(Coefficients!$X$11:$X$12,MATCH(P95,Coefficients!$W$11:$W$12))</f>
        <v>1</v>
      </c>
      <c r="AV95" s="15">
        <f>INDEX(Coefficients!$X$15:$X$17,MATCH(Q95,Coefficients!$W$15:$W$17))</f>
        <v>1</v>
      </c>
      <c r="AW95" s="15">
        <f t="shared" si="88"/>
        <v>1</v>
      </c>
      <c r="AX95" s="15">
        <f t="shared" si="89"/>
        <v>1</v>
      </c>
      <c r="AY95" s="15">
        <f t="shared" si="90"/>
        <v>1.3</v>
      </c>
      <c r="AZ95" s="14">
        <f t="shared" si="91"/>
        <v>42.297208912003796</v>
      </c>
      <c r="BA95" s="14">
        <f t="shared" si="92"/>
        <v>0</v>
      </c>
      <c r="BB95" s="14">
        <f t="shared" si="93"/>
        <v>2.1994548634241977</v>
      </c>
      <c r="BC95" s="14">
        <f t="shared" si="94"/>
        <v>1.7800545136575803</v>
      </c>
      <c r="BD95" s="14">
        <f t="shared" si="77"/>
        <v>0.47284443854459796</v>
      </c>
      <c r="BE95" s="16">
        <f t="shared" si="78"/>
        <v>32.640489350169219</v>
      </c>
      <c r="BF95" s="16">
        <f t="shared" si="79"/>
        <v>334.71902129966156</v>
      </c>
      <c r="BG95" s="17">
        <f t="shared" si="80"/>
        <v>0.32640489350169216</v>
      </c>
      <c r="BH95" s="14">
        <f t="shared" si="81"/>
        <v>71.809076570372284</v>
      </c>
      <c r="BI95" s="14">
        <f t="shared" si="82"/>
        <v>256.38184685925546</v>
      </c>
      <c r="BJ95" s="14">
        <f t="shared" si="83"/>
        <v>38.625548071017406</v>
      </c>
    </row>
    <row r="96" spans="1:62">
      <c r="B96" s="14" t="s">
        <v>91</v>
      </c>
      <c r="C96" s="81" t="str">
        <f>MostLikely!$B$1</f>
        <v>MRI-CGCM2.3.2</v>
      </c>
      <c r="D96" s="89">
        <v>2014</v>
      </c>
      <c r="E96" s="57">
        <f>'Cooler&amp;Wetter'!AA42</f>
        <v>35.523333333333333</v>
      </c>
      <c r="F96" s="90">
        <f>MostLikely!AC42</f>
        <v>21.776937966666665</v>
      </c>
      <c r="G96" s="35">
        <f t="shared" si="84"/>
        <v>2005</v>
      </c>
      <c r="H96" s="91" t="str">
        <f t="shared" si="64"/>
        <v>Pile 32 @ Berth 201</v>
      </c>
      <c r="I96" s="35" t="str">
        <f t="shared" si="65"/>
        <v>Turpentine Gum</v>
      </c>
      <c r="J96" s="35" t="str">
        <f t="shared" si="66"/>
        <v>HW1</v>
      </c>
      <c r="K96" s="35" t="str">
        <f t="shared" si="85"/>
        <v>SPHU</v>
      </c>
      <c r="L96" s="35">
        <f t="shared" si="67"/>
        <v>400</v>
      </c>
      <c r="M96" s="35">
        <f t="shared" si="68"/>
        <v>20</v>
      </c>
      <c r="N96" s="35">
        <f t="shared" si="69"/>
        <v>200</v>
      </c>
      <c r="O96" s="35" t="str">
        <f t="shared" si="70"/>
        <v>MTN2</v>
      </c>
      <c r="P96" s="35" t="str">
        <f t="shared" si="71"/>
        <v>CNT2</v>
      </c>
      <c r="Q96" s="35" t="str">
        <f t="shared" si="72"/>
        <v>KNT3</v>
      </c>
      <c r="R96" s="35" t="str">
        <f t="shared" si="73"/>
        <v>E</v>
      </c>
      <c r="S96" s="35" t="str">
        <f t="shared" si="74"/>
        <v>EXP1</v>
      </c>
      <c r="T96" s="58"/>
      <c r="U96" s="58"/>
      <c r="V96" s="58"/>
      <c r="W96" s="58"/>
      <c r="X96" s="58"/>
      <c r="Y96" s="58"/>
      <c r="Z96" s="58"/>
      <c r="AA96" s="95">
        <f t="shared" si="52"/>
        <v>0.34882081933016951</v>
      </c>
      <c r="AB96" s="96">
        <f t="shared" si="86"/>
        <v>34.882081933016948</v>
      </c>
      <c r="AC96" s="58"/>
      <c r="AD96" s="58"/>
      <c r="AE96" s="58"/>
      <c r="AF96" s="58"/>
      <c r="AG96" s="58"/>
      <c r="AH96" s="58"/>
      <c r="AI96" s="58"/>
      <c r="AJ96" s="58"/>
      <c r="AK96" s="58"/>
      <c r="AL96" s="58"/>
      <c r="AM96" s="89">
        <f t="shared" si="87"/>
        <v>9</v>
      </c>
      <c r="AN96" s="5">
        <f t="shared" si="75"/>
        <v>35.523333333333333</v>
      </c>
      <c r="AO96" s="14">
        <f t="shared" si="76"/>
        <v>1.6962447594533534</v>
      </c>
      <c r="AP96" s="14">
        <f>IF((OR(R96="A",R96="B",R96="C")),INDEX(Coefficients!$S$4:$S$22,MATCH(J96,Coefficients!$R$4:$R$22)),INDEX(Coefficients!$T$4:$T$22,MATCH(J96,Coefficients!$R$4:$R$22)))</f>
        <v>1.3</v>
      </c>
      <c r="AQ96" s="27">
        <f>IF((OR(R96="A",R96="B",R96="C")),INDEX(Coefficients!$S$4:$S$22,MATCH(K96,Coefficients!$R$4:$R$22)),INDEX(Coefficients!$T$4:$T$22,MATCH(K96,Coefficients!$R$4:$R$22)))</f>
        <v>25</v>
      </c>
      <c r="AR96" s="15">
        <f>IF(OR(R96="A",R96="B",R96="C",R96="D"),IF(AN96&gt;=11,IF(AN96&gt;=26,Coefficients!$M$6,Coefficients!$M$5),Coefficients!$M$4),IF(AN96&gt;=11,IF(AN96&gt;=26,Coefficients!$N$6,Coefficients!$N$5),Coefficients!$N$4))</f>
        <v>1</v>
      </c>
      <c r="AS96" s="15">
        <f>INDEX(Coefficients!$X$3:$X$4,MATCH(S96,Coefficients!$W$3:$W$4))</f>
        <v>1</v>
      </c>
      <c r="AT96" s="15">
        <f>INDEX(Coefficients!$X$7:$X$8,MATCH(O96,Coefficients!$W$7:$W$8))</f>
        <v>1</v>
      </c>
      <c r="AU96" s="15">
        <f>INDEX(Coefficients!$X$11:$X$12,MATCH(P96,Coefficients!$W$11:$W$12))</f>
        <v>1</v>
      </c>
      <c r="AV96" s="15">
        <f>INDEX(Coefficients!$X$15:$X$17,MATCH(Q96,Coefficients!$W$15:$W$17))</f>
        <v>1</v>
      </c>
      <c r="AW96" s="15">
        <f t="shared" si="88"/>
        <v>1</v>
      </c>
      <c r="AX96" s="15">
        <f t="shared" si="89"/>
        <v>1</v>
      </c>
      <c r="AY96" s="15">
        <f t="shared" si="90"/>
        <v>1.3</v>
      </c>
      <c r="AZ96" s="14">
        <f t="shared" si="91"/>
        <v>42.406118986333837</v>
      </c>
      <c r="BA96" s="14">
        <f t="shared" si="92"/>
        <v>0</v>
      </c>
      <c r="BB96" s="14">
        <f t="shared" si="93"/>
        <v>2.2051181872893597</v>
      </c>
      <c r="BC96" s="14">
        <f t="shared" si="94"/>
        <v>1.7794881812710641</v>
      </c>
      <c r="BD96" s="14">
        <f t="shared" si="77"/>
        <v>0.4716300495795282</v>
      </c>
      <c r="BE96" s="16">
        <f t="shared" si="78"/>
        <v>34.882081933016948</v>
      </c>
      <c r="BF96" s="16">
        <f t="shared" si="79"/>
        <v>330.23583613396613</v>
      </c>
      <c r="BG96" s="17">
        <f t="shared" si="80"/>
        <v>0.34882081933016951</v>
      </c>
      <c r="BH96" s="14">
        <f t="shared" si="81"/>
        <v>76.740580252637287</v>
      </c>
      <c r="BI96" s="14">
        <f t="shared" si="82"/>
        <v>246.51883949472543</v>
      </c>
      <c r="BJ96" s="14">
        <f t="shared" si="83"/>
        <v>38.53035281389122</v>
      </c>
    </row>
    <row r="97" spans="2:62">
      <c r="B97" s="14" t="s">
        <v>91</v>
      </c>
      <c r="C97" s="81" t="str">
        <f>MostLikely!$B$1</f>
        <v>MRI-CGCM2.3.2</v>
      </c>
      <c r="D97" s="89">
        <v>2015</v>
      </c>
      <c r="E97" s="57">
        <f>'Cooler&amp;Wetter'!AA43</f>
        <v>35.524999999999999</v>
      </c>
      <c r="F97" s="90">
        <f>MostLikely!AC43</f>
        <v>21.796719249999999</v>
      </c>
      <c r="G97" s="35">
        <f t="shared" si="84"/>
        <v>2005</v>
      </c>
      <c r="H97" s="91" t="str">
        <f t="shared" si="64"/>
        <v>Pile 32 @ Berth 201</v>
      </c>
      <c r="I97" s="35" t="str">
        <f t="shared" si="65"/>
        <v>Turpentine Gum</v>
      </c>
      <c r="J97" s="35" t="str">
        <f t="shared" si="66"/>
        <v>HW1</v>
      </c>
      <c r="K97" s="35" t="str">
        <f t="shared" si="85"/>
        <v>SPHU</v>
      </c>
      <c r="L97" s="35">
        <f t="shared" si="67"/>
        <v>400</v>
      </c>
      <c r="M97" s="35">
        <f t="shared" si="68"/>
        <v>20</v>
      </c>
      <c r="N97" s="35">
        <f t="shared" si="69"/>
        <v>200</v>
      </c>
      <c r="O97" s="35" t="str">
        <f t="shared" si="70"/>
        <v>MTN2</v>
      </c>
      <c r="P97" s="35" t="str">
        <f t="shared" si="71"/>
        <v>CNT2</v>
      </c>
      <c r="Q97" s="35" t="str">
        <f t="shared" si="72"/>
        <v>KNT3</v>
      </c>
      <c r="R97" s="35" t="str">
        <f t="shared" si="73"/>
        <v>E</v>
      </c>
      <c r="S97" s="35" t="str">
        <f t="shared" si="74"/>
        <v>EXP1</v>
      </c>
      <c r="T97" s="58"/>
      <c r="U97" s="58"/>
      <c r="V97" s="58"/>
      <c r="W97" s="58"/>
      <c r="X97" s="58"/>
      <c r="Y97" s="58"/>
      <c r="Z97" s="58"/>
      <c r="AA97" s="95">
        <f t="shared" si="52"/>
        <v>0.37135130684805273</v>
      </c>
      <c r="AB97" s="96">
        <f t="shared" si="86"/>
        <v>37.135130684805276</v>
      </c>
      <c r="AC97" s="58"/>
      <c r="AD97" s="58"/>
      <c r="AE97" s="58"/>
      <c r="AF97" s="58"/>
      <c r="AG97" s="58"/>
      <c r="AH97" s="58"/>
      <c r="AI97" s="58"/>
      <c r="AJ97" s="58"/>
      <c r="AK97" s="58"/>
      <c r="AL97" s="58"/>
      <c r="AM97" s="89">
        <f t="shared" si="87"/>
        <v>10</v>
      </c>
      <c r="AN97" s="5">
        <f t="shared" si="75"/>
        <v>35.524999999999999</v>
      </c>
      <c r="AO97" s="14">
        <f t="shared" si="76"/>
        <v>1.7006123796246593</v>
      </c>
      <c r="AP97" s="14">
        <f>IF((OR(R97="A",R97="B",R97="C")),INDEX(Coefficients!$S$4:$S$22,MATCH(J97,Coefficients!$R$4:$R$22)),INDEX(Coefficients!$T$4:$T$22,MATCH(J97,Coefficients!$R$4:$R$22)))</f>
        <v>1.3</v>
      </c>
      <c r="AQ97" s="27">
        <f>IF((OR(R97="A",R97="B",R97="C")),INDEX(Coefficients!$S$4:$S$22,MATCH(K97,Coefficients!$R$4:$R$22)),INDEX(Coefficients!$T$4:$T$22,MATCH(K97,Coefficients!$R$4:$R$22)))</f>
        <v>25</v>
      </c>
      <c r="AR97" s="15">
        <f>IF(OR(R97="A",R97="B",R97="C",R97="D"),IF(AN97&gt;=11,IF(AN97&gt;=26,Coefficients!$M$6,Coefficients!$M$5),Coefficients!$M$4),IF(AN97&gt;=11,IF(AN97&gt;=26,Coefficients!$N$6,Coefficients!$N$5),Coefficients!$N$4))</f>
        <v>1</v>
      </c>
      <c r="AS97" s="15">
        <f>INDEX(Coefficients!$X$3:$X$4,MATCH(S97,Coefficients!$W$3:$W$4))</f>
        <v>1</v>
      </c>
      <c r="AT97" s="15">
        <f>INDEX(Coefficients!$X$7:$X$8,MATCH(O97,Coefficients!$W$7:$W$8))</f>
        <v>1</v>
      </c>
      <c r="AU97" s="15">
        <f>INDEX(Coefficients!$X$11:$X$12,MATCH(P97,Coefficients!$W$11:$W$12))</f>
        <v>1</v>
      </c>
      <c r="AV97" s="15">
        <f>INDEX(Coefficients!$X$15:$X$17,MATCH(Q97,Coefficients!$W$15:$W$17))</f>
        <v>1</v>
      </c>
      <c r="AW97" s="15">
        <f t="shared" si="88"/>
        <v>1</v>
      </c>
      <c r="AX97" s="15">
        <f t="shared" si="89"/>
        <v>1</v>
      </c>
      <c r="AY97" s="15">
        <f t="shared" si="90"/>
        <v>1.3</v>
      </c>
      <c r="AZ97" s="14">
        <f t="shared" si="91"/>
        <v>42.515309490616481</v>
      </c>
      <c r="BA97" s="14">
        <f t="shared" si="92"/>
        <v>0</v>
      </c>
      <c r="BB97" s="14">
        <f t="shared" si="93"/>
        <v>2.210796093512057</v>
      </c>
      <c r="BC97" s="14">
        <f t="shared" si="94"/>
        <v>1.7789203906487943</v>
      </c>
      <c r="BD97" s="14">
        <f t="shared" si="77"/>
        <v>0.47041877948493316</v>
      </c>
      <c r="BE97" s="16">
        <f t="shared" si="78"/>
        <v>37.135130684805276</v>
      </c>
      <c r="BF97" s="16">
        <f t="shared" si="79"/>
        <v>325.72973863038942</v>
      </c>
      <c r="BG97" s="17">
        <f t="shared" si="80"/>
        <v>0.37135130684805273</v>
      </c>
      <c r="BH97" s="14">
        <f t="shared" si="81"/>
        <v>81.697287506571612</v>
      </c>
      <c r="BI97" s="14">
        <f t="shared" si="82"/>
        <v>236.60542498685678</v>
      </c>
      <c r="BJ97" s="14">
        <f t="shared" si="83"/>
        <v>38.435399130513197</v>
      </c>
    </row>
    <row r="98" spans="2:62">
      <c r="B98" s="14" t="s">
        <v>91</v>
      </c>
      <c r="C98" s="81" t="str">
        <f>MostLikely!$B$1</f>
        <v>MRI-CGCM2.3.2</v>
      </c>
      <c r="D98" s="89">
        <v>2016</v>
      </c>
      <c r="E98" s="57">
        <f>'Cooler&amp;Wetter'!AA44</f>
        <v>35.526666666666664</v>
      </c>
      <c r="F98" s="90">
        <f>MostLikely!AC44</f>
        <v>21.816500533333333</v>
      </c>
      <c r="G98" s="35">
        <f t="shared" si="84"/>
        <v>2005</v>
      </c>
      <c r="H98" s="91" t="str">
        <f t="shared" si="64"/>
        <v>Pile 32 @ Berth 201</v>
      </c>
      <c r="I98" s="35" t="str">
        <f t="shared" si="65"/>
        <v>Turpentine Gum</v>
      </c>
      <c r="J98" s="35" t="str">
        <f t="shared" si="66"/>
        <v>HW1</v>
      </c>
      <c r="K98" s="35" t="str">
        <f t="shared" si="85"/>
        <v>SPHU</v>
      </c>
      <c r="L98" s="35">
        <f t="shared" si="67"/>
        <v>400</v>
      </c>
      <c r="M98" s="35">
        <f t="shared" si="68"/>
        <v>20</v>
      </c>
      <c r="N98" s="35">
        <f t="shared" si="69"/>
        <v>200</v>
      </c>
      <c r="O98" s="35" t="str">
        <f t="shared" si="70"/>
        <v>MTN2</v>
      </c>
      <c r="P98" s="35" t="str">
        <f t="shared" si="71"/>
        <v>CNT2</v>
      </c>
      <c r="Q98" s="35" t="str">
        <f t="shared" si="72"/>
        <v>KNT3</v>
      </c>
      <c r="R98" s="35" t="str">
        <f t="shared" si="73"/>
        <v>E</v>
      </c>
      <c r="S98" s="35" t="str">
        <f t="shared" si="74"/>
        <v>EXP1</v>
      </c>
      <c r="T98" s="58"/>
      <c r="U98" s="58"/>
      <c r="V98" s="58"/>
      <c r="W98" s="58"/>
      <c r="X98" s="58"/>
      <c r="Y98" s="58"/>
      <c r="Z98" s="58"/>
      <c r="AA98" s="95">
        <f t="shared" si="52"/>
        <v>0.3939967975685989</v>
      </c>
      <c r="AB98" s="96">
        <f t="shared" si="86"/>
        <v>39.399679756859889</v>
      </c>
      <c r="AC98" s="58"/>
      <c r="AD98" s="58"/>
      <c r="AE98" s="58"/>
      <c r="AF98" s="58"/>
      <c r="AG98" s="58"/>
      <c r="AH98" s="58"/>
      <c r="AI98" s="58"/>
      <c r="AJ98" s="58"/>
      <c r="AK98" s="58"/>
      <c r="AL98" s="58"/>
      <c r="AM98" s="89">
        <f t="shared" si="87"/>
        <v>11</v>
      </c>
      <c r="AN98" s="5">
        <f t="shared" si="75"/>
        <v>35.526666666666664</v>
      </c>
      <c r="AO98" s="14">
        <f t="shared" si="76"/>
        <v>1.7049912458769658</v>
      </c>
      <c r="AP98" s="14">
        <f>IF((OR(R98="A",R98="B",R98="C")),INDEX(Coefficients!$S$4:$S$22,MATCH(J98,Coefficients!$R$4:$R$22)),INDEX(Coefficients!$T$4:$T$22,MATCH(J98,Coefficients!$R$4:$R$22)))</f>
        <v>1.3</v>
      </c>
      <c r="AQ98" s="27">
        <f>IF((OR(R98="A",R98="B",R98="C")),INDEX(Coefficients!$S$4:$S$22,MATCH(K98,Coefficients!$R$4:$R$22)),INDEX(Coefficients!$T$4:$T$22,MATCH(K98,Coefficients!$R$4:$R$22)))</f>
        <v>25</v>
      </c>
      <c r="AR98" s="15">
        <f>IF(OR(R98="A",R98="B",R98="C",R98="D"),IF(AN98&gt;=11,IF(AN98&gt;=26,Coefficients!$M$6,Coefficients!$M$5),Coefficients!$M$4),IF(AN98&gt;=11,IF(AN98&gt;=26,Coefficients!$N$6,Coefficients!$N$5),Coefficients!$N$4))</f>
        <v>1</v>
      </c>
      <c r="AS98" s="15">
        <f>INDEX(Coefficients!$X$3:$X$4,MATCH(S98,Coefficients!$W$3:$W$4))</f>
        <v>1</v>
      </c>
      <c r="AT98" s="15">
        <f>INDEX(Coefficients!$X$7:$X$8,MATCH(O98,Coefficients!$W$7:$W$8))</f>
        <v>1</v>
      </c>
      <c r="AU98" s="15">
        <f>INDEX(Coefficients!$X$11:$X$12,MATCH(P98,Coefficients!$W$11:$W$12))</f>
        <v>1</v>
      </c>
      <c r="AV98" s="15">
        <f>INDEX(Coefficients!$X$15:$X$17,MATCH(Q98,Coefficients!$W$15:$W$17))</f>
        <v>1</v>
      </c>
      <c r="AW98" s="15">
        <f t="shared" si="88"/>
        <v>1</v>
      </c>
      <c r="AX98" s="15">
        <f t="shared" si="89"/>
        <v>1</v>
      </c>
      <c r="AY98" s="15">
        <f t="shared" si="90"/>
        <v>1.3</v>
      </c>
      <c r="AZ98" s="14">
        <f t="shared" si="91"/>
        <v>42.624781146924143</v>
      </c>
      <c r="BA98" s="14">
        <f t="shared" si="92"/>
        <v>0</v>
      </c>
      <c r="BB98" s="14">
        <f t="shared" si="93"/>
        <v>2.2164886196400557</v>
      </c>
      <c r="BC98" s="14">
        <f t="shared" si="94"/>
        <v>1.7783511380359944</v>
      </c>
      <c r="BD98" s="14">
        <f t="shared" si="77"/>
        <v>0.46921062025073235</v>
      </c>
      <c r="BE98" s="16">
        <f t="shared" si="78"/>
        <v>39.399679756859889</v>
      </c>
      <c r="BF98" s="16">
        <f t="shared" si="79"/>
        <v>321.20064048628024</v>
      </c>
      <c r="BG98" s="17">
        <f t="shared" si="80"/>
        <v>0.3939967975685989</v>
      </c>
      <c r="BH98" s="14">
        <f t="shared" si="81"/>
        <v>86.679295465091769</v>
      </c>
      <c r="BI98" s="14">
        <f t="shared" si="82"/>
        <v>226.64140906981646</v>
      </c>
      <c r="BJ98" s="14">
        <f t="shared" si="83"/>
        <v>38.340686392958446</v>
      </c>
    </row>
    <row r="99" spans="2:62">
      <c r="B99" s="14" t="s">
        <v>91</v>
      </c>
      <c r="C99" s="81" t="str">
        <f>MostLikely!$B$1</f>
        <v>MRI-CGCM2.3.2</v>
      </c>
      <c r="D99" s="89">
        <v>2017</v>
      </c>
      <c r="E99" s="57">
        <f>'Cooler&amp;Wetter'!AA45</f>
        <v>35.528333333333336</v>
      </c>
      <c r="F99" s="90">
        <f>MostLikely!AC45</f>
        <v>21.836281816666666</v>
      </c>
      <c r="G99" s="35">
        <f t="shared" si="84"/>
        <v>2005</v>
      </c>
      <c r="H99" s="91" t="str">
        <f t="shared" si="64"/>
        <v>Pile 32 @ Berth 201</v>
      </c>
      <c r="I99" s="35" t="str">
        <f t="shared" si="65"/>
        <v>Turpentine Gum</v>
      </c>
      <c r="J99" s="35" t="str">
        <f t="shared" si="66"/>
        <v>HW1</v>
      </c>
      <c r="K99" s="35" t="str">
        <f t="shared" si="85"/>
        <v>SPHU</v>
      </c>
      <c r="L99" s="35">
        <f t="shared" si="67"/>
        <v>400</v>
      </c>
      <c r="M99" s="35">
        <f t="shared" si="68"/>
        <v>20</v>
      </c>
      <c r="N99" s="35">
        <f t="shared" si="69"/>
        <v>200</v>
      </c>
      <c r="O99" s="35" t="str">
        <f t="shared" si="70"/>
        <v>MTN2</v>
      </c>
      <c r="P99" s="35" t="str">
        <f t="shared" si="71"/>
        <v>CNT2</v>
      </c>
      <c r="Q99" s="35" t="str">
        <f t="shared" si="72"/>
        <v>KNT3</v>
      </c>
      <c r="R99" s="35" t="str">
        <f t="shared" si="73"/>
        <v>E</v>
      </c>
      <c r="S99" s="35" t="str">
        <f t="shared" si="74"/>
        <v>EXP1</v>
      </c>
      <c r="T99" s="58"/>
      <c r="U99" s="58"/>
      <c r="V99" s="58"/>
      <c r="W99" s="58"/>
      <c r="X99" s="58"/>
      <c r="Y99" s="58"/>
      <c r="Z99" s="58"/>
      <c r="AA99" s="95">
        <f t="shared" si="52"/>
        <v>0.41675773452006309</v>
      </c>
      <c r="AB99" s="96">
        <f t="shared" si="86"/>
        <v>41.675773452006311</v>
      </c>
      <c r="AC99" s="58"/>
      <c r="AD99" s="58"/>
      <c r="AE99" s="58"/>
      <c r="AF99" s="58"/>
      <c r="AG99" s="58"/>
      <c r="AH99" s="58"/>
      <c r="AI99" s="58"/>
      <c r="AJ99" s="58"/>
      <c r="AK99" s="58"/>
      <c r="AL99" s="58"/>
      <c r="AM99" s="89">
        <f t="shared" si="87"/>
        <v>12</v>
      </c>
      <c r="AN99" s="5">
        <f t="shared" si="75"/>
        <v>35.528333333333336</v>
      </c>
      <c r="AO99" s="14">
        <f t="shared" si="76"/>
        <v>1.7093813871675374</v>
      </c>
      <c r="AP99" s="14">
        <f>IF((OR(R99="A",R99="B",R99="C")),INDEX(Coefficients!$S$4:$S$22,MATCH(J99,Coefficients!$R$4:$R$22)),INDEX(Coefficients!$T$4:$T$22,MATCH(J99,Coefficients!$R$4:$R$22)))</f>
        <v>1.3</v>
      </c>
      <c r="AQ99" s="27">
        <f>IF((OR(R99="A",R99="B",R99="C")),INDEX(Coefficients!$S$4:$S$22,MATCH(K99,Coefficients!$R$4:$R$22)),INDEX(Coefficients!$T$4:$T$22,MATCH(K99,Coefficients!$R$4:$R$22)))</f>
        <v>25</v>
      </c>
      <c r="AR99" s="15">
        <f>IF(OR(R99="A",R99="B",R99="C",R99="D"),IF(AN99&gt;=11,IF(AN99&gt;=26,Coefficients!$M$6,Coefficients!$M$5),Coefficients!$M$4),IF(AN99&gt;=11,IF(AN99&gt;=26,Coefficients!$N$6,Coefficients!$N$5),Coefficients!$N$4))</f>
        <v>1</v>
      </c>
      <c r="AS99" s="15">
        <f>INDEX(Coefficients!$X$3:$X$4,MATCH(S99,Coefficients!$W$3:$W$4))</f>
        <v>1</v>
      </c>
      <c r="AT99" s="15">
        <f>INDEX(Coefficients!$X$7:$X$8,MATCH(O99,Coefficients!$W$7:$W$8))</f>
        <v>1</v>
      </c>
      <c r="AU99" s="15">
        <f>INDEX(Coefficients!$X$11:$X$12,MATCH(P99,Coefficients!$W$11:$W$12))</f>
        <v>1</v>
      </c>
      <c r="AV99" s="15">
        <f>INDEX(Coefficients!$X$15:$X$17,MATCH(Q99,Coefficients!$W$15:$W$17))</f>
        <v>1</v>
      </c>
      <c r="AW99" s="15">
        <f t="shared" si="88"/>
        <v>1</v>
      </c>
      <c r="AX99" s="15">
        <f t="shared" si="89"/>
        <v>1</v>
      </c>
      <c r="AY99" s="15">
        <f t="shared" si="90"/>
        <v>1.3</v>
      </c>
      <c r="AZ99" s="14">
        <f t="shared" si="91"/>
        <v>42.734534679188435</v>
      </c>
      <c r="BA99" s="14">
        <f t="shared" si="92"/>
        <v>0</v>
      </c>
      <c r="BB99" s="14">
        <f t="shared" si="93"/>
        <v>2.2221958033177986</v>
      </c>
      <c r="BC99" s="14">
        <f t="shared" si="94"/>
        <v>1.7777804196682201</v>
      </c>
      <c r="BD99" s="14">
        <f t="shared" si="77"/>
        <v>0.46800556388741793</v>
      </c>
      <c r="BE99" s="16">
        <f t="shared" si="78"/>
        <v>41.675773452006311</v>
      </c>
      <c r="BF99" s="16">
        <f t="shared" si="79"/>
        <v>316.64845309598741</v>
      </c>
      <c r="BG99" s="17">
        <f t="shared" si="80"/>
        <v>0.41675773452006309</v>
      </c>
      <c r="BH99" s="14">
        <f t="shared" si="81"/>
        <v>91.68670159441389</v>
      </c>
      <c r="BI99" s="14">
        <f t="shared" si="82"/>
        <v>216.62659681117222</v>
      </c>
      <c r="BJ99" s="14">
        <f t="shared" si="83"/>
        <v>38.246213974895475</v>
      </c>
    </row>
    <row r="100" spans="2:62">
      <c r="B100" s="14" t="s">
        <v>91</v>
      </c>
      <c r="C100" s="81" t="str">
        <f>MostLikely!$B$1</f>
        <v>MRI-CGCM2.3.2</v>
      </c>
      <c r="D100" s="89">
        <v>2018</v>
      </c>
      <c r="E100" s="57">
        <f>'Cooler&amp;Wetter'!AA46</f>
        <v>35.53</v>
      </c>
      <c r="F100" s="90">
        <f>MostLikely!AC46</f>
        <v>21.8560631</v>
      </c>
      <c r="G100" s="35">
        <f t="shared" si="84"/>
        <v>2005</v>
      </c>
      <c r="H100" s="91" t="str">
        <f t="shared" si="64"/>
        <v>Pile 32 @ Berth 201</v>
      </c>
      <c r="I100" s="35" t="str">
        <f t="shared" si="65"/>
        <v>Turpentine Gum</v>
      </c>
      <c r="J100" s="35" t="str">
        <f t="shared" si="66"/>
        <v>HW1</v>
      </c>
      <c r="K100" s="35" t="str">
        <f t="shared" si="85"/>
        <v>SPHU</v>
      </c>
      <c r="L100" s="35">
        <f t="shared" si="67"/>
        <v>400</v>
      </c>
      <c r="M100" s="35">
        <f t="shared" si="68"/>
        <v>20</v>
      </c>
      <c r="N100" s="35">
        <f t="shared" si="69"/>
        <v>200</v>
      </c>
      <c r="O100" s="35" t="str">
        <f t="shared" si="70"/>
        <v>MTN2</v>
      </c>
      <c r="P100" s="35" t="str">
        <f t="shared" si="71"/>
        <v>CNT2</v>
      </c>
      <c r="Q100" s="35" t="str">
        <f t="shared" si="72"/>
        <v>KNT3</v>
      </c>
      <c r="R100" s="35" t="str">
        <f t="shared" si="73"/>
        <v>E</v>
      </c>
      <c r="S100" s="35" t="str">
        <f t="shared" si="74"/>
        <v>EXP1</v>
      </c>
      <c r="T100" s="58"/>
      <c r="U100" s="58"/>
      <c r="V100" s="58"/>
      <c r="W100" s="58"/>
      <c r="X100" s="58"/>
      <c r="Y100" s="58"/>
      <c r="Z100" s="58"/>
      <c r="AA100" s="95">
        <f t="shared" si="52"/>
        <v>0.43963456225057856</v>
      </c>
      <c r="AB100" s="96">
        <f t="shared" si="86"/>
        <v>43.963456225057854</v>
      </c>
      <c r="AC100" s="58"/>
      <c r="AD100" s="58"/>
      <c r="AE100" s="58"/>
      <c r="AF100" s="58"/>
      <c r="AG100" s="58"/>
      <c r="AH100" s="58"/>
      <c r="AI100" s="58"/>
      <c r="AJ100" s="58"/>
      <c r="AK100" s="58"/>
      <c r="AL100" s="58"/>
      <c r="AM100" s="89">
        <f t="shared" si="87"/>
        <v>13</v>
      </c>
      <c r="AN100" s="5">
        <f t="shared" si="75"/>
        <v>35.53</v>
      </c>
      <c r="AO100" s="14">
        <f t="shared" si="76"/>
        <v>1.7137828325282021</v>
      </c>
      <c r="AP100" s="14">
        <f>IF((OR(R100="A",R100="B",R100="C")),INDEX(Coefficients!$S$4:$S$22,MATCH(J100,Coefficients!$R$4:$R$22)),INDEX(Coefficients!$T$4:$T$22,MATCH(J100,Coefficients!$R$4:$R$22)))</f>
        <v>1.3</v>
      </c>
      <c r="AQ100" s="27">
        <f>IF((OR(R100="A",R100="B",R100="C")),INDEX(Coefficients!$S$4:$S$22,MATCH(K100,Coefficients!$R$4:$R$22)),INDEX(Coefficients!$T$4:$T$22,MATCH(K100,Coefficients!$R$4:$R$22)))</f>
        <v>25</v>
      </c>
      <c r="AR100" s="15">
        <f>IF(OR(R100="A",R100="B",R100="C",R100="D"),IF(AN100&gt;=11,IF(AN100&gt;=26,Coefficients!$M$6,Coefficients!$M$5),Coefficients!$M$4),IF(AN100&gt;=11,IF(AN100&gt;=26,Coefficients!$N$6,Coefficients!$N$5),Coefficients!$N$4))</f>
        <v>1</v>
      </c>
      <c r="AS100" s="15">
        <f>INDEX(Coefficients!$X$3:$X$4,MATCH(S100,Coefficients!$W$3:$W$4))</f>
        <v>1</v>
      </c>
      <c r="AT100" s="15">
        <f>INDEX(Coefficients!$X$7:$X$8,MATCH(O100,Coefficients!$W$7:$W$8))</f>
        <v>1</v>
      </c>
      <c r="AU100" s="15">
        <f>INDEX(Coefficients!$X$11:$X$12,MATCH(P100,Coefficients!$W$11:$W$12))</f>
        <v>1</v>
      </c>
      <c r="AV100" s="15">
        <f>INDEX(Coefficients!$X$15:$X$17,MATCH(Q100,Coefficients!$W$15:$W$17))</f>
        <v>1</v>
      </c>
      <c r="AW100" s="15">
        <f t="shared" si="88"/>
        <v>1</v>
      </c>
      <c r="AX100" s="15">
        <f t="shared" si="89"/>
        <v>1</v>
      </c>
      <c r="AY100" s="15">
        <f t="shared" si="90"/>
        <v>1.3</v>
      </c>
      <c r="AZ100" s="14">
        <f t="shared" si="91"/>
        <v>42.844570813205053</v>
      </c>
      <c r="BA100" s="14">
        <f t="shared" si="92"/>
        <v>0</v>
      </c>
      <c r="BB100" s="14">
        <f t="shared" si="93"/>
        <v>2.2279176822866629</v>
      </c>
      <c r="BC100" s="14">
        <f t="shared" si="94"/>
        <v>1.7772082317713336</v>
      </c>
      <c r="BD100" s="14">
        <f t="shared" si="77"/>
        <v>0.46680360242600061</v>
      </c>
      <c r="BE100" s="16">
        <f t="shared" si="78"/>
        <v>43.963456225057854</v>
      </c>
      <c r="BF100" s="16">
        <f t="shared" si="79"/>
        <v>312.07308754988429</v>
      </c>
      <c r="BG100" s="17">
        <f t="shared" si="80"/>
        <v>0.43963456225057856</v>
      </c>
      <c r="BH100" s="14">
        <f t="shared" si="81"/>
        <v>96.71960369512729</v>
      </c>
      <c r="BI100" s="14">
        <f t="shared" si="82"/>
        <v>206.56079260974542</v>
      </c>
      <c r="BJ100" s="14">
        <f t="shared" si="83"/>
        <v>38.151981251581986</v>
      </c>
    </row>
    <row r="101" spans="2:62">
      <c r="B101" s="14" t="s">
        <v>91</v>
      </c>
      <c r="C101" s="81" t="str">
        <f>MostLikely!$B$1</f>
        <v>MRI-CGCM2.3.2</v>
      </c>
      <c r="D101" s="89">
        <v>2019</v>
      </c>
      <c r="E101" s="57">
        <f>'Cooler&amp;Wetter'!AA47</f>
        <v>35.531666666666666</v>
      </c>
      <c r="F101" s="90">
        <f>MostLikely!AC47</f>
        <v>21.87584438333333</v>
      </c>
      <c r="G101" s="35">
        <f t="shared" si="84"/>
        <v>2005</v>
      </c>
      <c r="H101" s="91" t="str">
        <f t="shared" si="64"/>
        <v>Pile 32 @ Berth 201</v>
      </c>
      <c r="I101" s="35" t="str">
        <f t="shared" si="65"/>
        <v>Turpentine Gum</v>
      </c>
      <c r="J101" s="35" t="str">
        <f t="shared" si="66"/>
        <v>HW1</v>
      </c>
      <c r="K101" s="35" t="str">
        <f t="shared" si="85"/>
        <v>SPHU</v>
      </c>
      <c r="L101" s="35">
        <f t="shared" si="67"/>
        <v>400</v>
      </c>
      <c r="M101" s="35">
        <f t="shared" si="68"/>
        <v>20</v>
      </c>
      <c r="N101" s="35">
        <f t="shared" si="69"/>
        <v>200</v>
      </c>
      <c r="O101" s="35" t="str">
        <f t="shared" si="70"/>
        <v>MTN2</v>
      </c>
      <c r="P101" s="35" t="str">
        <f t="shared" si="71"/>
        <v>CNT2</v>
      </c>
      <c r="Q101" s="35" t="str">
        <f t="shared" si="72"/>
        <v>KNT3</v>
      </c>
      <c r="R101" s="35" t="str">
        <f t="shared" si="73"/>
        <v>E</v>
      </c>
      <c r="S101" s="35" t="str">
        <f t="shared" si="74"/>
        <v>EXP1</v>
      </c>
      <c r="T101" s="58"/>
      <c r="U101" s="58"/>
      <c r="V101" s="58"/>
      <c r="W101" s="58"/>
      <c r="X101" s="58"/>
      <c r="Y101" s="58"/>
      <c r="Z101" s="58"/>
      <c r="AA101" s="95">
        <f t="shared" si="52"/>
        <v>0.46262772683304976</v>
      </c>
      <c r="AB101" s="96">
        <f t="shared" si="86"/>
        <v>46.262772683304973</v>
      </c>
      <c r="AC101" s="58"/>
      <c r="AD101" s="58"/>
      <c r="AE101" s="58"/>
      <c r="AF101" s="58"/>
      <c r="AG101" s="58"/>
      <c r="AH101" s="58"/>
      <c r="AI101" s="58"/>
      <c r="AJ101" s="58"/>
      <c r="AK101" s="58"/>
      <c r="AL101" s="58"/>
      <c r="AM101" s="89">
        <f t="shared" si="87"/>
        <v>14</v>
      </c>
      <c r="AN101" s="5">
        <f t="shared" si="75"/>
        <v>35.531666666666666</v>
      </c>
      <c r="AO101" s="14">
        <f t="shared" si="76"/>
        <v>1.7181956110655401</v>
      </c>
      <c r="AP101" s="14">
        <f>IF((OR(R101="A",R101="B",R101="C")),INDEX(Coefficients!$S$4:$S$22,MATCH(J101,Coefficients!$R$4:$R$22)),INDEX(Coefficients!$T$4:$T$22,MATCH(J101,Coefficients!$R$4:$R$22)))</f>
        <v>1.3</v>
      </c>
      <c r="AQ101" s="27">
        <f>IF((OR(R101="A",R101="B",R101="C")),INDEX(Coefficients!$S$4:$S$22,MATCH(K101,Coefficients!$R$4:$R$22)),INDEX(Coefficients!$T$4:$T$22,MATCH(K101,Coefficients!$R$4:$R$22)))</f>
        <v>25</v>
      </c>
      <c r="AR101" s="15">
        <f>IF(OR(R101="A",R101="B",R101="C",R101="D"),IF(AN101&gt;=11,IF(AN101&gt;=26,Coefficients!$M$6,Coefficients!$M$5),Coefficients!$M$4),IF(AN101&gt;=11,IF(AN101&gt;=26,Coefficients!$N$6,Coefficients!$N$5),Coefficients!$N$4))</f>
        <v>1</v>
      </c>
      <c r="AS101" s="15">
        <f>INDEX(Coefficients!$X$3:$X$4,MATCH(S101,Coefficients!$W$3:$W$4))</f>
        <v>1</v>
      </c>
      <c r="AT101" s="15">
        <f>INDEX(Coefficients!$X$7:$X$8,MATCH(O101,Coefficients!$W$7:$W$8))</f>
        <v>1</v>
      </c>
      <c r="AU101" s="15">
        <f>INDEX(Coefficients!$X$11:$X$12,MATCH(P101,Coefficients!$W$11:$W$12))</f>
        <v>1</v>
      </c>
      <c r="AV101" s="15">
        <f>INDEX(Coefficients!$X$15:$X$17,MATCH(Q101,Coefficients!$W$15:$W$17))</f>
        <v>1</v>
      </c>
      <c r="AW101" s="15">
        <f t="shared" si="88"/>
        <v>1</v>
      </c>
      <c r="AX101" s="15">
        <f t="shared" si="89"/>
        <v>1</v>
      </c>
      <c r="AY101" s="15">
        <f t="shared" si="90"/>
        <v>1.3</v>
      </c>
      <c r="AZ101" s="14">
        <f t="shared" si="91"/>
        <v>42.954890276638501</v>
      </c>
      <c r="BA101" s="14">
        <f t="shared" si="92"/>
        <v>0</v>
      </c>
      <c r="BB101" s="14">
        <f t="shared" si="93"/>
        <v>2.233654294385202</v>
      </c>
      <c r="BC101" s="14">
        <f t="shared" si="94"/>
        <v>1.7766345705614799</v>
      </c>
      <c r="BD101" s="14">
        <f t="shared" si="77"/>
        <v>0.46560472791795782</v>
      </c>
      <c r="BE101" s="16">
        <f t="shared" si="78"/>
        <v>46.262772683304973</v>
      </c>
      <c r="BF101" s="16">
        <f t="shared" si="79"/>
        <v>307.47445463339005</v>
      </c>
      <c r="BG101" s="17">
        <f t="shared" si="80"/>
        <v>0.46262772683304976</v>
      </c>
      <c r="BH101" s="14">
        <f t="shared" si="81"/>
        <v>101.77809990327096</v>
      </c>
      <c r="BI101" s="14">
        <f t="shared" si="82"/>
        <v>196.44380019345809</v>
      </c>
      <c r="BJ101" s="14">
        <f t="shared" si="83"/>
        <v>38.057987599860802</v>
      </c>
    </row>
    <row r="102" spans="2:62">
      <c r="B102" s="14" t="s">
        <v>91</v>
      </c>
      <c r="C102" s="81" t="str">
        <f>MostLikely!$B$1</f>
        <v>MRI-CGCM2.3.2</v>
      </c>
      <c r="D102" s="89">
        <v>2020</v>
      </c>
      <c r="E102" s="57">
        <f>'Cooler&amp;Wetter'!AA48</f>
        <v>35.533333333333331</v>
      </c>
      <c r="F102" s="90">
        <f>MostLikely!AC48</f>
        <v>21.895625666666664</v>
      </c>
      <c r="G102" s="35">
        <f t="shared" si="84"/>
        <v>2005</v>
      </c>
      <c r="H102" s="91" t="str">
        <f t="shared" si="64"/>
        <v>Pile 32 @ Berth 201</v>
      </c>
      <c r="I102" s="35" t="str">
        <f t="shared" si="65"/>
        <v>Turpentine Gum</v>
      </c>
      <c r="J102" s="35" t="str">
        <f t="shared" si="66"/>
        <v>HW1</v>
      </c>
      <c r="K102" s="35" t="str">
        <f t="shared" si="85"/>
        <v>SPHU</v>
      </c>
      <c r="L102" s="35">
        <f t="shared" si="67"/>
        <v>400</v>
      </c>
      <c r="M102" s="35">
        <f t="shared" si="68"/>
        <v>20</v>
      </c>
      <c r="N102" s="35">
        <f t="shared" si="69"/>
        <v>200</v>
      </c>
      <c r="O102" s="35" t="str">
        <f t="shared" si="70"/>
        <v>MTN2</v>
      </c>
      <c r="P102" s="35" t="str">
        <f t="shared" si="71"/>
        <v>CNT2</v>
      </c>
      <c r="Q102" s="35" t="str">
        <f t="shared" si="72"/>
        <v>KNT3</v>
      </c>
      <c r="R102" s="35" t="str">
        <f t="shared" si="73"/>
        <v>E</v>
      </c>
      <c r="S102" s="35" t="str">
        <f t="shared" si="74"/>
        <v>EXP1</v>
      </c>
      <c r="T102" s="58"/>
      <c r="U102" s="58"/>
      <c r="V102" s="58"/>
      <c r="W102" s="58"/>
      <c r="X102" s="58"/>
      <c r="Y102" s="58"/>
      <c r="Z102" s="58"/>
      <c r="AA102" s="95">
        <f t="shared" si="52"/>
        <v>0.48573767587006261</v>
      </c>
      <c r="AB102" s="96">
        <f t="shared" si="86"/>
        <v>48.573767587006259</v>
      </c>
      <c r="AC102" s="58"/>
      <c r="AD102" s="58"/>
      <c r="AE102" s="58"/>
      <c r="AF102" s="58"/>
      <c r="AG102" s="58"/>
      <c r="AH102" s="58"/>
      <c r="AI102" s="58"/>
      <c r="AJ102" s="58"/>
      <c r="AK102" s="58"/>
      <c r="AL102" s="58"/>
      <c r="AM102" s="89">
        <f t="shared" si="87"/>
        <v>15</v>
      </c>
      <c r="AN102" s="5">
        <f t="shared" si="75"/>
        <v>35.533333333333331</v>
      </c>
      <c r="AO102" s="14">
        <f t="shared" si="76"/>
        <v>1.7226197519610775</v>
      </c>
      <c r="AP102" s="14">
        <f>IF((OR(R102="A",R102="B",R102="C")),INDEX(Coefficients!$S$4:$S$22,MATCH(J102,Coefficients!$R$4:$R$22)),INDEX(Coefficients!$T$4:$T$22,MATCH(J102,Coefficients!$R$4:$R$22)))</f>
        <v>1.3</v>
      </c>
      <c r="AQ102" s="27">
        <f>IF((OR(R102="A",R102="B",R102="C")),INDEX(Coefficients!$S$4:$S$22,MATCH(K102,Coefficients!$R$4:$R$22)),INDEX(Coefficients!$T$4:$T$22,MATCH(K102,Coefficients!$R$4:$R$22)))</f>
        <v>25</v>
      </c>
      <c r="AR102" s="15">
        <f>IF(OR(R102="A",R102="B",R102="C",R102="D"),IF(AN102&gt;=11,IF(AN102&gt;=26,Coefficients!$M$6,Coefficients!$M$5),Coefficients!$M$4),IF(AN102&gt;=11,IF(AN102&gt;=26,Coefficients!$N$6,Coefficients!$N$5),Coefficients!$N$4))</f>
        <v>1</v>
      </c>
      <c r="AS102" s="15">
        <f>INDEX(Coefficients!$X$3:$X$4,MATCH(S102,Coefficients!$W$3:$W$4))</f>
        <v>1</v>
      </c>
      <c r="AT102" s="15">
        <f>INDEX(Coefficients!$X$7:$X$8,MATCH(O102,Coefficients!$W$7:$W$8))</f>
        <v>1</v>
      </c>
      <c r="AU102" s="15">
        <f>INDEX(Coefficients!$X$11:$X$12,MATCH(P102,Coefficients!$W$11:$W$12))</f>
        <v>1</v>
      </c>
      <c r="AV102" s="15">
        <f>INDEX(Coefficients!$X$15:$X$17,MATCH(Q102,Coefficients!$W$15:$W$17))</f>
        <v>1</v>
      </c>
      <c r="AW102" s="15">
        <f t="shared" si="88"/>
        <v>1</v>
      </c>
      <c r="AX102" s="15">
        <f t="shared" si="89"/>
        <v>1</v>
      </c>
      <c r="AY102" s="15">
        <f t="shared" si="90"/>
        <v>1.3</v>
      </c>
      <c r="AZ102" s="14">
        <f t="shared" si="91"/>
        <v>43.065493799026939</v>
      </c>
      <c r="BA102" s="14">
        <f t="shared" si="92"/>
        <v>0</v>
      </c>
      <c r="BB102" s="14">
        <f t="shared" si="93"/>
        <v>2.2394056775494007</v>
      </c>
      <c r="BC102" s="14">
        <f t="shared" si="94"/>
        <v>1.7760594322450598</v>
      </c>
      <c r="BD102" s="14">
        <f t="shared" si="77"/>
        <v>0.46440893243518083</v>
      </c>
      <c r="BE102" s="16">
        <f t="shared" si="78"/>
        <v>48.573767587006259</v>
      </c>
      <c r="BF102" s="16">
        <f t="shared" si="79"/>
        <v>302.85246482598745</v>
      </c>
      <c r="BG102" s="17">
        <f t="shared" si="80"/>
        <v>0.48573767587006261</v>
      </c>
      <c r="BH102" s="14">
        <f t="shared" si="81"/>
        <v>106.86228869141378</v>
      </c>
      <c r="BI102" s="14">
        <f t="shared" si="82"/>
        <v>186.27542261717244</v>
      </c>
      <c r="BJ102" s="14">
        <f t="shared" si="83"/>
        <v>37.964232398155694</v>
      </c>
    </row>
    <row r="103" spans="2:62">
      <c r="B103" s="14" t="s">
        <v>91</v>
      </c>
      <c r="C103" s="81" t="str">
        <f>MostLikely!$B$1</f>
        <v>MRI-CGCM2.3.2</v>
      </c>
      <c r="D103" s="89">
        <v>2021</v>
      </c>
      <c r="E103" s="57">
        <f>'Cooler&amp;Wetter'!AA49</f>
        <v>35.534999999999997</v>
      </c>
      <c r="F103" s="90">
        <f>MostLikely!AC49</f>
        <v>21.915406949999998</v>
      </c>
      <c r="G103" s="35">
        <f t="shared" si="84"/>
        <v>2005</v>
      </c>
      <c r="H103" s="91" t="str">
        <f t="shared" si="64"/>
        <v>Pile 32 @ Berth 201</v>
      </c>
      <c r="I103" s="35" t="str">
        <f t="shared" si="65"/>
        <v>Turpentine Gum</v>
      </c>
      <c r="J103" s="35" t="str">
        <f t="shared" si="66"/>
        <v>HW1</v>
      </c>
      <c r="K103" s="35" t="str">
        <f t="shared" si="85"/>
        <v>SPHU</v>
      </c>
      <c r="L103" s="35">
        <f t="shared" si="67"/>
        <v>400</v>
      </c>
      <c r="M103" s="35">
        <f t="shared" si="68"/>
        <v>20</v>
      </c>
      <c r="N103" s="35">
        <f t="shared" si="69"/>
        <v>200</v>
      </c>
      <c r="O103" s="35" t="str">
        <f t="shared" si="70"/>
        <v>MTN2</v>
      </c>
      <c r="P103" s="35" t="str">
        <f t="shared" si="71"/>
        <v>CNT2</v>
      </c>
      <c r="Q103" s="35" t="str">
        <f t="shared" si="72"/>
        <v>KNT3</v>
      </c>
      <c r="R103" s="35" t="str">
        <f t="shared" si="73"/>
        <v>E</v>
      </c>
      <c r="S103" s="35" t="str">
        <f t="shared" si="74"/>
        <v>EXP1</v>
      </c>
      <c r="T103" s="58"/>
      <c r="U103" s="58"/>
      <c r="V103" s="58"/>
      <c r="W103" s="58"/>
      <c r="X103" s="58"/>
      <c r="Y103" s="58"/>
      <c r="Z103" s="58"/>
      <c r="AA103" s="95">
        <f t="shared" si="52"/>
        <v>0.50896485849880846</v>
      </c>
      <c r="AB103" s="96">
        <f t="shared" si="86"/>
        <v>50.896485849880847</v>
      </c>
      <c r="AC103" s="58"/>
      <c r="AD103" s="58"/>
      <c r="AE103" s="58"/>
      <c r="AF103" s="58"/>
      <c r="AG103" s="58"/>
      <c r="AH103" s="58"/>
      <c r="AI103" s="58"/>
      <c r="AJ103" s="58"/>
      <c r="AK103" s="58"/>
      <c r="AL103" s="58"/>
      <c r="AM103" s="89">
        <f t="shared" si="87"/>
        <v>16</v>
      </c>
      <c r="AN103" s="5">
        <f t="shared" si="75"/>
        <v>35.534999999999997</v>
      </c>
      <c r="AO103" s="14">
        <f t="shared" si="76"/>
        <v>1.7270552844714797</v>
      </c>
      <c r="AP103" s="14">
        <f>IF((OR(R103="A",R103="B",R103="C")),INDEX(Coefficients!$S$4:$S$22,MATCH(J103,Coefficients!$R$4:$R$22)),INDEX(Coefficients!$T$4:$T$22,MATCH(J103,Coefficients!$R$4:$R$22)))</f>
        <v>1.3</v>
      </c>
      <c r="AQ103" s="27">
        <f>IF((OR(R103="A",R103="B",R103="C")),INDEX(Coefficients!$S$4:$S$22,MATCH(K103,Coefficients!$R$4:$R$22)),INDEX(Coefficients!$T$4:$T$22,MATCH(K103,Coefficients!$R$4:$R$22)))</f>
        <v>25</v>
      </c>
      <c r="AR103" s="15">
        <f>IF(OR(R103="A",R103="B",R103="C",R103="D"),IF(AN103&gt;=11,IF(AN103&gt;=26,Coefficients!$M$6,Coefficients!$M$5),Coefficients!$M$4),IF(AN103&gt;=11,IF(AN103&gt;=26,Coefficients!$N$6,Coefficients!$N$5),Coefficients!$N$4))</f>
        <v>1</v>
      </c>
      <c r="AS103" s="15">
        <f>INDEX(Coefficients!$X$3:$X$4,MATCH(S103,Coefficients!$W$3:$W$4))</f>
        <v>1</v>
      </c>
      <c r="AT103" s="15">
        <f>INDEX(Coefficients!$X$7:$X$8,MATCH(O103,Coefficients!$W$7:$W$8))</f>
        <v>1</v>
      </c>
      <c r="AU103" s="15">
        <f>INDEX(Coefficients!$X$11:$X$12,MATCH(P103,Coefficients!$W$11:$W$12))</f>
        <v>1</v>
      </c>
      <c r="AV103" s="15">
        <f>INDEX(Coefficients!$X$15:$X$17,MATCH(Q103,Coefficients!$W$15:$W$17))</f>
        <v>1</v>
      </c>
      <c r="AW103" s="15">
        <f t="shared" si="88"/>
        <v>1</v>
      </c>
      <c r="AX103" s="15">
        <f t="shared" si="89"/>
        <v>1</v>
      </c>
      <c r="AY103" s="15">
        <f t="shared" si="90"/>
        <v>1.3</v>
      </c>
      <c r="AZ103" s="14">
        <f t="shared" si="91"/>
        <v>43.176382111786992</v>
      </c>
      <c r="BA103" s="14">
        <f t="shared" si="92"/>
        <v>0</v>
      </c>
      <c r="BB103" s="14">
        <f t="shared" si="93"/>
        <v>2.2451718698129235</v>
      </c>
      <c r="BC103" s="14">
        <f t="shared" si="94"/>
        <v>1.7754828130187077</v>
      </c>
      <c r="BD103" s="14">
        <f t="shared" si="77"/>
        <v>0.46321620806992242</v>
      </c>
      <c r="BE103" s="16">
        <f t="shared" si="78"/>
        <v>50.896485849880847</v>
      </c>
      <c r="BF103" s="16">
        <f t="shared" si="79"/>
        <v>298.20702830023833</v>
      </c>
      <c r="BG103" s="17">
        <f t="shared" si="80"/>
        <v>0.50896485849880846</v>
      </c>
      <c r="BH103" s="14">
        <f t="shared" si="81"/>
        <v>111.97226886973787</v>
      </c>
      <c r="BI103" s="14">
        <f t="shared" si="82"/>
        <v>176.05546226052425</v>
      </c>
      <c r="BJ103" s="14">
        <f t="shared" si="83"/>
        <v>37.87071502646728</v>
      </c>
    </row>
    <row r="104" spans="2:62">
      <c r="B104" s="14" t="s">
        <v>91</v>
      </c>
      <c r="C104" s="81" t="str">
        <f>MostLikely!$B$1</f>
        <v>MRI-CGCM2.3.2</v>
      </c>
      <c r="D104" s="89">
        <v>2022</v>
      </c>
      <c r="E104" s="57">
        <f>'Cooler&amp;Wetter'!AA50</f>
        <v>35.536666666666669</v>
      </c>
      <c r="F104" s="90">
        <f>MostLikely!AC50</f>
        <v>21.935188233333331</v>
      </c>
      <c r="G104" s="35">
        <f t="shared" si="84"/>
        <v>2005</v>
      </c>
      <c r="H104" s="91" t="str">
        <f t="shared" si="64"/>
        <v>Pile 32 @ Berth 201</v>
      </c>
      <c r="I104" s="35" t="str">
        <f t="shared" si="65"/>
        <v>Turpentine Gum</v>
      </c>
      <c r="J104" s="35" t="str">
        <f t="shared" si="66"/>
        <v>HW1</v>
      </c>
      <c r="K104" s="35" t="str">
        <f t="shared" si="85"/>
        <v>SPHU</v>
      </c>
      <c r="L104" s="35">
        <f t="shared" si="67"/>
        <v>400</v>
      </c>
      <c r="M104" s="35">
        <f t="shared" si="68"/>
        <v>20</v>
      </c>
      <c r="N104" s="35">
        <f t="shared" si="69"/>
        <v>200</v>
      </c>
      <c r="O104" s="35" t="str">
        <f t="shared" si="70"/>
        <v>MTN2</v>
      </c>
      <c r="P104" s="35" t="str">
        <f t="shared" si="71"/>
        <v>CNT2</v>
      </c>
      <c r="Q104" s="35" t="str">
        <f t="shared" si="72"/>
        <v>KNT3</v>
      </c>
      <c r="R104" s="35" t="str">
        <f t="shared" si="73"/>
        <v>E</v>
      </c>
      <c r="S104" s="35" t="str">
        <f t="shared" si="74"/>
        <v>EXP1</v>
      </c>
      <c r="T104" s="58"/>
      <c r="U104" s="58"/>
      <c r="V104" s="58"/>
      <c r="W104" s="58"/>
      <c r="X104" s="58"/>
      <c r="Y104" s="58"/>
      <c r="Z104" s="58"/>
      <c r="AA104" s="95">
        <f t="shared" si="52"/>
        <v>0.53230972539602439</v>
      </c>
      <c r="AB104" s="96">
        <f t="shared" si="86"/>
        <v>53.23097253960244</v>
      </c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  <c r="AM104" s="89">
        <f t="shared" si="87"/>
        <v>17</v>
      </c>
      <c r="AN104" s="5">
        <f t="shared" si="75"/>
        <v>35.536666666666669</v>
      </c>
      <c r="AO104" s="14">
        <f t="shared" si="76"/>
        <v>1.7315022379287441</v>
      </c>
      <c r="AP104" s="14">
        <f>IF((OR(R104="A",R104="B",R104="C")),INDEX(Coefficients!$S$4:$S$22,MATCH(J104,Coefficients!$R$4:$R$22)),INDEX(Coefficients!$T$4:$T$22,MATCH(J104,Coefficients!$R$4:$R$22)))</f>
        <v>1.3</v>
      </c>
      <c r="AQ104" s="27">
        <f>IF((OR(R104="A",R104="B",R104="C")),INDEX(Coefficients!$S$4:$S$22,MATCH(K104,Coefficients!$R$4:$R$22)),INDEX(Coefficients!$T$4:$T$22,MATCH(K104,Coefficients!$R$4:$R$22)))</f>
        <v>25</v>
      </c>
      <c r="AR104" s="15">
        <f>IF(OR(R104="A",R104="B",R104="C",R104="D"),IF(AN104&gt;=11,IF(AN104&gt;=26,Coefficients!$M$6,Coefficients!$M$5),Coefficients!$M$4),IF(AN104&gt;=11,IF(AN104&gt;=26,Coefficients!$N$6,Coefficients!$N$5),Coefficients!$N$4))</f>
        <v>1</v>
      </c>
      <c r="AS104" s="15">
        <f>INDEX(Coefficients!$X$3:$X$4,MATCH(S104,Coefficients!$W$3:$W$4))</f>
        <v>1</v>
      </c>
      <c r="AT104" s="15">
        <f>INDEX(Coefficients!$X$7:$X$8,MATCH(O104,Coefficients!$W$7:$W$8))</f>
        <v>1</v>
      </c>
      <c r="AU104" s="15">
        <f>INDEX(Coefficients!$X$11:$X$12,MATCH(P104,Coefficients!$W$11:$W$12))</f>
        <v>1</v>
      </c>
      <c r="AV104" s="15">
        <f>INDEX(Coefficients!$X$15:$X$17,MATCH(Q104,Coefficients!$W$15:$W$17))</f>
        <v>1</v>
      </c>
      <c r="AW104" s="15">
        <f t="shared" si="88"/>
        <v>1</v>
      </c>
      <c r="AX104" s="15">
        <f t="shared" si="89"/>
        <v>1</v>
      </c>
      <c r="AY104" s="15">
        <f t="shared" si="90"/>
        <v>1.3</v>
      </c>
      <c r="AZ104" s="14">
        <f t="shared" si="91"/>
        <v>43.287555948218603</v>
      </c>
      <c r="BA104" s="14">
        <f t="shared" si="92"/>
        <v>0</v>
      </c>
      <c r="BB104" s="14">
        <f t="shared" si="93"/>
        <v>2.2509529093073675</v>
      </c>
      <c r="BC104" s="14">
        <f t="shared" si="94"/>
        <v>1.7749047090692631</v>
      </c>
      <c r="BD104" s="14">
        <f t="shared" si="77"/>
        <v>0.46202654693474449</v>
      </c>
      <c r="BE104" s="16">
        <f t="shared" si="78"/>
        <v>53.23097253960244</v>
      </c>
      <c r="BF104" s="16">
        <f t="shared" si="79"/>
        <v>293.5380549207951</v>
      </c>
      <c r="BG104" s="17">
        <f t="shared" si="80"/>
        <v>0.53230972539602439</v>
      </c>
      <c r="BH104" s="14">
        <f t="shared" si="81"/>
        <v>117.10813958712538</v>
      </c>
      <c r="BI104" s="14">
        <f t="shared" si="82"/>
        <v>165.78372082574924</v>
      </c>
      <c r="BJ104" s="14">
        <f t="shared" si="83"/>
        <v>37.777434866368964</v>
      </c>
    </row>
    <row r="105" spans="2:62">
      <c r="B105" s="14" t="s">
        <v>91</v>
      </c>
      <c r="C105" s="81" t="str">
        <f>MostLikely!$B$1</f>
        <v>MRI-CGCM2.3.2</v>
      </c>
      <c r="D105" s="89">
        <v>2023</v>
      </c>
      <c r="E105" s="57">
        <f>'Cooler&amp;Wetter'!AA51</f>
        <v>35.538333333333334</v>
      </c>
      <c r="F105" s="90">
        <f>MostLikely!AC51</f>
        <v>21.954969516666665</v>
      </c>
      <c r="G105" s="35">
        <f t="shared" si="84"/>
        <v>2005</v>
      </c>
      <c r="H105" s="91" t="str">
        <f t="shared" si="64"/>
        <v>Pile 32 @ Berth 201</v>
      </c>
      <c r="I105" s="35" t="str">
        <f t="shared" si="65"/>
        <v>Turpentine Gum</v>
      </c>
      <c r="J105" s="35" t="str">
        <f t="shared" si="66"/>
        <v>HW1</v>
      </c>
      <c r="K105" s="35" t="str">
        <f t="shared" si="85"/>
        <v>SPHU</v>
      </c>
      <c r="L105" s="35">
        <f t="shared" si="67"/>
        <v>400</v>
      </c>
      <c r="M105" s="35">
        <f t="shared" si="68"/>
        <v>20</v>
      </c>
      <c r="N105" s="35">
        <f t="shared" si="69"/>
        <v>200</v>
      </c>
      <c r="O105" s="35" t="str">
        <f t="shared" si="70"/>
        <v>MTN2</v>
      </c>
      <c r="P105" s="35" t="str">
        <f t="shared" si="71"/>
        <v>CNT2</v>
      </c>
      <c r="Q105" s="35" t="str">
        <f t="shared" si="72"/>
        <v>KNT3</v>
      </c>
      <c r="R105" s="35" t="str">
        <f t="shared" si="73"/>
        <v>E</v>
      </c>
      <c r="S105" s="35" t="str">
        <f t="shared" si="74"/>
        <v>EXP1</v>
      </c>
      <c r="T105" s="58"/>
      <c r="U105" s="58"/>
      <c r="V105" s="58"/>
      <c r="W105" s="58"/>
      <c r="X105" s="58"/>
      <c r="Y105" s="58"/>
      <c r="Z105" s="58"/>
      <c r="AA105" s="95">
        <f t="shared" si="52"/>
        <v>0.55577272878294748</v>
      </c>
      <c r="AB105" s="96">
        <f t="shared" si="86"/>
        <v>55.57727287829475</v>
      </c>
      <c r="AC105" s="58"/>
      <c r="AD105" s="58"/>
      <c r="AE105" s="58"/>
      <c r="AF105" s="58"/>
      <c r="AG105" s="58"/>
      <c r="AH105" s="58"/>
      <c r="AI105" s="58"/>
      <c r="AJ105" s="58"/>
      <c r="AK105" s="58"/>
      <c r="AL105" s="58"/>
      <c r="AM105" s="89">
        <f t="shared" si="87"/>
        <v>18</v>
      </c>
      <c r="AN105" s="5">
        <f t="shared" si="75"/>
        <v>35.538333333333334</v>
      </c>
      <c r="AO105" s="14">
        <f t="shared" si="76"/>
        <v>1.7359606417403954</v>
      </c>
      <c r="AP105" s="14">
        <f>IF((OR(R105="A",R105="B",R105="C")),INDEX(Coefficients!$S$4:$S$22,MATCH(J105,Coefficients!$R$4:$R$22)),INDEX(Coefficients!$T$4:$T$22,MATCH(J105,Coefficients!$R$4:$R$22)))</f>
        <v>1.3</v>
      </c>
      <c r="AQ105" s="27">
        <f>IF((OR(R105="A",R105="B",R105="C")),INDEX(Coefficients!$S$4:$S$22,MATCH(K105,Coefficients!$R$4:$R$22)),INDEX(Coefficients!$T$4:$T$22,MATCH(K105,Coefficients!$R$4:$R$22)))</f>
        <v>25</v>
      </c>
      <c r="AR105" s="15">
        <f>IF(OR(R105="A",R105="B",R105="C",R105="D"),IF(AN105&gt;=11,IF(AN105&gt;=26,Coefficients!$M$6,Coefficients!$M$5),Coefficients!$M$4),IF(AN105&gt;=11,IF(AN105&gt;=26,Coefficients!$N$6,Coefficients!$N$5),Coefficients!$N$4))</f>
        <v>1</v>
      </c>
      <c r="AS105" s="15">
        <f>INDEX(Coefficients!$X$3:$X$4,MATCH(S105,Coefficients!$W$3:$W$4))</f>
        <v>1</v>
      </c>
      <c r="AT105" s="15">
        <f>INDEX(Coefficients!$X$7:$X$8,MATCH(O105,Coefficients!$W$7:$W$8))</f>
        <v>1</v>
      </c>
      <c r="AU105" s="15">
        <f>INDEX(Coefficients!$X$11:$X$12,MATCH(P105,Coefficients!$W$11:$W$12))</f>
        <v>1</v>
      </c>
      <c r="AV105" s="15">
        <f>INDEX(Coefficients!$X$15:$X$17,MATCH(Q105,Coefficients!$W$15:$W$17))</f>
        <v>1</v>
      </c>
      <c r="AW105" s="15">
        <f t="shared" si="88"/>
        <v>1</v>
      </c>
      <c r="AX105" s="15">
        <f t="shared" si="89"/>
        <v>1</v>
      </c>
      <c r="AY105" s="15">
        <f t="shared" si="90"/>
        <v>1.3</v>
      </c>
      <c r="AZ105" s="14">
        <f t="shared" si="91"/>
        <v>43.399016043509889</v>
      </c>
      <c r="BA105" s="14">
        <f t="shared" si="92"/>
        <v>0</v>
      </c>
      <c r="BB105" s="14">
        <f t="shared" si="93"/>
        <v>2.2567488342625142</v>
      </c>
      <c r="BC105" s="14">
        <f t="shared" si="94"/>
        <v>1.7743251165737486</v>
      </c>
      <c r="BD105" s="14">
        <f t="shared" si="77"/>
        <v>0.46083994116246563</v>
      </c>
      <c r="BE105" s="16">
        <f t="shared" si="78"/>
        <v>55.57727287829475</v>
      </c>
      <c r="BF105" s="16">
        <f t="shared" si="79"/>
        <v>288.84545424341047</v>
      </c>
      <c r="BG105" s="17">
        <f t="shared" si="80"/>
        <v>0.55577272878294748</v>
      </c>
      <c r="BH105" s="14">
        <f t="shared" si="81"/>
        <v>122.27000033224846</v>
      </c>
      <c r="BI105" s="14">
        <f t="shared" si="82"/>
        <v>155.45999933550308</v>
      </c>
      <c r="BJ105" s="14">
        <f t="shared" si="83"/>
        <v>37.684391301002805</v>
      </c>
    </row>
    <row r="106" spans="2:62">
      <c r="B106" s="14" t="s">
        <v>91</v>
      </c>
      <c r="C106" s="81" t="str">
        <f>MostLikely!$B$1</f>
        <v>MRI-CGCM2.3.2</v>
      </c>
      <c r="D106" s="89">
        <v>2024</v>
      </c>
      <c r="E106" s="57">
        <f>'Cooler&amp;Wetter'!AA52</f>
        <v>35.54</v>
      </c>
      <c r="F106" s="90">
        <f>MostLikely!AC52</f>
        <v>21.974750799999999</v>
      </c>
      <c r="G106" s="35">
        <f t="shared" si="84"/>
        <v>2005</v>
      </c>
      <c r="H106" s="91" t="str">
        <f t="shared" si="64"/>
        <v>Pile 32 @ Berth 201</v>
      </c>
      <c r="I106" s="35" t="str">
        <f t="shared" si="65"/>
        <v>Turpentine Gum</v>
      </c>
      <c r="J106" s="35" t="str">
        <f t="shared" si="66"/>
        <v>HW1</v>
      </c>
      <c r="K106" s="35" t="str">
        <f t="shared" si="85"/>
        <v>SPHU</v>
      </c>
      <c r="L106" s="35">
        <f t="shared" si="67"/>
        <v>400</v>
      </c>
      <c r="M106" s="35">
        <f t="shared" si="68"/>
        <v>20</v>
      </c>
      <c r="N106" s="35">
        <f t="shared" si="69"/>
        <v>200</v>
      </c>
      <c r="O106" s="35" t="str">
        <f t="shared" si="70"/>
        <v>MTN2</v>
      </c>
      <c r="P106" s="35" t="str">
        <f t="shared" si="71"/>
        <v>CNT2</v>
      </c>
      <c r="Q106" s="35" t="str">
        <f t="shared" si="72"/>
        <v>KNT3</v>
      </c>
      <c r="R106" s="35" t="str">
        <f t="shared" si="73"/>
        <v>E</v>
      </c>
      <c r="S106" s="35" t="str">
        <f t="shared" si="74"/>
        <v>EXP1</v>
      </c>
      <c r="T106" s="58"/>
      <c r="U106" s="58"/>
      <c r="V106" s="58"/>
      <c r="W106" s="58"/>
      <c r="X106" s="58"/>
      <c r="Y106" s="58"/>
      <c r="Z106" s="58"/>
      <c r="AA106" s="95">
        <f t="shared" si="52"/>
        <v>0.57935432243028517</v>
      </c>
      <c r="AB106" s="96">
        <f t="shared" si="86"/>
        <v>57.935432243028522</v>
      </c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89">
        <f t="shared" si="87"/>
        <v>19</v>
      </c>
      <c r="AN106" s="5">
        <f t="shared" si="75"/>
        <v>35.54</v>
      </c>
      <c r="AO106" s="14">
        <f t="shared" si="76"/>
        <v>1.7404305253896759</v>
      </c>
      <c r="AP106" s="14">
        <f>IF((OR(R106="A",R106="B",R106="C")),INDEX(Coefficients!$S$4:$S$22,MATCH(J106,Coefficients!$R$4:$R$22)),INDEX(Coefficients!$T$4:$T$22,MATCH(J106,Coefficients!$R$4:$R$22)))</f>
        <v>1.3</v>
      </c>
      <c r="AQ106" s="27">
        <f>IF((OR(R106="A",R106="B",R106="C")),INDEX(Coefficients!$S$4:$S$22,MATCH(K106,Coefficients!$R$4:$R$22)),INDEX(Coefficients!$T$4:$T$22,MATCH(K106,Coefficients!$R$4:$R$22)))</f>
        <v>25</v>
      </c>
      <c r="AR106" s="15">
        <f>IF(OR(R106="A",R106="B",R106="C",R106="D"),IF(AN106&gt;=11,IF(AN106&gt;=26,Coefficients!$M$6,Coefficients!$M$5),Coefficients!$M$4),IF(AN106&gt;=11,IF(AN106&gt;=26,Coefficients!$N$6,Coefficients!$N$5),Coefficients!$N$4))</f>
        <v>1</v>
      </c>
      <c r="AS106" s="15">
        <f>INDEX(Coefficients!$X$3:$X$4,MATCH(S106,Coefficients!$W$3:$W$4))</f>
        <v>1</v>
      </c>
      <c r="AT106" s="15">
        <f>INDEX(Coefficients!$X$7:$X$8,MATCH(O106,Coefficients!$W$7:$W$8))</f>
        <v>1</v>
      </c>
      <c r="AU106" s="15">
        <f>INDEX(Coefficients!$X$11:$X$12,MATCH(P106,Coefficients!$W$11:$W$12))</f>
        <v>1</v>
      </c>
      <c r="AV106" s="15">
        <f>INDEX(Coefficients!$X$15:$X$17,MATCH(Q106,Coefficients!$W$15:$W$17))</f>
        <v>1</v>
      </c>
      <c r="AW106" s="15">
        <f t="shared" si="88"/>
        <v>1</v>
      </c>
      <c r="AX106" s="15">
        <f t="shared" si="89"/>
        <v>1</v>
      </c>
      <c r="AY106" s="15">
        <f t="shared" si="90"/>
        <v>1.3</v>
      </c>
      <c r="AZ106" s="14">
        <f t="shared" si="91"/>
        <v>43.5107631347419</v>
      </c>
      <c r="BA106" s="14">
        <f t="shared" si="92"/>
        <v>0</v>
      </c>
      <c r="BB106" s="14">
        <f t="shared" si="93"/>
        <v>2.2625596830065788</v>
      </c>
      <c r="BC106" s="14">
        <f t="shared" si="94"/>
        <v>1.773744031699342</v>
      </c>
      <c r="BD106" s="14">
        <f t="shared" si="77"/>
        <v>0.45965638290611049</v>
      </c>
      <c r="BE106" s="16">
        <f t="shared" si="78"/>
        <v>57.935432243028522</v>
      </c>
      <c r="BF106" s="16">
        <f t="shared" si="79"/>
        <v>284.12913551394297</v>
      </c>
      <c r="BG106" s="17">
        <f t="shared" si="80"/>
        <v>0.57935432243028517</v>
      </c>
      <c r="BH106" s="14">
        <f t="shared" si="81"/>
        <v>127.45795093466276</v>
      </c>
      <c r="BI106" s="14">
        <f t="shared" si="82"/>
        <v>145.08409813067448</v>
      </c>
      <c r="BJ106" s="14">
        <f t="shared" si="83"/>
        <v>37.591583715075494</v>
      </c>
    </row>
    <row r="107" spans="2:62">
      <c r="B107" s="14" t="s">
        <v>91</v>
      </c>
      <c r="C107" s="81" t="str">
        <f>MostLikely!$B$1</f>
        <v>MRI-CGCM2.3.2</v>
      </c>
      <c r="D107" s="89">
        <v>2025</v>
      </c>
      <c r="E107" s="57">
        <f>'Cooler&amp;Wetter'!AA53</f>
        <v>35.541666666666664</v>
      </c>
      <c r="F107" s="90">
        <f>MostLikely!AC53</f>
        <v>21.994532083333333</v>
      </c>
      <c r="G107" s="35">
        <f t="shared" si="84"/>
        <v>2005</v>
      </c>
      <c r="H107" s="91" t="str">
        <f t="shared" si="64"/>
        <v>Pile 32 @ Berth 201</v>
      </c>
      <c r="I107" s="35" t="str">
        <f t="shared" si="65"/>
        <v>Turpentine Gum</v>
      </c>
      <c r="J107" s="35" t="str">
        <f t="shared" si="66"/>
        <v>HW1</v>
      </c>
      <c r="K107" s="35" t="str">
        <f t="shared" si="85"/>
        <v>SPHU</v>
      </c>
      <c r="L107" s="35">
        <f t="shared" si="67"/>
        <v>400</v>
      </c>
      <c r="M107" s="35">
        <f t="shared" si="68"/>
        <v>20</v>
      </c>
      <c r="N107" s="35">
        <f t="shared" si="69"/>
        <v>200</v>
      </c>
      <c r="O107" s="35" t="str">
        <f t="shared" si="70"/>
        <v>MTN2</v>
      </c>
      <c r="P107" s="35" t="str">
        <f t="shared" si="71"/>
        <v>CNT2</v>
      </c>
      <c r="Q107" s="35" t="str">
        <f t="shared" si="72"/>
        <v>KNT3</v>
      </c>
      <c r="R107" s="35" t="str">
        <f t="shared" si="73"/>
        <v>E</v>
      </c>
      <c r="S107" s="35" t="str">
        <f t="shared" si="74"/>
        <v>EXP1</v>
      </c>
      <c r="T107" s="58"/>
      <c r="U107" s="58"/>
      <c r="V107" s="58"/>
      <c r="W107" s="58"/>
      <c r="X107" s="58"/>
      <c r="Y107" s="58"/>
      <c r="Z107" s="58"/>
      <c r="AA107" s="95">
        <f t="shared" si="52"/>
        <v>0.60305496166320216</v>
      </c>
      <c r="AB107" s="96">
        <f t="shared" si="86"/>
        <v>60.305496166320218</v>
      </c>
      <c r="AC107" s="58"/>
      <c r="AD107" s="58"/>
      <c r="AE107" s="58"/>
      <c r="AF107" s="58"/>
      <c r="AG107" s="58"/>
      <c r="AH107" s="58"/>
      <c r="AI107" s="58"/>
      <c r="AJ107" s="58"/>
      <c r="AK107" s="58"/>
      <c r="AL107" s="58"/>
      <c r="AM107" s="89">
        <f t="shared" si="87"/>
        <v>20</v>
      </c>
      <c r="AN107" s="5">
        <f t="shared" si="75"/>
        <v>35.541666666666664</v>
      </c>
      <c r="AO107" s="14">
        <f t="shared" si="76"/>
        <v>1.7449119184357464</v>
      </c>
      <c r="AP107" s="14">
        <f>IF((OR(R107="A",R107="B",R107="C")),INDEX(Coefficients!$S$4:$S$22,MATCH(J107,Coefficients!$R$4:$R$22)),INDEX(Coefficients!$T$4:$T$22,MATCH(J107,Coefficients!$R$4:$R$22)))</f>
        <v>1.3</v>
      </c>
      <c r="AQ107" s="27">
        <f>IF((OR(R107="A",R107="B",R107="C")),INDEX(Coefficients!$S$4:$S$22,MATCH(K107,Coefficients!$R$4:$R$22)),INDEX(Coefficients!$T$4:$T$22,MATCH(K107,Coefficients!$R$4:$R$22)))</f>
        <v>25</v>
      </c>
      <c r="AR107" s="15">
        <f>IF(OR(R107="A",R107="B",R107="C",R107="D"),IF(AN107&gt;=11,IF(AN107&gt;=26,Coefficients!$M$6,Coefficients!$M$5),Coefficients!$M$4),IF(AN107&gt;=11,IF(AN107&gt;=26,Coefficients!$N$6,Coefficients!$N$5),Coefficients!$N$4))</f>
        <v>1</v>
      </c>
      <c r="AS107" s="15">
        <f>INDEX(Coefficients!$X$3:$X$4,MATCH(S107,Coefficients!$W$3:$W$4))</f>
        <v>1</v>
      </c>
      <c r="AT107" s="15">
        <f>INDEX(Coefficients!$X$7:$X$8,MATCH(O107,Coefficients!$W$7:$W$8))</f>
        <v>1</v>
      </c>
      <c r="AU107" s="15">
        <f>INDEX(Coefficients!$X$11:$X$12,MATCH(P107,Coefficients!$W$11:$W$12))</f>
        <v>1</v>
      </c>
      <c r="AV107" s="15">
        <f>INDEX(Coefficients!$X$15:$X$17,MATCH(Q107,Coefficients!$W$15:$W$17))</f>
        <v>1</v>
      </c>
      <c r="AW107" s="15">
        <f t="shared" si="88"/>
        <v>1</v>
      </c>
      <c r="AX107" s="15">
        <f t="shared" si="89"/>
        <v>1</v>
      </c>
      <c r="AY107" s="15">
        <f t="shared" si="90"/>
        <v>1.3</v>
      </c>
      <c r="AZ107" s="14">
        <f t="shared" si="91"/>
        <v>43.622797960893664</v>
      </c>
      <c r="BA107" s="14">
        <f t="shared" si="92"/>
        <v>0</v>
      </c>
      <c r="BB107" s="14">
        <f t="shared" si="93"/>
        <v>2.2683854939664703</v>
      </c>
      <c r="BC107" s="14">
        <f t="shared" si="94"/>
        <v>1.7731614506033528</v>
      </c>
      <c r="BD107" s="14">
        <f t="shared" si="77"/>
        <v>0.45847586433885584</v>
      </c>
      <c r="BE107" s="16">
        <f t="shared" si="78"/>
        <v>60.305496166320218</v>
      </c>
      <c r="BF107" s="16">
        <f t="shared" si="79"/>
        <v>279.38900766735958</v>
      </c>
      <c r="BG107" s="17">
        <f t="shared" si="80"/>
        <v>0.60305496166320216</v>
      </c>
      <c r="BH107" s="14">
        <f t="shared" si="81"/>
        <v>132.67209156590448</v>
      </c>
      <c r="BI107" s="14">
        <f t="shared" si="82"/>
        <v>134.65581686819104</v>
      </c>
      <c r="BJ107" s="14">
        <f t="shared" si="83"/>
        <v>37.499011494854201</v>
      </c>
    </row>
    <row r="108" spans="2:62">
      <c r="B108" s="14" t="s">
        <v>91</v>
      </c>
      <c r="C108" s="81" t="str">
        <f>MostLikely!$B$1</f>
        <v>MRI-CGCM2.3.2</v>
      </c>
      <c r="D108" s="89">
        <v>2026</v>
      </c>
      <c r="E108" s="57">
        <f>'Cooler&amp;Wetter'!AA54</f>
        <v>35.543333333333337</v>
      </c>
      <c r="F108" s="90">
        <f>MostLikely!AC54</f>
        <v>22.014313366666666</v>
      </c>
      <c r="G108" s="35">
        <f t="shared" si="84"/>
        <v>2005</v>
      </c>
      <c r="H108" s="91" t="str">
        <f t="shared" si="64"/>
        <v>Pile 32 @ Berth 201</v>
      </c>
      <c r="I108" s="35" t="str">
        <f t="shared" si="65"/>
        <v>Turpentine Gum</v>
      </c>
      <c r="J108" s="35" t="str">
        <f t="shared" si="66"/>
        <v>HW1</v>
      </c>
      <c r="K108" s="35" t="str">
        <f t="shared" si="85"/>
        <v>SPHU</v>
      </c>
      <c r="L108" s="35">
        <f t="shared" si="67"/>
        <v>400</v>
      </c>
      <c r="M108" s="35">
        <f t="shared" si="68"/>
        <v>20</v>
      </c>
      <c r="N108" s="35">
        <f t="shared" si="69"/>
        <v>200</v>
      </c>
      <c r="O108" s="35" t="str">
        <f t="shared" si="70"/>
        <v>MTN2</v>
      </c>
      <c r="P108" s="35" t="str">
        <f t="shared" si="71"/>
        <v>CNT2</v>
      </c>
      <c r="Q108" s="35" t="str">
        <f t="shared" si="72"/>
        <v>KNT3</v>
      </c>
      <c r="R108" s="35" t="str">
        <f t="shared" si="73"/>
        <v>E</v>
      </c>
      <c r="S108" s="35" t="str">
        <f t="shared" si="74"/>
        <v>EXP1</v>
      </c>
      <c r="T108" s="58"/>
      <c r="U108" s="58"/>
      <c r="V108" s="58"/>
      <c r="W108" s="58"/>
      <c r="X108" s="58"/>
      <c r="Y108" s="58"/>
      <c r="Z108" s="58"/>
      <c r="AA108" s="95">
        <f t="shared" si="52"/>
        <v>0.6268751033663208</v>
      </c>
      <c r="AB108" s="96">
        <f t="shared" si="86"/>
        <v>62.68751033663208</v>
      </c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89">
        <f t="shared" si="87"/>
        <v>21</v>
      </c>
      <c r="AN108" s="5">
        <f t="shared" si="75"/>
        <v>35.543333333333337</v>
      </c>
      <c r="AO108" s="14">
        <f t="shared" si="76"/>
        <v>1.7494048505138797</v>
      </c>
      <c r="AP108" s="14">
        <f>IF((OR(R108="A",R108="B",R108="C")),INDEX(Coefficients!$S$4:$S$22,MATCH(J108,Coefficients!$R$4:$R$22)),INDEX(Coefficients!$T$4:$T$22,MATCH(J108,Coefficients!$R$4:$R$22)))</f>
        <v>1.3</v>
      </c>
      <c r="AQ108" s="27">
        <f>IF((OR(R108="A",R108="B",R108="C")),INDEX(Coefficients!$S$4:$S$22,MATCH(K108,Coefficients!$R$4:$R$22)),INDEX(Coefficients!$T$4:$T$22,MATCH(K108,Coefficients!$R$4:$R$22)))</f>
        <v>25</v>
      </c>
      <c r="AR108" s="15">
        <f>IF(OR(R108="A",R108="B",R108="C",R108="D"),IF(AN108&gt;=11,IF(AN108&gt;=26,Coefficients!$M$6,Coefficients!$M$5),Coefficients!$M$4),IF(AN108&gt;=11,IF(AN108&gt;=26,Coefficients!$N$6,Coefficients!$N$5),Coefficients!$N$4))</f>
        <v>1</v>
      </c>
      <c r="AS108" s="15">
        <f>INDEX(Coefficients!$X$3:$X$4,MATCH(S108,Coefficients!$W$3:$W$4))</f>
        <v>1</v>
      </c>
      <c r="AT108" s="15">
        <f>INDEX(Coefficients!$X$7:$X$8,MATCH(O108,Coefficients!$W$7:$W$8))</f>
        <v>1</v>
      </c>
      <c r="AU108" s="15">
        <f>INDEX(Coefficients!$X$11:$X$12,MATCH(P108,Coefficients!$W$11:$W$12))</f>
        <v>1</v>
      </c>
      <c r="AV108" s="15">
        <f>INDEX(Coefficients!$X$15:$X$17,MATCH(Q108,Coefficients!$W$15:$W$17))</f>
        <v>1</v>
      </c>
      <c r="AW108" s="15">
        <f t="shared" si="88"/>
        <v>1</v>
      </c>
      <c r="AX108" s="15">
        <f t="shared" si="89"/>
        <v>1</v>
      </c>
      <c r="AY108" s="15">
        <f t="shared" si="90"/>
        <v>1.3</v>
      </c>
      <c r="AZ108" s="14">
        <f t="shared" si="91"/>
        <v>43.735121262846995</v>
      </c>
      <c r="BA108" s="14">
        <f t="shared" si="92"/>
        <v>0</v>
      </c>
      <c r="BB108" s="14">
        <f t="shared" si="93"/>
        <v>2.2742263056680438</v>
      </c>
      <c r="BC108" s="14">
        <f t="shared" si="94"/>
        <v>1.7725773694331957</v>
      </c>
      <c r="BD108" s="14">
        <f t="shared" si="77"/>
        <v>0.45729837765397963</v>
      </c>
      <c r="BE108" s="16">
        <f t="shared" si="78"/>
        <v>62.68751033663208</v>
      </c>
      <c r="BF108" s="16">
        <f t="shared" si="79"/>
        <v>274.62497932673585</v>
      </c>
      <c r="BG108" s="17">
        <f t="shared" si="80"/>
        <v>0.6268751033663208</v>
      </c>
      <c r="BH108" s="14">
        <f t="shared" si="81"/>
        <v>137.91252274059059</v>
      </c>
      <c r="BI108" s="14">
        <f t="shared" si="82"/>
        <v>124.17495451881882</v>
      </c>
      <c r="BJ108" s="14">
        <f t="shared" si="83"/>
        <v>37.406674028162527</v>
      </c>
    </row>
    <row r="109" spans="2:62">
      <c r="B109" s="14" t="s">
        <v>91</v>
      </c>
      <c r="C109" s="81" t="str">
        <f>MostLikely!$B$1</f>
        <v>MRI-CGCM2.3.2</v>
      </c>
      <c r="D109" s="89">
        <v>2027</v>
      </c>
      <c r="E109" s="57">
        <f>'Cooler&amp;Wetter'!AA55</f>
        <v>35.545000000000002</v>
      </c>
      <c r="F109" s="90">
        <f>MostLikely!AC55</f>
        <v>22.03409465</v>
      </c>
      <c r="G109" s="35">
        <f t="shared" si="84"/>
        <v>2005</v>
      </c>
      <c r="H109" s="91" t="str">
        <f t="shared" si="64"/>
        <v>Pile 32 @ Berth 201</v>
      </c>
      <c r="I109" s="35" t="str">
        <f t="shared" si="65"/>
        <v>Turpentine Gum</v>
      </c>
      <c r="J109" s="35" t="str">
        <f t="shared" si="66"/>
        <v>HW1</v>
      </c>
      <c r="K109" s="35" t="str">
        <f t="shared" si="85"/>
        <v>SPHU</v>
      </c>
      <c r="L109" s="35">
        <f t="shared" si="67"/>
        <v>400</v>
      </c>
      <c r="M109" s="35">
        <f t="shared" si="68"/>
        <v>20</v>
      </c>
      <c r="N109" s="35">
        <f t="shared" si="69"/>
        <v>200</v>
      </c>
      <c r="O109" s="35" t="str">
        <f t="shared" si="70"/>
        <v>MTN2</v>
      </c>
      <c r="P109" s="35" t="str">
        <f t="shared" si="71"/>
        <v>CNT2</v>
      </c>
      <c r="Q109" s="35" t="str">
        <f t="shared" si="72"/>
        <v>KNT3</v>
      </c>
      <c r="R109" s="35" t="str">
        <f t="shared" si="73"/>
        <v>E</v>
      </c>
      <c r="S109" s="35" t="str">
        <f t="shared" si="74"/>
        <v>EXP1</v>
      </c>
      <c r="T109" s="58"/>
      <c r="U109" s="58"/>
      <c r="V109" s="58"/>
      <c r="W109" s="58"/>
      <c r="X109" s="58"/>
      <c r="Y109" s="58"/>
      <c r="Z109" s="58"/>
      <c r="AA109" s="95">
        <f t="shared" si="52"/>
        <v>0.6508152059887371</v>
      </c>
      <c r="AB109" s="96">
        <f t="shared" si="86"/>
        <v>65.081520598873709</v>
      </c>
      <c r="AC109" s="58"/>
      <c r="AD109" s="58"/>
      <c r="AE109" s="58"/>
      <c r="AF109" s="58"/>
      <c r="AG109" s="58"/>
      <c r="AH109" s="58"/>
      <c r="AI109" s="58"/>
      <c r="AJ109" s="58"/>
      <c r="AK109" s="58"/>
      <c r="AL109" s="58"/>
      <c r="AM109" s="89">
        <f t="shared" si="87"/>
        <v>22</v>
      </c>
      <c r="AN109" s="5">
        <f t="shared" si="75"/>
        <v>35.545000000000002</v>
      </c>
      <c r="AO109" s="14">
        <f t="shared" si="76"/>
        <v>1.7539093513356521</v>
      </c>
      <c r="AP109" s="14">
        <f>IF((OR(R109="A",R109="B",R109="C")),INDEX(Coefficients!$S$4:$S$22,MATCH(J109,Coefficients!$R$4:$R$22)),INDEX(Coefficients!$T$4:$T$22,MATCH(J109,Coefficients!$R$4:$R$22)))</f>
        <v>1.3</v>
      </c>
      <c r="AQ109" s="27">
        <f>IF((OR(R109="A",R109="B",R109="C")),INDEX(Coefficients!$S$4:$S$22,MATCH(K109,Coefficients!$R$4:$R$22)),INDEX(Coefficients!$T$4:$T$22,MATCH(K109,Coefficients!$R$4:$R$22)))</f>
        <v>25</v>
      </c>
      <c r="AR109" s="15">
        <f>IF(OR(R109="A",R109="B",R109="C",R109="D"),IF(AN109&gt;=11,IF(AN109&gt;=26,Coefficients!$M$6,Coefficients!$M$5),Coefficients!$M$4),IF(AN109&gt;=11,IF(AN109&gt;=26,Coefficients!$N$6,Coefficients!$N$5),Coefficients!$N$4))</f>
        <v>1</v>
      </c>
      <c r="AS109" s="15">
        <f>INDEX(Coefficients!$X$3:$X$4,MATCH(S109,Coefficients!$W$3:$W$4))</f>
        <v>1</v>
      </c>
      <c r="AT109" s="15">
        <f>INDEX(Coefficients!$X$7:$X$8,MATCH(O109,Coefficients!$W$7:$W$8))</f>
        <v>1</v>
      </c>
      <c r="AU109" s="15">
        <f>INDEX(Coefficients!$X$11:$X$12,MATCH(P109,Coefficients!$W$11:$W$12))</f>
        <v>1</v>
      </c>
      <c r="AV109" s="15">
        <f>INDEX(Coefficients!$X$15:$X$17,MATCH(Q109,Coefficients!$W$15:$W$17))</f>
        <v>1</v>
      </c>
      <c r="AW109" s="15">
        <f t="shared" si="88"/>
        <v>1</v>
      </c>
      <c r="AX109" s="15">
        <f t="shared" si="89"/>
        <v>1</v>
      </c>
      <c r="AY109" s="15">
        <f t="shared" si="90"/>
        <v>1.3</v>
      </c>
      <c r="AZ109" s="14">
        <f t="shared" si="91"/>
        <v>43.847733783391298</v>
      </c>
      <c r="BA109" s="14">
        <f t="shared" si="92"/>
        <v>0</v>
      </c>
      <c r="BB109" s="14">
        <f t="shared" si="93"/>
        <v>2.2800821567363476</v>
      </c>
      <c r="BC109" s="14">
        <f t="shared" si="94"/>
        <v>1.7719917843263653</v>
      </c>
      <c r="BD109" s="14">
        <f t="shared" si="77"/>
        <v>0.45612391506481065</v>
      </c>
      <c r="BE109" s="16">
        <f t="shared" si="78"/>
        <v>65.081520598873709</v>
      </c>
      <c r="BF109" s="16">
        <f t="shared" si="79"/>
        <v>269.83695880225258</v>
      </c>
      <c r="BG109" s="17">
        <f t="shared" si="80"/>
        <v>0.6508152059887371</v>
      </c>
      <c r="BH109" s="14">
        <f t="shared" si="81"/>
        <v>143.17934531752218</v>
      </c>
      <c r="BI109" s="14">
        <f t="shared" si="82"/>
        <v>113.64130936495565</v>
      </c>
      <c r="BJ109" s="14">
        <f t="shared" si="83"/>
        <v>37.314570704376607</v>
      </c>
    </row>
    <row r="110" spans="2:62">
      <c r="B110" s="14" t="s">
        <v>91</v>
      </c>
      <c r="C110" s="81" t="str">
        <f>MostLikely!$B$1</f>
        <v>MRI-CGCM2.3.2</v>
      </c>
      <c r="D110" s="89">
        <v>2028</v>
      </c>
      <c r="E110" s="57">
        <f>'Cooler&amp;Wetter'!AA56</f>
        <v>35.546666666666667</v>
      </c>
      <c r="F110" s="90">
        <f>MostLikely!AC56</f>
        <v>22.05387593333333</v>
      </c>
      <c r="G110" s="35">
        <f t="shared" si="84"/>
        <v>2005</v>
      </c>
      <c r="H110" s="91" t="str">
        <f t="shared" si="64"/>
        <v>Pile 32 @ Berth 201</v>
      </c>
      <c r="I110" s="35" t="str">
        <f t="shared" si="65"/>
        <v>Turpentine Gum</v>
      </c>
      <c r="J110" s="35" t="str">
        <f t="shared" si="66"/>
        <v>HW1</v>
      </c>
      <c r="K110" s="35" t="str">
        <f t="shared" si="85"/>
        <v>SPHU</v>
      </c>
      <c r="L110" s="35">
        <f t="shared" si="67"/>
        <v>400</v>
      </c>
      <c r="M110" s="35">
        <f t="shared" si="68"/>
        <v>20</v>
      </c>
      <c r="N110" s="35">
        <f t="shared" si="69"/>
        <v>200</v>
      </c>
      <c r="O110" s="35" t="str">
        <f t="shared" si="70"/>
        <v>MTN2</v>
      </c>
      <c r="P110" s="35" t="str">
        <f t="shared" si="71"/>
        <v>CNT2</v>
      </c>
      <c r="Q110" s="35" t="str">
        <f t="shared" si="72"/>
        <v>KNT3</v>
      </c>
      <c r="R110" s="35" t="str">
        <f t="shared" si="73"/>
        <v>E</v>
      </c>
      <c r="S110" s="35" t="str">
        <f t="shared" si="74"/>
        <v>EXP1</v>
      </c>
      <c r="T110" s="58"/>
      <c r="U110" s="58"/>
      <c r="V110" s="58"/>
      <c r="W110" s="58"/>
      <c r="X110" s="58"/>
      <c r="Y110" s="58"/>
      <c r="Z110" s="58"/>
      <c r="AA110" s="95">
        <f t="shared" si="52"/>
        <v>0.67487572954905373</v>
      </c>
      <c r="AB110" s="96">
        <f t="shared" si="86"/>
        <v>67.487572954905374</v>
      </c>
      <c r="AC110" s="58"/>
      <c r="AD110" s="58"/>
      <c r="AE110" s="58"/>
      <c r="AF110" s="58"/>
      <c r="AG110" s="58"/>
      <c r="AH110" s="58"/>
      <c r="AI110" s="58"/>
      <c r="AJ110" s="58"/>
      <c r="AK110" s="58"/>
      <c r="AL110" s="58"/>
      <c r="AM110" s="89">
        <f t="shared" si="87"/>
        <v>23</v>
      </c>
      <c r="AN110" s="5">
        <f t="shared" si="75"/>
        <v>35.546666666666667</v>
      </c>
      <c r="AO110" s="14">
        <f t="shared" si="76"/>
        <v>1.7584254506891455</v>
      </c>
      <c r="AP110" s="14">
        <f>IF((OR(R110="A",R110="B",R110="C")),INDEX(Coefficients!$S$4:$S$22,MATCH(J110,Coefficients!$R$4:$R$22)),INDEX(Coefficients!$T$4:$T$22,MATCH(J110,Coefficients!$R$4:$R$22)))</f>
        <v>1.3</v>
      </c>
      <c r="AQ110" s="27">
        <f>IF((OR(R110="A",R110="B",R110="C")),INDEX(Coefficients!$S$4:$S$22,MATCH(K110,Coefficients!$R$4:$R$22)),INDEX(Coefficients!$T$4:$T$22,MATCH(K110,Coefficients!$R$4:$R$22)))</f>
        <v>25</v>
      </c>
      <c r="AR110" s="15">
        <f>IF(OR(R110="A",R110="B",R110="C",R110="D"),IF(AN110&gt;=11,IF(AN110&gt;=26,Coefficients!$M$6,Coefficients!$M$5),Coefficients!$M$4),IF(AN110&gt;=11,IF(AN110&gt;=26,Coefficients!$N$6,Coefficients!$N$5),Coefficients!$N$4))</f>
        <v>1</v>
      </c>
      <c r="AS110" s="15">
        <f>INDEX(Coefficients!$X$3:$X$4,MATCH(S110,Coefficients!$W$3:$W$4))</f>
        <v>1</v>
      </c>
      <c r="AT110" s="15">
        <f>INDEX(Coefficients!$X$7:$X$8,MATCH(O110,Coefficients!$W$7:$W$8))</f>
        <v>1</v>
      </c>
      <c r="AU110" s="15">
        <f>INDEX(Coefficients!$X$11:$X$12,MATCH(P110,Coefficients!$W$11:$W$12))</f>
        <v>1</v>
      </c>
      <c r="AV110" s="15">
        <f>INDEX(Coefficients!$X$15:$X$17,MATCH(Q110,Coefficients!$W$15:$W$17))</f>
        <v>1</v>
      </c>
      <c r="AW110" s="15">
        <f t="shared" si="88"/>
        <v>1</v>
      </c>
      <c r="AX110" s="15">
        <f t="shared" si="89"/>
        <v>1</v>
      </c>
      <c r="AY110" s="15">
        <f t="shared" si="90"/>
        <v>1.3</v>
      </c>
      <c r="AZ110" s="14">
        <f t="shared" si="91"/>
        <v>43.960636267228637</v>
      </c>
      <c r="BA110" s="14">
        <f t="shared" si="92"/>
        <v>0</v>
      </c>
      <c r="BB110" s="14">
        <f t="shared" si="93"/>
        <v>2.2859530858958892</v>
      </c>
      <c r="BC110" s="14">
        <f t="shared" si="94"/>
        <v>1.7714046914104111</v>
      </c>
      <c r="BD110" s="14">
        <f t="shared" si="77"/>
        <v>0.45495246880467499</v>
      </c>
      <c r="BE110" s="16">
        <f t="shared" si="78"/>
        <v>67.487572954905374</v>
      </c>
      <c r="BF110" s="16">
        <f t="shared" si="79"/>
        <v>265.02485409018925</v>
      </c>
      <c r="BG110" s="17">
        <f t="shared" si="80"/>
        <v>0.67487572954905373</v>
      </c>
      <c r="BH110" s="14">
        <f t="shared" si="81"/>
        <v>148.47266050079185</v>
      </c>
      <c r="BI110" s="14">
        <f t="shared" si="82"/>
        <v>103.05467899841631</v>
      </c>
      <c r="BJ110" s="14">
        <f t="shared" si="83"/>
        <v>37.222700914420855</v>
      </c>
    </row>
    <row r="111" spans="2:62">
      <c r="B111" s="14" t="s">
        <v>91</v>
      </c>
      <c r="C111" s="81" t="str">
        <f>MostLikely!$B$1</f>
        <v>MRI-CGCM2.3.2</v>
      </c>
      <c r="D111" s="89">
        <v>2029</v>
      </c>
      <c r="E111" s="57">
        <f>'Cooler&amp;Wetter'!AA57</f>
        <v>35.548333333333332</v>
      </c>
      <c r="F111" s="90">
        <f>MostLikely!AC57</f>
        <v>22.073657216666664</v>
      </c>
      <c r="G111" s="35">
        <f t="shared" si="84"/>
        <v>2005</v>
      </c>
      <c r="H111" s="91" t="str">
        <f t="shared" si="64"/>
        <v>Pile 32 @ Berth 201</v>
      </c>
      <c r="I111" s="35" t="str">
        <f t="shared" si="65"/>
        <v>Turpentine Gum</v>
      </c>
      <c r="J111" s="35" t="str">
        <f t="shared" si="66"/>
        <v>HW1</v>
      </c>
      <c r="K111" s="35" t="str">
        <f t="shared" si="85"/>
        <v>SPHU</v>
      </c>
      <c r="L111" s="35">
        <f t="shared" si="67"/>
        <v>400</v>
      </c>
      <c r="M111" s="35">
        <f t="shared" si="68"/>
        <v>20</v>
      </c>
      <c r="N111" s="35">
        <f t="shared" si="69"/>
        <v>200</v>
      </c>
      <c r="O111" s="35" t="str">
        <f t="shared" si="70"/>
        <v>MTN2</v>
      </c>
      <c r="P111" s="35" t="str">
        <f t="shared" si="71"/>
        <v>CNT2</v>
      </c>
      <c r="Q111" s="35" t="str">
        <f t="shared" si="72"/>
        <v>KNT3</v>
      </c>
      <c r="R111" s="35" t="str">
        <f t="shared" si="73"/>
        <v>E</v>
      </c>
      <c r="S111" s="35" t="str">
        <f t="shared" si="74"/>
        <v>EXP1</v>
      </c>
      <c r="T111" s="58"/>
      <c r="U111" s="58"/>
      <c r="V111" s="58"/>
      <c r="W111" s="58"/>
      <c r="X111" s="58"/>
      <c r="Y111" s="58"/>
      <c r="Z111" s="58"/>
      <c r="AA111" s="95">
        <f t="shared" si="52"/>
        <v>0.6990571356404286</v>
      </c>
      <c r="AB111" s="96">
        <f t="shared" si="86"/>
        <v>69.905713564042856</v>
      </c>
      <c r="AC111" s="58"/>
      <c r="AD111" s="58"/>
      <c r="AE111" s="58"/>
      <c r="AF111" s="58"/>
      <c r="AG111" s="58"/>
      <c r="AH111" s="58"/>
      <c r="AI111" s="58"/>
      <c r="AJ111" s="58"/>
      <c r="AK111" s="58"/>
      <c r="AL111" s="58"/>
      <c r="AM111" s="89">
        <f t="shared" si="87"/>
        <v>24</v>
      </c>
      <c r="AN111" s="5">
        <f t="shared" si="75"/>
        <v>35.548333333333332</v>
      </c>
      <c r="AO111" s="14">
        <f t="shared" si="76"/>
        <v>1.7629531784391448</v>
      </c>
      <c r="AP111" s="14">
        <f>IF((OR(R111="A",R111="B",R111="C")),INDEX(Coefficients!$S$4:$S$22,MATCH(J111,Coefficients!$R$4:$R$22)),INDEX(Coefficients!$T$4:$T$22,MATCH(J111,Coefficients!$R$4:$R$22)))</f>
        <v>1.3</v>
      </c>
      <c r="AQ111" s="27">
        <f>IF((OR(R111="A",R111="B",R111="C")),INDEX(Coefficients!$S$4:$S$22,MATCH(K111,Coefficients!$R$4:$R$22)),INDEX(Coefficients!$T$4:$T$22,MATCH(K111,Coefficients!$R$4:$R$22)))</f>
        <v>25</v>
      </c>
      <c r="AR111" s="15">
        <f>IF(OR(R111="A",R111="B",R111="C",R111="D"),IF(AN111&gt;=11,IF(AN111&gt;=26,Coefficients!$M$6,Coefficients!$M$5),Coefficients!$M$4),IF(AN111&gt;=11,IF(AN111&gt;=26,Coefficients!$N$6,Coefficients!$N$5),Coefficients!$N$4))</f>
        <v>1</v>
      </c>
      <c r="AS111" s="15">
        <f>INDEX(Coefficients!$X$3:$X$4,MATCH(S111,Coefficients!$W$3:$W$4))</f>
        <v>1</v>
      </c>
      <c r="AT111" s="15">
        <f>INDEX(Coefficients!$X$7:$X$8,MATCH(O111,Coefficients!$W$7:$W$8))</f>
        <v>1</v>
      </c>
      <c r="AU111" s="15">
        <f>INDEX(Coefficients!$X$11:$X$12,MATCH(P111,Coefficients!$W$11:$W$12))</f>
        <v>1</v>
      </c>
      <c r="AV111" s="15">
        <f>INDEX(Coefficients!$X$15:$X$17,MATCH(Q111,Coefficients!$W$15:$W$17))</f>
        <v>1</v>
      </c>
      <c r="AW111" s="15">
        <f t="shared" si="88"/>
        <v>1</v>
      </c>
      <c r="AX111" s="15">
        <f t="shared" si="89"/>
        <v>1</v>
      </c>
      <c r="AY111" s="15">
        <f t="shared" si="90"/>
        <v>1.3</v>
      </c>
      <c r="AZ111" s="14">
        <f t="shared" si="91"/>
        <v>44.073829460978622</v>
      </c>
      <c r="BA111" s="14">
        <f t="shared" si="92"/>
        <v>0</v>
      </c>
      <c r="BB111" s="14">
        <f t="shared" si="93"/>
        <v>2.2918391319708884</v>
      </c>
      <c r="BC111" s="14">
        <f t="shared" si="94"/>
        <v>1.770816086802911</v>
      </c>
      <c r="BD111" s="14">
        <f t="shared" si="77"/>
        <v>0.4537840311268454</v>
      </c>
      <c r="BE111" s="16">
        <f t="shared" si="78"/>
        <v>69.905713564042856</v>
      </c>
      <c r="BF111" s="16">
        <f t="shared" si="79"/>
        <v>260.18857287191429</v>
      </c>
      <c r="BG111" s="17">
        <f t="shared" si="80"/>
        <v>0.6990571356404286</v>
      </c>
      <c r="BH111" s="14">
        <f t="shared" si="81"/>
        <v>153.79256984089429</v>
      </c>
      <c r="BI111" s="14">
        <f t="shared" si="82"/>
        <v>92.414860318211424</v>
      </c>
      <c r="BJ111" s="14">
        <f t="shared" si="83"/>
        <v>37.131064050764017</v>
      </c>
    </row>
    <row r="112" spans="2:62">
      <c r="B112" s="14" t="s">
        <v>91</v>
      </c>
      <c r="C112" s="81" t="str">
        <f>MostLikely!$B$1</f>
        <v>MRI-CGCM2.3.2</v>
      </c>
      <c r="D112" s="89">
        <v>2030</v>
      </c>
      <c r="E112" s="57">
        <f>'Cooler&amp;Wetter'!AA58</f>
        <v>35.549999999999997</v>
      </c>
      <c r="F112" s="90">
        <f>MostLikely!AC58</f>
        <v>22.093438499999998</v>
      </c>
      <c r="G112" s="35">
        <f t="shared" si="84"/>
        <v>2005</v>
      </c>
      <c r="H112" s="91" t="str">
        <f t="shared" si="64"/>
        <v>Pile 32 @ Berth 201</v>
      </c>
      <c r="I112" s="35" t="str">
        <f t="shared" si="65"/>
        <v>Turpentine Gum</v>
      </c>
      <c r="J112" s="35" t="str">
        <f t="shared" si="66"/>
        <v>HW1</v>
      </c>
      <c r="K112" s="35" t="str">
        <f t="shared" si="85"/>
        <v>SPHU</v>
      </c>
      <c r="L112" s="35">
        <f t="shared" si="67"/>
        <v>400</v>
      </c>
      <c r="M112" s="35">
        <f t="shared" si="68"/>
        <v>20</v>
      </c>
      <c r="N112" s="35">
        <f t="shared" si="69"/>
        <v>200</v>
      </c>
      <c r="O112" s="35" t="str">
        <f t="shared" si="70"/>
        <v>MTN2</v>
      </c>
      <c r="P112" s="35" t="str">
        <f t="shared" si="71"/>
        <v>CNT2</v>
      </c>
      <c r="Q112" s="35" t="str">
        <f t="shared" si="72"/>
        <v>KNT3</v>
      </c>
      <c r="R112" s="35" t="str">
        <f t="shared" si="73"/>
        <v>E</v>
      </c>
      <c r="S112" s="35" t="str">
        <f t="shared" si="74"/>
        <v>EXP1</v>
      </c>
      <c r="T112" s="58"/>
      <c r="U112" s="58"/>
      <c r="V112" s="58"/>
      <c r="W112" s="58"/>
      <c r="X112" s="58"/>
      <c r="Y112" s="58"/>
      <c r="Z112" s="58"/>
      <c r="AA112" s="95">
        <f t="shared" si="52"/>
        <v>0.72335988743563606</v>
      </c>
      <c r="AB112" s="96">
        <f t="shared" si="86"/>
        <v>72.335988743563604</v>
      </c>
      <c r="AC112" s="58"/>
      <c r="AD112" s="58"/>
      <c r="AE112" s="58"/>
      <c r="AF112" s="58"/>
      <c r="AG112" s="58"/>
      <c r="AH112" s="58"/>
      <c r="AI112" s="58"/>
      <c r="AJ112" s="58"/>
      <c r="AK112" s="58"/>
      <c r="AL112" s="58"/>
      <c r="AM112" s="89">
        <f t="shared" si="87"/>
        <v>25</v>
      </c>
      <c r="AN112" s="5">
        <f t="shared" si="75"/>
        <v>35.549999999999997</v>
      </c>
      <c r="AO112" s="14">
        <f t="shared" si="76"/>
        <v>1.7674925645273298</v>
      </c>
      <c r="AP112" s="14">
        <f>IF((OR(R112="A",R112="B",R112="C")),INDEX(Coefficients!$S$4:$S$22,MATCH(J112,Coefficients!$R$4:$R$22)),INDEX(Coefficients!$T$4:$T$22,MATCH(J112,Coefficients!$R$4:$R$22)))</f>
        <v>1.3</v>
      </c>
      <c r="AQ112" s="27">
        <f>IF((OR(R112="A",R112="B",R112="C")),INDEX(Coefficients!$S$4:$S$22,MATCH(K112,Coefficients!$R$4:$R$22)),INDEX(Coefficients!$T$4:$T$22,MATCH(K112,Coefficients!$R$4:$R$22)))</f>
        <v>25</v>
      </c>
      <c r="AR112" s="15">
        <f>IF(OR(R112="A",R112="B",R112="C",R112="D"),IF(AN112&gt;=11,IF(AN112&gt;=26,Coefficients!$M$6,Coefficients!$M$5),Coefficients!$M$4),IF(AN112&gt;=11,IF(AN112&gt;=26,Coefficients!$N$6,Coefficients!$N$5),Coefficients!$N$4))</f>
        <v>1</v>
      </c>
      <c r="AS112" s="15">
        <f>INDEX(Coefficients!$X$3:$X$4,MATCH(S112,Coefficients!$W$3:$W$4))</f>
        <v>1</v>
      </c>
      <c r="AT112" s="15">
        <f>INDEX(Coefficients!$X$7:$X$8,MATCH(O112,Coefficients!$W$7:$W$8))</f>
        <v>1</v>
      </c>
      <c r="AU112" s="15">
        <f>INDEX(Coefficients!$X$11:$X$12,MATCH(P112,Coefficients!$W$11:$W$12))</f>
        <v>1</v>
      </c>
      <c r="AV112" s="15">
        <f>INDEX(Coefficients!$X$15:$X$17,MATCH(Q112,Coefficients!$W$15:$W$17))</f>
        <v>1</v>
      </c>
      <c r="AW112" s="15">
        <f t="shared" si="88"/>
        <v>1</v>
      </c>
      <c r="AX112" s="15">
        <f t="shared" si="89"/>
        <v>1</v>
      </c>
      <c r="AY112" s="15">
        <f t="shared" si="90"/>
        <v>1.3</v>
      </c>
      <c r="AZ112" s="14">
        <f t="shared" si="91"/>
        <v>44.187314113183248</v>
      </c>
      <c r="BA112" s="14">
        <f t="shared" si="92"/>
        <v>0</v>
      </c>
      <c r="BB112" s="14">
        <f t="shared" si="93"/>
        <v>2.2977403338855287</v>
      </c>
      <c r="BC112" s="14">
        <f t="shared" si="94"/>
        <v>1.770225966611447</v>
      </c>
      <c r="BD112" s="14">
        <f t="shared" si="77"/>
        <v>0.45261859430449103</v>
      </c>
      <c r="BE112" s="16">
        <f t="shared" si="78"/>
        <v>72.335988743563604</v>
      </c>
      <c r="BF112" s="16">
        <f t="shared" si="79"/>
        <v>255.32802251287279</v>
      </c>
      <c r="BG112" s="17">
        <f t="shared" si="80"/>
        <v>0.72335988743563606</v>
      </c>
      <c r="BH112" s="14">
        <f t="shared" si="81"/>
        <v>159.13917523583993</v>
      </c>
      <c r="BI112" s="14">
        <f t="shared" si="82"/>
        <v>81.721649528320143</v>
      </c>
      <c r="BJ112" s="14">
        <f t="shared" si="83"/>
        <v>37.039659507415251</v>
      </c>
    </row>
    <row r="113" spans="2:62">
      <c r="B113" s="14" t="s">
        <v>91</v>
      </c>
      <c r="C113" s="81" t="str">
        <f>MostLikely!$B$1</f>
        <v>MRI-CGCM2.3.2</v>
      </c>
      <c r="D113" s="89">
        <v>2031</v>
      </c>
      <c r="E113" s="57">
        <f>'Cooler&amp;Wetter'!AA59</f>
        <v>35.552500000000002</v>
      </c>
      <c r="F113" s="90">
        <f>MostLikely!AC59</f>
        <v>22.125403679999998</v>
      </c>
      <c r="G113" s="35">
        <f t="shared" si="84"/>
        <v>2005</v>
      </c>
      <c r="H113" s="91" t="str">
        <f t="shared" si="64"/>
        <v>Pile 32 @ Berth 201</v>
      </c>
      <c r="I113" s="35" t="str">
        <f t="shared" si="65"/>
        <v>Turpentine Gum</v>
      </c>
      <c r="J113" s="35" t="str">
        <f t="shared" si="66"/>
        <v>HW1</v>
      </c>
      <c r="K113" s="35" t="str">
        <f t="shared" si="85"/>
        <v>SPHU</v>
      </c>
      <c r="L113" s="35">
        <f t="shared" si="67"/>
        <v>400</v>
      </c>
      <c r="M113" s="35">
        <f t="shared" si="68"/>
        <v>20</v>
      </c>
      <c r="N113" s="35">
        <f t="shared" si="69"/>
        <v>200</v>
      </c>
      <c r="O113" s="35" t="str">
        <f t="shared" si="70"/>
        <v>MTN2</v>
      </c>
      <c r="P113" s="35" t="str">
        <f t="shared" si="71"/>
        <v>CNT2</v>
      </c>
      <c r="Q113" s="35" t="str">
        <f t="shared" si="72"/>
        <v>KNT3</v>
      </c>
      <c r="R113" s="35" t="str">
        <f t="shared" si="73"/>
        <v>E</v>
      </c>
      <c r="S113" s="35" t="str">
        <f t="shared" si="74"/>
        <v>EXP1</v>
      </c>
      <c r="T113" s="58"/>
      <c r="U113" s="58"/>
      <c r="V113" s="58"/>
      <c r="W113" s="58"/>
      <c r="X113" s="58"/>
      <c r="Y113" s="58"/>
      <c r="Z113" s="58"/>
      <c r="AA113" s="95">
        <f t="shared" si="52"/>
        <v>0.74867768777738786</v>
      </c>
      <c r="AB113" s="96">
        <f t="shared" si="86"/>
        <v>74.867768777738789</v>
      </c>
      <c r="AC113" s="58"/>
      <c r="AD113" s="58"/>
      <c r="AE113" s="58"/>
      <c r="AF113" s="58"/>
      <c r="AG113" s="58"/>
      <c r="AH113" s="58"/>
      <c r="AI113" s="58"/>
      <c r="AJ113" s="58"/>
      <c r="AK113" s="58"/>
      <c r="AL113" s="58"/>
      <c r="AM113" s="89">
        <f t="shared" si="87"/>
        <v>26</v>
      </c>
      <c r="AN113" s="5">
        <f t="shared" si="75"/>
        <v>35.552500000000002</v>
      </c>
      <c r="AO113" s="14">
        <f t="shared" si="76"/>
        <v>1.7748526145188182</v>
      </c>
      <c r="AP113" s="14">
        <f>IF((OR(R113="A",R113="B",R113="C")),INDEX(Coefficients!$S$4:$S$22,MATCH(J113,Coefficients!$R$4:$R$22)),INDEX(Coefficients!$T$4:$T$22,MATCH(J113,Coefficients!$R$4:$R$22)))</f>
        <v>1.3</v>
      </c>
      <c r="AQ113" s="27">
        <f>IF((OR(R113="A",R113="B",R113="C")),INDEX(Coefficients!$S$4:$S$22,MATCH(K113,Coefficients!$R$4:$R$22)),INDEX(Coefficients!$T$4:$T$22,MATCH(K113,Coefficients!$R$4:$R$22)))</f>
        <v>25</v>
      </c>
      <c r="AR113" s="15">
        <f>IF(OR(R113="A",R113="B",R113="C",R113="D"),IF(AN113&gt;=11,IF(AN113&gt;=26,Coefficients!$M$6,Coefficients!$M$5),Coefficients!$M$4),IF(AN113&gt;=11,IF(AN113&gt;=26,Coefficients!$N$6,Coefficients!$N$5),Coefficients!$N$4))</f>
        <v>1</v>
      </c>
      <c r="AS113" s="15">
        <f>INDEX(Coefficients!$X$3:$X$4,MATCH(S113,Coefficients!$W$3:$W$4))</f>
        <v>1</v>
      </c>
      <c r="AT113" s="15">
        <f>INDEX(Coefficients!$X$7:$X$8,MATCH(O113,Coefficients!$W$7:$W$8))</f>
        <v>1</v>
      </c>
      <c r="AU113" s="15">
        <f>INDEX(Coefficients!$X$11:$X$12,MATCH(P113,Coefficients!$W$11:$W$12))</f>
        <v>1</v>
      </c>
      <c r="AV113" s="15">
        <f>INDEX(Coefficients!$X$15:$X$17,MATCH(Q113,Coefficients!$W$15:$W$17))</f>
        <v>1</v>
      </c>
      <c r="AW113" s="15">
        <f t="shared" si="88"/>
        <v>1</v>
      </c>
      <c r="AX113" s="15">
        <f t="shared" si="89"/>
        <v>1</v>
      </c>
      <c r="AY113" s="15">
        <f t="shared" si="90"/>
        <v>1.3</v>
      </c>
      <c r="AZ113" s="14">
        <f t="shared" si="91"/>
        <v>44.371315362970456</v>
      </c>
      <c r="BA113" s="14">
        <f t="shared" si="92"/>
        <v>0</v>
      </c>
      <c r="BB113" s="14">
        <f t="shared" si="93"/>
        <v>2.3073083988744636</v>
      </c>
      <c r="BC113" s="14">
        <f t="shared" si="94"/>
        <v>1.7692691601125536</v>
      </c>
      <c r="BD113" s="14">
        <f t="shared" si="77"/>
        <v>0.45074165226777924</v>
      </c>
      <c r="BE113" s="16">
        <f t="shared" si="78"/>
        <v>74.867768777738789</v>
      </c>
      <c r="BF113" s="16">
        <f t="shared" si="79"/>
        <v>250.26446244452242</v>
      </c>
      <c r="BG113" s="17">
        <f t="shared" si="80"/>
        <v>0.74867768777738786</v>
      </c>
      <c r="BH113" s="14">
        <f t="shared" si="81"/>
        <v>164.70909131102536</v>
      </c>
      <c r="BI113" s="14">
        <f t="shared" si="82"/>
        <v>70.581817377949278</v>
      </c>
      <c r="BJ113" s="14">
        <f t="shared" si="83"/>
        <v>36.892445602209506</v>
      </c>
    </row>
    <row r="114" spans="2:62">
      <c r="B114" s="14" t="s">
        <v>91</v>
      </c>
      <c r="C114" s="81" t="str">
        <f>MostLikely!$B$1</f>
        <v>MRI-CGCM2.3.2</v>
      </c>
      <c r="D114" s="89">
        <v>2032</v>
      </c>
      <c r="E114" s="57">
        <f>'Cooler&amp;Wetter'!AA60</f>
        <v>35.555</v>
      </c>
      <c r="F114" s="90">
        <f>MostLikely!AC60</f>
        <v>22.157368859999998</v>
      </c>
      <c r="G114" s="35">
        <f t="shared" si="84"/>
        <v>2005</v>
      </c>
      <c r="H114" s="91" t="str">
        <f t="shared" si="64"/>
        <v>Pile 32 @ Berth 201</v>
      </c>
      <c r="I114" s="35" t="str">
        <f t="shared" si="65"/>
        <v>Turpentine Gum</v>
      </c>
      <c r="J114" s="35" t="str">
        <f t="shared" si="66"/>
        <v>HW1</v>
      </c>
      <c r="K114" s="35" t="str">
        <f t="shared" si="85"/>
        <v>SPHU</v>
      </c>
      <c r="L114" s="35">
        <f t="shared" si="67"/>
        <v>400</v>
      </c>
      <c r="M114" s="35">
        <f t="shared" si="68"/>
        <v>20</v>
      </c>
      <c r="N114" s="35">
        <f t="shared" si="69"/>
        <v>200</v>
      </c>
      <c r="O114" s="35" t="str">
        <f t="shared" si="70"/>
        <v>MTN2</v>
      </c>
      <c r="P114" s="35" t="str">
        <f t="shared" si="71"/>
        <v>CNT2</v>
      </c>
      <c r="Q114" s="35" t="str">
        <f t="shared" si="72"/>
        <v>KNT3</v>
      </c>
      <c r="R114" s="35" t="str">
        <f t="shared" si="73"/>
        <v>E</v>
      </c>
      <c r="S114" s="35" t="str">
        <f t="shared" si="74"/>
        <v>EXP1</v>
      </c>
      <c r="T114" s="58"/>
      <c r="U114" s="58"/>
      <c r="V114" s="58"/>
      <c r="W114" s="58"/>
      <c r="X114" s="58"/>
      <c r="Y114" s="58"/>
      <c r="Z114" s="58"/>
      <c r="AA114" s="95">
        <f t="shared" si="52"/>
        <v>0.77419717777798569</v>
      </c>
      <c r="AB114" s="96">
        <f t="shared" si="86"/>
        <v>77.419717777798567</v>
      </c>
      <c r="AC114" s="58"/>
      <c r="AD114" s="58"/>
      <c r="AE114" s="58"/>
      <c r="AF114" s="58"/>
      <c r="AG114" s="58"/>
      <c r="AH114" s="58"/>
      <c r="AI114" s="58"/>
      <c r="AJ114" s="58"/>
      <c r="AK114" s="58"/>
      <c r="AL114" s="58"/>
      <c r="AM114" s="89">
        <f t="shared" si="87"/>
        <v>27</v>
      </c>
      <c r="AN114" s="5">
        <f t="shared" ref="AN114:AN145" si="95">E114</f>
        <v>35.555</v>
      </c>
      <c r="AO114" s="14">
        <f t="shared" ref="AO114:AO145" si="96">0.1*EXP(0.13*F114)</f>
        <v>1.7822433126369039</v>
      </c>
      <c r="AP114" s="14">
        <f>IF((OR(R114="A",R114="B",R114="C")),INDEX(Coefficients!$S$4:$S$22,MATCH(J114,Coefficients!$R$4:$R$22)),INDEX(Coefficients!$T$4:$T$22,MATCH(J114,Coefficients!$R$4:$R$22)))</f>
        <v>1.3</v>
      </c>
      <c r="AQ114" s="27">
        <f>IF((OR(R114="A",R114="B",R114="C")),INDEX(Coefficients!$S$4:$S$22,MATCH(K114,Coefficients!$R$4:$R$22)),INDEX(Coefficients!$T$4:$T$22,MATCH(K114,Coefficients!$R$4:$R$22)))</f>
        <v>25</v>
      </c>
      <c r="AR114" s="15">
        <f>IF(OR(R114="A",R114="B",R114="C",R114="D"),IF(AN114&gt;=11,IF(AN114&gt;=26,Coefficients!$M$6,Coefficients!$M$5),Coefficients!$M$4),IF(AN114&gt;=11,IF(AN114&gt;=26,Coefficients!$N$6,Coefficients!$N$5),Coefficients!$N$4))</f>
        <v>1</v>
      </c>
      <c r="AS114" s="15">
        <f>INDEX(Coefficients!$X$3:$X$4,MATCH(S114,Coefficients!$W$3:$W$4))</f>
        <v>1</v>
      </c>
      <c r="AT114" s="15">
        <f>INDEX(Coefficients!$X$7:$X$8,MATCH(O114,Coefficients!$W$7:$W$8))</f>
        <v>1</v>
      </c>
      <c r="AU114" s="15">
        <f>INDEX(Coefficients!$X$11:$X$12,MATCH(P114,Coefficients!$W$11:$W$12))</f>
        <v>1</v>
      </c>
      <c r="AV114" s="15">
        <f>INDEX(Coefficients!$X$15:$X$17,MATCH(Q114,Coefficients!$W$15:$W$17))</f>
        <v>1</v>
      </c>
      <c r="AW114" s="15">
        <f t="shared" si="88"/>
        <v>1</v>
      </c>
      <c r="AX114" s="15">
        <f t="shared" si="89"/>
        <v>1</v>
      </c>
      <c r="AY114" s="15">
        <f t="shared" si="90"/>
        <v>1.3</v>
      </c>
      <c r="AZ114" s="14">
        <f t="shared" si="91"/>
        <v>44.556082815922601</v>
      </c>
      <c r="BA114" s="14">
        <f t="shared" si="92"/>
        <v>0</v>
      </c>
      <c r="BB114" s="14">
        <f t="shared" si="93"/>
        <v>2.3169163064279754</v>
      </c>
      <c r="BC114" s="14">
        <f t="shared" si="94"/>
        <v>1.7683083693572024</v>
      </c>
      <c r="BD114" s="14">
        <f t="shared" ref="BD114:BD145" si="97">M114/AZ114+BA114</f>
        <v>0.44887249363071885</v>
      </c>
      <c r="BE114" s="16">
        <f t="shared" ref="BE114:BE145" si="98">IF(AM114&lt;=0,0,IF(AM114&gt;(BD114+BC114),M114+(AM114-BD114-BC114)*BB114,M114))</f>
        <v>77.419717777798567</v>
      </c>
      <c r="BF114" s="16">
        <f t="shared" ref="BF114:BF145" si="99">L114-2*BE114</f>
        <v>245.16056444440287</v>
      </c>
      <c r="BG114" s="17">
        <f t="shared" ref="BG114:BG145" si="100">IF(2*BE114&gt;(L114-N114),1,BE114/((L114-N114)/2))</f>
        <v>0.77419717777798569</v>
      </c>
      <c r="BH114" s="14">
        <f t="shared" ref="BH114:BH145" si="101">BE114*(1+$BF$1*$BF$2)</f>
        <v>170.32337911115687</v>
      </c>
      <c r="BI114" s="14">
        <f t="shared" ref="BI114:BI145" si="102">L114-2*BH114</f>
        <v>59.353241777686264</v>
      </c>
      <c r="BJ114" s="14">
        <f t="shared" ref="BJ114:BJ145" si="103">($BF$3/2-M114)/BB114+BD114+BC114</f>
        <v>36.745834219197057</v>
      </c>
    </row>
    <row r="115" spans="2:62">
      <c r="B115" s="14" t="s">
        <v>91</v>
      </c>
      <c r="C115" s="81" t="str">
        <f>MostLikely!$B$1</f>
        <v>MRI-CGCM2.3.2</v>
      </c>
      <c r="D115" s="89">
        <v>2033</v>
      </c>
      <c r="E115" s="57">
        <f>'Cooler&amp;Wetter'!AA61</f>
        <v>35.557499999999997</v>
      </c>
      <c r="F115" s="90">
        <f>MostLikely!AC61</f>
        <v>22.189334039999999</v>
      </c>
      <c r="G115" s="35">
        <f t="shared" si="84"/>
        <v>2005</v>
      </c>
      <c r="H115" s="91" t="str">
        <f t="shared" si="64"/>
        <v>Pile 32 @ Berth 201</v>
      </c>
      <c r="I115" s="35" t="str">
        <f t="shared" si="65"/>
        <v>Turpentine Gum</v>
      </c>
      <c r="J115" s="35" t="str">
        <f t="shared" si="66"/>
        <v>HW1</v>
      </c>
      <c r="K115" s="35" t="str">
        <f t="shared" si="85"/>
        <v>SPHU</v>
      </c>
      <c r="L115" s="35">
        <f t="shared" si="67"/>
        <v>400</v>
      </c>
      <c r="M115" s="35">
        <f t="shared" si="68"/>
        <v>20</v>
      </c>
      <c r="N115" s="35">
        <f t="shared" si="69"/>
        <v>200</v>
      </c>
      <c r="O115" s="35" t="str">
        <f t="shared" si="70"/>
        <v>MTN2</v>
      </c>
      <c r="P115" s="35" t="str">
        <f t="shared" si="71"/>
        <v>CNT2</v>
      </c>
      <c r="Q115" s="35" t="str">
        <f t="shared" si="72"/>
        <v>KNT3</v>
      </c>
      <c r="R115" s="35" t="str">
        <f t="shared" si="73"/>
        <v>E</v>
      </c>
      <c r="S115" s="35" t="str">
        <f t="shared" si="74"/>
        <v>EXP1</v>
      </c>
      <c r="T115" s="58"/>
      <c r="U115" s="58"/>
      <c r="V115" s="58"/>
      <c r="W115" s="58"/>
      <c r="X115" s="58"/>
      <c r="Y115" s="58"/>
      <c r="Z115" s="58"/>
      <c r="AA115" s="95">
        <f t="shared" si="52"/>
        <v>0.79991959891957554</v>
      </c>
      <c r="AB115" s="96">
        <f t="shared" si="86"/>
        <v>79.991959891957549</v>
      </c>
      <c r="AC115" s="58"/>
      <c r="AD115" s="58"/>
      <c r="AE115" s="58"/>
      <c r="AF115" s="58"/>
      <c r="AG115" s="58"/>
      <c r="AH115" s="58"/>
      <c r="AI115" s="58"/>
      <c r="AJ115" s="58"/>
      <c r="AK115" s="58"/>
      <c r="AL115" s="58"/>
      <c r="AM115" s="89">
        <f t="shared" si="87"/>
        <v>28</v>
      </c>
      <c r="AN115" s="5">
        <f t="shared" si="95"/>
        <v>35.557499999999997</v>
      </c>
      <c r="AO115" s="14">
        <f t="shared" si="96"/>
        <v>1.7896647865040436</v>
      </c>
      <c r="AP115" s="14">
        <f>IF((OR(R115="A",R115="B",R115="C")),INDEX(Coefficients!$S$4:$S$22,MATCH(J115,Coefficients!$R$4:$R$22)),INDEX(Coefficients!$T$4:$T$22,MATCH(J115,Coefficients!$R$4:$R$22)))</f>
        <v>1.3</v>
      </c>
      <c r="AQ115" s="27">
        <f>IF((OR(R115="A",R115="B",R115="C")),INDEX(Coefficients!$S$4:$S$22,MATCH(K115,Coefficients!$R$4:$R$22)),INDEX(Coefficients!$T$4:$T$22,MATCH(K115,Coefficients!$R$4:$R$22)))</f>
        <v>25</v>
      </c>
      <c r="AR115" s="15">
        <f>IF(OR(R115="A",R115="B",R115="C",R115="D"),IF(AN115&gt;=11,IF(AN115&gt;=26,Coefficients!$M$6,Coefficients!$M$5),Coefficients!$M$4),IF(AN115&gt;=11,IF(AN115&gt;=26,Coefficients!$N$6,Coefficients!$N$5),Coefficients!$N$4))</f>
        <v>1</v>
      </c>
      <c r="AS115" s="15">
        <f>INDEX(Coefficients!$X$3:$X$4,MATCH(S115,Coefficients!$W$3:$W$4))</f>
        <v>1</v>
      </c>
      <c r="AT115" s="15">
        <f>INDEX(Coefficients!$X$7:$X$8,MATCH(O115,Coefficients!$W$7:$W$8))</f>
        <v>1</v>
      </c>
      <c r="AU115" s="15">
        <f>INDEX(Coefficients!$X$11:$X$12,MATCH(P115,Coefficients!$W$11:$W$12))</f>
        <v>1</v>
      </c>
      <c r="AV115" s="15">
        <f>INDEX(Coefficients!$X$15:$X$17,MATCH(Q115,Coefficients!$W$15:$W$17))</f>
        <v>1</v>
      </c>
      <c r="AW115" s="15">
        <f t="shared" si="88"/>
        <v>1</v>
      </c>
      <c r="AX115" s="15">
        <f t="shared" si="89"/>
        <v>1</v>
      </c>
      <c r="AY115" s="15">
        <f t="shared" si="90"/>
        <v>1.3</v>
      </c>
      <c r="AZ115" s="14">
        <f t="shared" si="91"/>
        <v>44.741619662601089</v>
      </c>
      <c r="BA115" s="14">
        <f t="shared" si="92"/>
        <v>0</v>
      </c>
      <c r="BB115" s="14">
        <f t="shared" si="93"/>
        <v>2.3265642224552567</v>
      </c>
      <c r="BC115" s="14">
        <f t="shared" si="94"/>
        <v>1.7673435777544744</v>
      </c>
      <c r="BD115" s="14">
        <f t="shared" si="97"/>
        <v>0.44701108611670864</v>
      </c>
      <c r="BE115" s="16">
        <f t="shared" si="98"/>
        <v>79.991959891957549</v>
      </c>
      <c r="BF115" s="16">
        <f t="shared" si="99"/>
        <v>240.0160802160849</v>
      </c>
      <c r="BG115" s="17">
        <f t="shared" si="100"/>
        <v>0.79991959891957554</v>
      </c>
      <c r="BH115" s="14">
        <f t="shared" si="101"/>
        <v>175.98231176230661</v>
      </c>
      <c r="BI115" s="14">
        <f t="shared" si="102"/>
        <v>48.035376475386784</v>
      </c>
      <c r="BJ115" s="14">
        <f t="shared" si="103"/>
        <v>36.599822826694925</v>
      </c>
    </row>
    <row r="116" spans="2:62">
      <c r="B116" s="14" t="s">
        <v>91</v>
      </c>
      <c r="C116" s="81" t="str">
        <f>MostLikely!$B$1</f>
        <v>MRI-CGCM2.3.2</v>
      </c>
      <c r="D116" s="89">
        <v>2034</v>
      </c>
      <c r="E116" s="57">
        <f>'Cooler&amp;Wetter'!AA62</f>
        <v>35.56</v>
      </c>
      <c r="F116" s="90">
        <f>MostLikely!AC62</f>
        <v>22.221299219999999</v>
      </c>
      <c r="G116" s="35">
        <f t="shared" si="84"/>
        <v>2005</v>
      </c>
      <c r="H116" s="91" t="str">
        <f t="shared" si="64"/>
        <v>Pile 32 @ Berth 201</v>
      </c>
      <c r="I116" s="35" t="str">
        <f t="shared" si="65"/>
        <v>Turpentine Gum</v>
      </c>
      <c r="J116" s="35" t="str">
        <f t="shared" si="66"/>
        <v>HW1</v>
      </c>
      <c r="K116" s="35" t="str">
        <f t="shared" si="85"/>
        <v>SPHU</v>
      </c>
      <c r="L116" s="35">
        <f t="shared" si="67"/>
        <v>400</v>
      </c>
      <c r="M116" s="35">
        <f t="shared" si="68"/>
        <v>20</v>
      </c>
      <c r="N116" s="35">
        <f t="shared" si="69"/>
        <v>200</v>
      </c>
      <c r="O116" s="35" t="str">
        <f t="shared" si="70"/>
        <v>MTN2</v>
      </c>
      <c r="P116" s="35" t="str">
        <f t="shared" si="71"/>
        <v>CNT2</v>
      </c>
      <c r="Q116" s="35" t="str">
        <f t="shared" si="72"/>
        <v>KNT3</v>
      </c>
      <c r="R116" s="35" t="str">
        <f t="shared" si="73"/>
        <v>E</v>
      </c>
      <c r="S116" s="35" t="str">
        <f t="shared" si="74"/>
        <v>EXP1</v>
      </c>
      <c r="T116" s="58"/>
      <c r="U116" s="58"/>
      <c r="V116" s="58"/>
      <c r="W116" s="58"/>
      <c r="X116" s="58"/>
      <c r="Y116" s="58"/>
      <c r="Z116" s="58"/>
      <c r="AA116" s="95">
        <f t="shared" si="52"/>
        <v>0.82584619953281702</v>
      </c>
      <c r="AB116" s="96">
        <f t="shared" si="86"/>
        <v>82.584619953281702</v>
      </c>
      <c r="AC116" s="58"/>
      <c r="AD116" s="58"/>
      <c r="AE116" s="58"/>
      <c r="AF116" s="58"/>
      <c r="AG116" s="58"/>
      <c r="AH116" s="58"/>
      <c r="AI116" s="58"/>
      <c r="AJ116" s="58"/>
      <c r="AK116" s="58"/>
      <c r="AL116" s="58"/>
      <c r="AM116" s="89">
        <f t="shared" si="87"/>
        <v>29</v>
      </c>
      <c r="AN116" s="5">
        <f t="shared" si="95"/>
        <v>35.56</v>
      </c>
      <c r="AO116" s="14">
        <f t="shared" si="96"/>
        <v>1.7971171642741297</v>
      </c>
      <c r="AP116" s="14">
        <f>IF((OR(R116="A",R116="B",R116="C")),INDEX(Coefficients!$S$4:$S$22,MATCH(J116,Coefficients!$R$4:$R$22)),INDEX(Coefficients!$T$4:$T$22,MATCH(J116,Coefficients!$R$4:$R$22)))</f>
        <v>1.3</v>
      </c>
      <c r="AQ116" s="27">
        <f>IF((OR(R116="A",R116="B",R116="C")),INDEX(Coefficients!$S$4:$S$22,MATCH(K116,Coefficients!$R$4:$R$22)),INDEX(Coefficients!$T$4:$T$22,MATCH(K116,Coefficients!$R$4:$R$22)))</f>
        <v>25</v>
      </c>
      <c r="AR116" s="15">
        <f>IF(OR(R116="A",R116="B",R116="C",R116="D"),IF(AN116&gt;=11,IF(AN116&gt;=26,Coefficients!$M$6,Coefficients!$M$5),Coefficients!$M$4),IF(AN116&gt;=11,IF(AN116&gt;=26,Coefficients!$N$6,Coefficients!$N$5),Coefficients!$N$4))</f>
        <v>1</v>
      </c>
      <c r="AS116" s="15">
        <f>INDEX(Coefficients!$X$3:$X$4,MATCH(S116,Coefficients!$W$3:$W$4))</f>
        <v>1</v>
      </c>
      <c r="AT116" s="15">
        <f>INDEX(Coefficients!$X$7:$X$8,MATCH(O116,Coefficients!$W$7:$W$8))</f>
        <v>1</v>
      </c>
      <c r="AU116" s="15">
        <f>INDEX(Coefficients!$X$11:$X$12,MATCH(P116,Coefficients!$W$11:$W$12))</f>
        <v>1</v>
      </c>
      <c r="AV116" s="15">
        <f>INDEX(Coefficients!$X$15:$X$17,MATCH(Q116,Coefficients!$W$15:$W$17))</f>
        <v>1</v>
      </c>
      <c r="AW116" s="15">
        <f t="shared" si="88"/>
        <v>1</v>
      </c>
      <c r="AX116" s="15">
        <f t="shared" si="89"/>
        <v>1</v>
      </c>
      <c r="AY116" s="15">
        <f t="shared" si="90"/>
        <v>1.3</v>
      </c>
      <c r="AZ116" s="14">
        <f t="shared" si="91"/>
        <v>44.927929106853242</v>
      </c>
      <c r="BA116" s="14">
        <f t="shared" si="92"/>
        <v>0</v>
      </c>
      <c r="BB116" s="14">
        <f t="shared" si="93"/>
        <v>2.3362523135563689</v>
      </c>
      <c r="BC116" s="14">
        <f t="shared" si="94"/>
        <v>1.7663747686443632</v>
      </c>
      <c r="BD116" s="14">
        <f t="shared" si="97"/>
        <v>0.44515739758299316</v>
      </c>
      <c r="BE116" s="16">
        <f t="shared" si="98"/>
        <v>82.584619953281702</v>
      </c>
      <c r="BF116" s="16">
        <f t="shared" si="99"/>
        <v>234.8307600934366</v>
      </c>
      <c r="BG116" s="17">
        <f t="shared" si="100"/>
        <v>0.82584619953281702</v>
      </c>
      <c r="BH116" s="14">
        <f t="shared" si="101"/>
        <v>181.68616389721976</v>
      </c>
      <c r="BI116" s="14">
        <f t="shared" si="102"/>
        <v>36.627672205560486</v>
      </c>
      <c r="BJ116" s="14">
        <f t="shared" si="103"/>
        <v>36.454408903380674</v>
      </c>
    </row>
    <row r="117" spans="2:62">
      <c r="B117" s="14" t="s">
        <v>91</v>
      </c>
      <c r="C117" s="81" t="str">
        <f>MostLikely!$B$1</f>
        <v>MRI-CGCM2.3.2</v>
      </c>
      <c r="D117" s="89">
        <v>2035</v>
      </c>
      <c r="E117" s="57">
        <f>'Cooler&amp;Wetter'!AA63</f>
        <v>35.5625</v>
      </c>
      <c r="F117" s="90">
        <f>MostLikely!AC63</f>
        <v>22.253264399999999</v>
      </c>
      <c r="G117" s="35">
        <f t="shared" si="84"/>
        <v>2005</v>
      </c>
      <c r="H117" s="91" t="str">
        <f t="shared" si="64"/>
        <v>Pile 32 @ Berth 201</v>
      </c>
      <c r="I117" s="35" t="str">
        <f t="shared" si="65"/>
        <v>Turpentine Gum</v>
      </c>
      <c r="J117" s="35" t="str">
        <f t="shared" si="66"/>
        <v>HW1</v>
      </c>
      <c r="K117" s="35" t="str">
        <f t="shared" si="85"/>
        <v>SPHU</v>
      </c>
      <c r="L117" s="35">
        <f t="shared" si="67"/>
        <v>400</v>
      </c>
      <c r="M117" s="35">
        <f t="shared" si="68"/>
        <v>20</v>
      </c>
      <c r="N117" s="35">
        <f t="shared" si="69"/>
        <v>200</v>
      </c>
      <c r="O117" s="35" t="str">
        <f t="shared" si="70"/>
        <v>MTN2</v>
      </c>
      <c r="P117" s="35" t="str">
        <f t="shared" si="71"/>
        <v>CNT2</v>
      </c>
      <c r="Q117" s="35" t="str">
        <f t="shared" si="72"/>
        <v>KNT3</v>
      </c>
      <c r="R117" s="35" t="str">
        <f t="shared" si="73"/>
        <v>E</v>
      </c>
      <c r="S117" s="35" t="str">
        <f t="shared" si="74"/>
        <v>EXP1</v>
      </c>
      <c r="T117" s="58"/>
      <c r="U117" s="58"/>
      <c r="V117" s="58"/>
      <c r="W117" s="58"/>
      <c r="X117" s="58"/>
      <c r="Y117" s="58"/>
      <c r="Z117" s="58"/>
      <c r="AA117" s="95">
        <f t="shared" si="52"/>
        <v>0.85197823483244439</v>
      </c>
      <c r="AB117" s="96">
        <f t="shared" si="86"/>
        <v>85.197823483244434</v>
      </c>
      <c r="AC117" s="58"/>
      <c r="AD117" s="58"/>
      <c r="AE117" s="58"/>
      <c r="AF117" s="58"/>
      <c r="AG117" s="58"/>
      <c r="AH117" s="58"/>
      <c r="AI117" s="58"/>
      <c r="AJ117" s="58"/>
      <c r="AK117" s="58"/>
      <c r="AL117" s="58"/>
      <c r="AM117" s="89">
        <f t="shared" si="87"/>
        <v>30</v>
      </c>
      <c r="AN117" s="5">
        <f t="shared" si="95"/>
        <v>35.5625</v>
      </c>
      <c r="AO117" s="14">
        <f t="shared" si="96"/>
        <v>1.8046005746347029</v>
      </c>
      <c r="AP117" s="14">
        <f>IF((OR(R117="A",R117="B",R117="C")),INDEX(Coefficients!$S$4:$S$22,MATCH(J117,Coefficients!$R$4:$R$22)),INDEX(Coefficients!$T$4:$T$22,MATCH(J117,Coefficients!$R$4:$R$22)))</f>
        <v>1.3</v>
      </c>
      <c r="AQ117" s="27">
        <f>IF((OR(R117="A",R117="B",R117="C")),INDEX(Coefficients!$S$4:$S$22,MATCH(K117,Coefficients!$R$4:$R$22)),INDEX(Coefficients!$T$4:$T$22,MATCH(K117,Coefficients!$R$4:$R$22)))</f>
        <v>25</v>
      </c>
      <c r="AR117" s="15">
        <f>IF(OR(R117="A",R117="B",R117="C",R117="D"),IF(AN117&gt;=11,IF(AN117&gt;=26,Coefficients!$M$6,Coefficients!$M$5),Coefficients!$M$4),IF(AN117&gt;=11,IF(AN117&gt;=26,Coefficients!$N$6,Coefficients!$N$5),Coefficients!$N$4))</f>
        <v>1</v>
      </c>
      <c r="AS117" s="15">
        <f>INDEX(Coefficients!$X$3:$X$4,MATCH(S117,Coefficients!$W$3:$W$4))</f>
        <v>1</v>
      </c>
      <c r="AT117" s="15">
        <f>INDEX(Coefficients!$X$7:$X$8,MATCH(O117,Coefficients!$W$7:$W$8))</f>
        <v>1</v>
      </c>
      <c r="AU117" s="15">
        <f>INDEX(Coefficients!$X$11:$X$12,MATCH(P117,Coefficients!$W$11:$W$12))</f>
        <v>1</v>
      </c>
      <c r="AV117" s="15">
        <f>INDEX(Coefficients!$X$15:$X$17,MATCH(Q117,Coefficients!$W$15:$W$17))</f>
        <v>1</v>
      </c>
      <c r="AW117" s="15">
        <f t="shared" si="88"/>
        <v>1</v>
      </c>
      <c r="AX117" s="15">
        <f t="shared" si="89"/>
        <v>1</v>
      </c>
      <c r="AY117" s="15">
        <f t="shared" si="90"/>
        <v>1.3</v>
      </c>
      <c r="AZ117" s="14">
        <f t="shared" si="91"/>
        <v>45.115014365867573</v>
      </c>
      <c r="BA117" s="14">
        <f t="shared" si="92"/>
        <v>0</v>
      </c>
      <c r="BB117" s="14">
        <f t="shared" si="93"/>
        <v>2.3459807470251137</v>
      </c>
      <c r="BC117" s="14">
        <f t="shared" si="94"/>
        <v>1.7654019252974886</v>
      </c>
      <c r="BD117" s="14">
        <f t="shared" si="97"/>
        <v>0.44331139602010844</v>
      </c>
      <c r="BE117" s="16">
        <f t="shared" si="98"/>
        <v>85.197823483244434</v>
      </c>
      <c r="BF117" s="16">
        <f t="shared" si="99"/>
        <v>229.60435303351113</v>
      </c>
      <c r="BG117" s="17">
        <f t="shared" si="100"/>
        <v>0.85197823483244439</v>
      </c>
      <c r="BH117" s="14">
        <f t="shared" si="101"/>
        <v>187.43521166313778</v>
      </c>
      <c r="BI117" s="14">
        <f t="shared" si="102"/>
        <v>25.129576673724443</v>
      </c>
      <c r="BJ117" s="14">
        <f t="shared" si="103"/>
        <v>36.309589938249012</v>
      </c>
    </row>
    <row r="118" spans="2:62">
      <c r="B118" s="14" t="s">
        <v>91</v>
      </c>
      <c r="C118" s="81" t="str">
        <f>MostLikely!$B$1</f>
        <v>MRI-CGCM2.3.2</v>
      </c>
      <c r="D118" s="89">
        <v>2036</v>
      </c>
      <c r="E118" s="57">
        <f>'Cooler&amp;Wetter'!AA64</f>
        <v>35.564999999999998</v>
      </c>
      <c r="F118" s="90">
        <f>MostLikely!AC64</f>
        <v>22.285229579999999</v>
      </c>
      <c r="G118" s="35">
        <f t="shared" si="84"/>
        <v>2005</v>
      </c>
      <c r="H118" s="91" t="str">
        <f t="shared" si="64"/>
        <v>Pile 32 @ Berth 201</v>
      </c>
      <c r="I118" s="35" t="str">
        <f t="shared" si="65"/>
        <v>Turpentine Gum</v>
      </c>
      <c r="J118" s="35" t="str">
        <f t="shared" si="66"/>
        <v>HW1</v>
      </c>
      <c r="K118" s="35" t="str">
        <f t="shared" si="85"/>
        <v>SPHU</v>
      </c>
      <c r="L118" s="35">
        <f t="shared" si="67"/>
        <v>400</v>
      </c>
      <c r="M118" s="35">
        <f t="shared" si="68"/>
        <v>20</v>
      </c>
      <c r="N118" s="35">
        <f t="shared" si="69"/>
        <v>200</v>
      </c>
      <c r="O118" s="35" t="str">
        <f t="shared" si="70"/>
        <v>MTN2</v>
      </c>
      <c r="P118" s="35" t="str">
        <f t="shared" si="71"/>
        <v>CNT2</v>
      </c>
      <c r="Q118" s="35" t="str">
        <f t="shared" si="72"/>
        <v>KNT3</v>
      </c>
      <c r="R118" s="35" t="str">
        <f t="shared" si="73"/>
        <v>E</v>
      </c>
      <c r="S118" s="35" t="str">
        <f t="shared" si="74"/>
        <v>EXP1</v>
      </c>
      <c r="T118" s="58"/>
      <c r="U118" s="58"/>
      <c r="V118" s="58"/>
      <c r="W118" s="58"/>
      <c r="X118" s="58"/>
      <c r="Y118" s="58"/>
      <c r="Z118" s="58"/>
      <c r="AA118" s="95">
        <f t="shared" si="52"/>
        <v>0.87831696695300709</v>
      </c>
      <c r="AB118" s="96">
        <f t="shared" si="86"/>
        <v>87.831696695300707</v>
      </c>
      <c r="AC118" s="58"/>
      <c r="AD118" s="58"/>
      <c r="AE118" s="58"/>
      <c r="AF118" s="58"/>
      <c r="AG118" s="58"/>
      <c r="AH118" s="58"/>
      <c r="AI118" s="58"/>
      <c r="AJ118" s="58"/>
      <c r="AK118" s="58"/>
      <c r="AL118" s="58"/>
      <c r="AM118" s="89">
        <f t="shared" si="87"/>
        <v>31</v>
      </c>
      <c r="AN118" s="5">
        <f t="shared" si="95"/>
        <v>35.564999999999998</v>
      </c>
      <c r="AO118" s="14">
        <f t="shared" si="96"/>
        <v>1.812115146809173</v>
      </c>
      <c r="AP118" s="14">
        <f>IF((OR(R118="A",R118="B",R118="C")),INDEX(Coefficients!$S$4:$S$22,MATCH(J118,Coefficients!$R$4:$R$22)),INDEX(Coefficients!$T$4:$T$22,MATCH(J118,Coefficients!$R$4:$R$22)))</f>
        <v>1.3</v>
      </c>
      <c r="AQ118" s="27">
        <f>IF((OR(R118="A",R118="B",R118="C")),INDEX(Coefficients!$S$4:$S$22,MATCH(K118,Coefficients!$R$4:$R$22)),INDEX(Coefficients!$T$4:$T$22,MATCH(K118,Coefficients!$R$4:$R$22)))</f>
        <v>25</v>
      </c>
      <c r="AR118" s="15">
        <f>IF(OR(R118="A",R118="B",R118="C",R118="D"),IF(AN118&gt;=11,IF(AN118&gt;=26,Coefficients!$M$6,Coefficients!$M$5),Coefficients!$M$4),IF(AN118&gt;=11,IF(AN118&gt;=26,Coefficients!$N$6,Coefficients!$N$5),Coefficients!$N$4))</f>
        <v>1</v>
      </c>
      <c r="AS118" s="15">
        <f>INDEX(Coefficients!$X$3:$X$4,MATCH(S118,Coefficients!$W$3:$W$4))</f>
        <v>1</v>
      </c>
      <c r="AT118" s="15">
        <f>INDEX(Coefficients!$X$7:$X$8,MATCH(O118,Coefficients!$W$7:$W$8))</f>
        <v>1</v>
      </c>
      <c r="AU118" s="15">
        <f>INDEX(Coefficients!$X$11:$X$12,MATCH(P118,Coefficients!$W$11:$W$12))</f>
        <v>1</v>
      </c>
      <c r="AV118" s="15">
        <f>INDEX(Coefficients!$X$15:$X$17,MATCH(Q118,Coefficients!$W$15:$W$17))</f>
        <v>1</v>
      </c>
      <c r="AW118" s="15">
        <f t="shared" si="88"/>
        <v>1</v>
      </c>
      <c r="AX118" s="15">
        <f t="shared" si="89"/>
        <v>1</v>
      </c>
      <c r="AY118" s="15">
        <f t="shared" si="90"/>
        <v>1.3</v>
      </c>
      <c r="AZ118" s="14">
        <f t="shared" si="91"/>
        <v>45.302878670229326</v>
      </c>
      <c r="BA118" s="14">
        <f t="shared" si="92"/>
        <v>0</v>
      </c>
      <c r="BB118" s="14">
        <f t="shared" si="93"/>
        <v>2.3557496908519249</v>
      </c>
      <c r="BC118" s="14">
        <f t="shared" si="94"/>
        <v>1.7644250309148075</v>
      </c>
      <c r="BD118" s="14">
        <f t="shared" si="97"/>
        <v>0.44147304955132904</v>
      </c>
      <c r="BE118" s="16">
        <f t="shared" si="98"/>
        <v>87.831696695300707</v>
      </c>
      <c r="BF118" s="16">
        <f t="shared" si="99"/>
        <v>224.33660660939859</v>
      </c>
      <c r="BG118" s="17">
        <f t="shared" si="100"/>
        <v>0.87831696695300709</v>
      </c>
      <c r="BH118" s="14">
        <f t="shared" si="101"/>
        <v>193.22973272966158</v>
      </c>
      <c r="BI118" s="14">
        <f t="shared" si="102"/>
        <v>13.540534540676845</v>
      </c>
      <c r="BJ118" s="14">
        <f t="shared" si="103"/>
        <v>36.16536343056837</v>
      </c>
    </row>
    <row r="119" spans="2:62">
      <c r="B119" s="14" t="s">
        <v>91</v>
      </c>
      <c r="C119" s="81" t="str">
        <f>MostLikely!$B$1</f>
        <v>MRI-CGCM2.3.2</v>
      </c>
      <c r="D119" s="89">
        <v>2037</v>
      </c>
      <c r="E119" s="57">
        <f>'Cooler&amp;Wetter'!AA65</f>
        <v>35.567500000000003</v>
      </c>
      <c r="F119" s="90">
        <f>MostLikely!AC65</f>
        <v>22.31719476</v>
      </c>
      <c r="G119" s="35">
        <f t="shared" si="84"/>
        <v>2005</v>
      </c>
      <c r="H119" s="91" t="str">
        <f t="shared" si="64"/>
        <v>Pile 32 @ Berth 201</v>
      </c>
      <c r="I119" s="35" t="str">
        <f t="shared" si="65"/>
        <v>Turpentine Gum</v>
      </c>
      <c r="J119" s="35" t="str">
        <f t="shared" si="66"/>
        <v>HW1</v>
      </c>
      <c r="K119" s="35" t="str">
        <f t="shared" si="85"/>
        <v>SPHU</v>
      </c>
      <c r="L119" s="35">
        <f t="shared" si="67"/>
        <v>400</v>
      </c>
      <c r="M119" s="35">
        <f t="shared" si="68"/>
        <v>20</v>
      </c>
      <c r="N119" s="35">
        <f t="shared" si="69"/>
        <v>200</v>
      </c>
      <c r="O119" s="35" t="str">
        <f t="shared" si="70"/>
        <v>MTN2</v>
      </c>
      <c r="P119" s="35" t="str">
        <f t="shared" si="71"/>
        <v>CNT2</v>
      </c>
      <c r="Q119" s="35" t="str">
        <f t="shared" si="72"/>
        <v>KNT3</v>
      </c>
      <c r="R119" s="35" t="str">
        <f t="shared" si="73"/>
        <v>E</v>
      </c>
      <c r="S119" s="35" t="str">
        <f t="shared" si="74"/>
        <v>EXP1</v>
      </c>
      <c r="T119" s="58"/>
      <c r="U119" s="58"/>
      <c r="V119" s="58"/>
      <c r="W119" s="58"/>
      <c r="X119" s="58"/>
      <c r="Y119" s="58"/>
      <c r="Z119" s="58"/>
      <c r="AA119" s="95">
        <f t="shared" si="52"/>
        <v>0.90486366498479009</v>
      </c>
      <c r="AB119" s="96">
        <f t="shared" si="86"/>
        <v>90.486366498479015</v>
      </c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89">
        <f t="shared" si="87"/>
        <v>32</v>
      </c>
      <c r="AN119" s="5">
        <f t="shared" si="95"/>
        <v>35.567500000000003</v>
      </c>
      <c r="AO119" s="14">
        <f t="shared" si="96"/>
        <v>1.8196610105590527</v>
      </c>
      <c r="AP119" s="14">
        <f>IF((OR(R119="A",R119="B",R119="C")),INDEX(Coefficients!$S$4:$S$22,MATCH(J119,Coefficients!$R$4:$R$22)),INDEX(Coefficients!$T$4:$T$22,MATCH(J119,Coefficients!$R$4:$R$22)))</f>
        <v>1.3</v>
      </c>
      <c r="AQ119" s="27">
        <f>IF((OR(R119="A",R119="B",R119="C")),INDEX(Coefficients!$S$4:$S$22,MATCH(K119,Coefficients!$R$4:$R$22)),INDEX(Coefficients!$T$4:$T$22,MATCH(K119,Coefficients!$R$4:$R$22)))</f>
        <v>25</v>
      </c>
      <c r="AR119" s="15">
        <f>IF(OR(R119="A",R119="B",R119="C",R119="D"),IF(AN119&gt;=11,IF(AN119&gt;=26,Coefficients!$M$6,Coefficients!$M$5),Coefficients!$M$4),IF(AN119&gt;=11,IF(AN119&gt;=26,Coefficients!$N$6,Coefficients!$N$5),Coefficients!$N$4))</f>
        <v>1</v>
      </c>
      <c r="AS119" s="15">
        <f>INDEX(Coefficients!$X$3:$X$4,MATCH(S119,Coefficients!$W$3:$W$4))</f>
        <v>1</v>
      </c>
      <c r="AT119" s="15">
        <f>INDEX(Coefficients!$X$7:$X$8,MATCH(O119,Coefficients!$W$7:$W$8))</f>
        <v>1</v>
      </c>
      <c r="AU119" s="15">
        <f>INDEX(Coefficients!$X$11:$X$12,MATCH(P119,Coefficients!$W$11:$W$12))</f>
        <v>1</v>
      </c>
      <c r="AV119" s="15">
        <f>INDEX(Coefficients!$X$15:$X$17,MATCH(Q119,Coefficients!$W$15:$W$17))</f>
        <v>1</v>
      </c>
      <c r="AW119" s="15">
        <f t="shared" si="88"/>
        <v>1</v>
      </c>
      <c r="AX119" s="15">
        <f t="shared" si="89"/>
        <v>1</v>
      </c>
      <c r="AY119" s="15">
        <f t="shared" si="90"/>
        <v>1.3</v>
      </c>
      <c r="AZ119" s="14">
        <f t="shared" si="91"/>
        <v>45.491525263976321</v>
      </c>
      <c r="BA119" s="14">
        <f t="shared" si="92"/>
        <v>0</v>
      </c>
      <c r="BB119" s="14">
        <f t="shared" si="93"/>
        <v>2.3655593137267688</v>
      </c>
      <c r="BC119" s="14">
        <f t="shared" si="94"/>
        <v>1.7634440686273232</v>
      </c>
      <c r="BD119" s="14">
        <f t="shared" si="97"/>
        <v>0.43964232643211754</v>
      </c>
      <c r="BE119" s="16">
        <f t="shared" si="98"/>
        <v>90.486366498479015</v>
      </c>
      <c r="BF119" s="16">
        <f t="shared" si="99"/>
        <v>219.02726700304197</v>
      </c>
      <c r="BG119" s="17">
        <f t="shared" si="100"/>
        <v>0.90486366498479009</v>
      </c>
      <c r="BH119" s="14">
        <f t="shared" si="101"/>
        <v>199.07000629665384</v>
      </c>
      <c r="BI119" s="14">
        <f t="shared" si="102"/>
        <v>1.8599874066923121</v>
      </c>
      <c r="BJ119" s="14">
        <f t="shared" si="103"/>
        <v>36.021726889837709</v>
      </c>
    </row>
    <row r="120" spans="2:62">
      <c r="B120" s="14" t="s">
        <v>91</v>
      </c>
      <c r="C120" s="81" t="str">
        <f>MostLikely!$B$1</f>
        <v>MRI-CGCM2.3.2</v>
      </c>
      <c r="D120" s="89">
        <v>2038</v>
      </c>
      <c r="E120" s="57">
        <f>'Cooler&amp;Wetter'!AA66</f>
        <v>35.57</v>
      </c>
      <c r="F120" s="90">
        <f>MostLikely!AC66</f>
        <v>22.34915994</v>
      </c>
      <c r="G120" s="35">
        <f t="shared" si="84"/>
        <v>2005</v>
      </c>
      <c r="H120" s="91" t="str">
        <f t="shared" si="64"/>
        <v>Pile 32 @ Berth 201</v>
      </c>
      <c r="I120" s="35" t="str">
        <f t="shared" si="65"/>
        <v>Turpentine Gum</v>
      </c>
      <c r="J120" s="35" t="str">
        <f t="shared" si="66"/>
        <v>HW1</v>
      </c>
      <c r="K120" s="35" t="str">
        <f t="shared" si="85"/>
        <v>SPHU</v>
      </c>
      <c r="L120" s="35">
        <f t="shared" si="67"/>
        <v>400</v>
      </c>
      <c r="M120" s="35">
        <f t="shared" si="68"/>
        <v>20</v>
      </c>
      <c r="N120" s="35">
        <f t="shared" si="69"/>
        <v>200</v>
      </c>
      <c r="O120" s="35" t="str">
        <f t="shared" si="70"/>
        <v>MTN2</v>
      </c>
      <c r="P120" s="35" t="str">
        <f t="shared" si="71"/>
        <v>CNT2</v>
      </c>
      <c r="Q120" s="35" t="str">
        <f t="shared" si="72"/>
        <v>KNT3</v>
      </c>
      <c r="R120" s="35" t="str">
        <f t="shared" si="73"/>
        <v>E</v>
      </c>
      <c r="S120" s="35" t="str">
        <f t="shared" si="74"/>
        <v>EXP1</v>
      </c>
      <c r="T120" s="58"/>
      <c r="U120" s="58"/>
      <c r="V120" s="58"/>
      <c r="W120" s="58"/>
      <c r="X120" s="58"/>
      <c r="Y120" s="58"/>
      <c r="Z120" s="58"/>
      <c r="AA120" s="95">
        <f t="shared" si="52"/>
        <v>0.93161960500991103</v>
      </c>
      <c r="AB120" s="96">
        <f t="shared" si="86"/>
        <v>93.1619605009911</v>
      </c>
      <c r="AC120" s="58"/>
      <c r="AD120" s="58"/>
      <c r="AE120" s="58"/>
      <c r="AF120" s="58"/>
      <c r="AG120" s="58"/>
      <c r="AH120" s="58"/>
      <c r="AI120" s="58"/>
      <c r="AJ120" s="58"/>
      <c r="AK120" s="58"/>
      <c r="AL120" s="58"/>
      <c r="AM120" s="89">
        <f t="shared" si="87"/>
        <v>33</v>
      </c>
      <c r="AN120" s="5">
        <f t="shared" si="95"/>
        <v>35.57</v>
      </c>
      <c r="AO120" s="14">
        <f t="shared" si="96"/>
        <v>1.8272382961861968</v>
      </c>
      <c r="AP120" s="14">
        <f>IF((OR(R120="A",R120="B",R120="C")),INDEX(Coefficients!$S$4:$S$22,MATCH(J120,Coefficients!$R$4:$R$22)),INDEX(Coefficients!$T$4:$T$22,MATCH(J120,Coefficients!$R$4:$R$22)))</f>
        <v>1.3</v>
      </c>
      <c r="AQ120" s="27">
        <f>IF((OR(R120="A",R120="B",R120="C")),INDEX(Coefficients!$S$4:$S$22,MATCH(K120,Coefficients!$R$4:$R$22)),INDEX(Coefficients!$T$4:$T$22,MATCH(K120,Coefficients!$R$4:$R$22)))</f>
        <v>25</v>
      </c>
      <c r="AR120" s="15">
        <f>IF(OR(R120="A",R120="B",R120="C",R120="D"),IF(AN120&gt;=11,IF(AN120&gt;=26,Coefficients!$M$6,Coefficients!$M$5),Coefficients!$M$4),IF(AN120&gt;=11,IF(AN120&gt;=26,Coefficients!$N$6,Coefficients!$N$5),Coefficients!$N$4))</f>
        <v>1</v>
      </c>
      <c r="AS120" s="15">
        <f>INDEX(Coefficients!$X$3:$X$4,MATCH(S120,Coefficients!$W$3:$W$4))</f>
        <v>1</v>
      </c>
      <c r="AT120" s="15">
        <f>INDEX(Coefficients!$X$7:$X$8,MATCH(O120,Coefficients!$W$7:$W$8))</f>
        <v>1</v>
      </c>
      <c r="AU120" s="15">
        <f>INDEX(Coefficients!$X$11:$X$12,MATCH(P120,Coefficients!$W$11:$W$12))</f>
        <v>1</v>
      </c>
      <c r="AV120" s="15">
        <f>INDEX(Coefficients!$X$15:$X$17,MATCH(Q120,Coefficients!$W$15:$W$17))</f>
        <v>1</v>
      </c>
      <c r="AW120" s="15">
        <f t="shared" si="88"/>
        <v>1</v>
      </c>
      <c r="AX120" s="15">
        <f t="shared" si="89"/>
        <v>1</v>
      </c>
      <c r="AY120" s="15">
        <f t="shared" si="90"/>
        <v>1.3</v>
      </c>
      <c r="AZ120" s="14">
        <f t="shared" si="91"/>
        <v>45.680957404654919</v>
      </c>
      <c r="BA120" s="14">
        <f t="shared" si="92"/>
        <v>0</v>
      </c>
      <c r="BB120" s="14">
        <f t="shared" si="93"/>
        <v>2.3754097850420561</v>
      </c>
      <c r="BC120" s="14">
        <f t="shared" si="94"/>
        <v>1.7624590214957943</v>
      </c>
      <c r="BD120" s="14">
        <f t="shared" si="97"/>
        <v>0.43781919504957634</v>
      </c>
      <c r="BE120" s="16">
        <f t="shared" si="98"/>
        <v>93.1619605009911</v>
      </c>
      <c r="BF120" s="16">
        <f t="shared" si="99"/>
        <v>213.6760789980178</v>
      </c>
      <c r="BG120" s="17">
        <f t="shared" si="100"/>
        <v>0.93161960500991103</v>
      </c>
      <c r="BH120" s="14">
        <f t="shared" si="101"/>
        <v>204.95631310218045</v>
      </c>
      <c r="BI120" s="14">
        <f t="shared" si="102"/>
        <v>-9.9126262043608904</v>
      </c>
      <c r="BJ120" s="14">
        <f t="shared" si="103"/>
        <v>35.878677835743545</v>
      </c>
    </row>
    <row r="121" spans="2:62">
      <c r="B121" s="14" t="s">
        <v>91</v>
      </c>
      <c r="C121" s="81" t="str">
        <f>MostLikely!$B$1</f>
        <v>MRI-CGCM2.3.2</v>
      </c>
      <c r="D121" s="89">
        <v>2039</v>
      </c>
      <c r="E121" s="57">
        <f>'Cooler&amp;Wetter'!AA67</f>
        <v>35.572499999999998</v>
      </c>
      <c r="F121" s="90">
        <f>MostLikely!AC67</f>
        <v>22.381125119999997</v>
      </c>
      <c r="G121" s="35">
        <f t="shared" si="84"/>
        <v>2005</v>
      </c>
      <c r="H121" s="91" t="str">
        <f t="shared" si="64"/>
        <v>Pile 32 @ Berth 201</v>
      </c>
      <c r="I121" s="35" t="str">
        <f t="shared" si="65"/>
        <v>Turpentine Gum</v>
      </c>
      <c r="J121" s="35" t="str">
        <f t="shared" si="66"/>
        <v>HW1</v>
      </c>
      <c r="K121" s="35" t="str">
        <f t="shared" si="85"/>
        <v>SPHU</v>
      </c>
      <c r="L121" s="35">
        <f t="shared" si="67"/>
        <v>400</v>
      </c>
      <c r="M121" s="35">
        <f t="shared" si="68"/>
        <v>20</v>
      </c>
      <c r="N121" s="35">
        <f t="shared" si="69"/>
        <v>200</v>
      </c>
      <c r="O121" s="35" t="str">
        <f t="shared" si="70"/>
        <v>MTN2</v>
      </c>
      <c r="P121" s="35" t="str">
        <f t="shared" si="71"/>
        <v>CNT2</v>
      </c>
      <c r="Q121" s="35" t="str">
        <f t="shared" si="72"/>
        <v>KNT3</v>
      </c>
      <c r="R121" s="35" t="str">
        <f t="shared" si="73"/>
        <v>E</v>
      </c>
      <c r="S121" s="35" t="str">
        <f t="shared" si="74"/>
        <v>EXP1</v>
      </c>
      <c r="T121" s="58"/>
      <c r="U121" s="58"/>
      <c r="V121" s="58"/>
      <c r="W121" s="58"/>
      <c r="X121" s="58"/>
      <c r="Y121" s="58"/>
      <c r="Z121" s="58"/>
      <c r="AA121" s="95">
        <f t="shared" si="52"/>
        <v>0.95858607013859998</v>
      </c>
      <c r="AB121" s="96">
        <f t="shared" si="86"/>
        <v>95.858607013859995</v>
      </c>
      <c r="AC121" s="58"/>
      <c r="AD121" s="58"/>
      <c r="AE121" s="58"/>
      <c r="AF121" s="58"/>
      <c r="AG121" s="58"/>
      <c r="AH121" s="58"/>
      <c r="AI121" s="58"/>
      <c r="AJ121" s="58"/>
      <c r="AK121" s="58"/>
      <c r="AL121" s="58"/>
      <c r="AM121" s="89">
        <f t="shared" si="87"/>
        <v>34</v>
      </c>
      <c r="AN121" s="5">
        <f t="shared" si="95"/>
        <v>35.572499999999998</v>
      </c>
      <c r="AO121" s="14">
        <f t="shared" si="96"/>
        <v>1.8348471345350514</v>
      </c>
      <c r="AP121" s="14">
        <f>IF((OR(R121="A",R121="B",R121="C")),INDEX(Coefficients!$S$4:$S$22,MATCH(J121,Coefficients!$R$4:$R$22)),INDEX(Coefficients!$T$4:$T$22,MATCH(J121,Coefficients!$R$4:$R$22)))</f>
        <v>1.3</v>
      </c>
      <c r="AQ121" s="27">
        <f>IF((OR(R121="A",R121="B",R121="C")),INDEX(Coefficients!$S$4:$S$22,MATCH(K121,Coefficients!$R$4:$R$22)),INDEX(Coefficients!$T$4:$T$22,MATCH(K121,Coefficients!$R$4:$R$22)))</f>
        <v>25</v>
      </c>
      <c r="AR121" s="15">
        <f>IF(OR(R121="A",R121="B",R121="C",R121="D"),IF(AN121&gt;=11,IF(AN121&gt;=26,Coefficients!$M$6,Coefficients!$M$5),Coefficients!$M$4),IF(AN121&gt;=11,IF(AN121&gt;=26,Coefficients!$N$6,Coefficients!$N$5),Coefficients!$N$4))</f>
        <v>1</v>
      </c>
      <c r="AS121" s="15">
        <f>INDEX(Coefficients!$X$3:$X$4,MATCH(S121,Coefficients!$W$3:$W$4))</f>
        <v>1</v>
      </c>
      <c r="AT121" s="15">
        <f>INDEX(Coefficients!$X$7:$X$8,MATCH(O121,Coefficients!$W$7:$W$8))</f>
        <v>1</v>
      </c>
      <c r="AU121" s="15">
        <f>INDEX(Coefficients!$X$11:$X$12,MATCH(P121,Coefficients!$W$11:$W$12))</f>
        <v>1</v>
      </c>
      <c r="AV121" s="15">
        <f>INDEX(Coefficients!$X$15:$X$17,MATCH(Q121,Coefficients!$W$15:$W$17))</f>
        <v>1</v>
      </c>
      <c r="AW121" s="15">
        <f t="shared" si="88"/>
        <v>1</v>
      </c>
      <c r="AX121" s="15">
        <f t="shared" si="89"/>
        <v>1</v>
      </c>
      <c r="AY121" s="15">
        <f t="shared" si="90"/>
        <v>1.3</v>
      </c>
      <c r="AZ121" s="14">
        <f t="shared" si="91"/>
        <v>45.871178363376288</v>
      </c>
      <c r="BA121" s="14">
        <f t="shared" si="92"/>
        <v>0</v>
      </c>
      <c r="BB121" s="14">
        <f t="shared" si="93"/>
        <v>2.3853012748955669</v>
      </c>
      <c r="BC121" s="14">
        <f t="shared" si="94"/>
        <v>1.7614698725104434</v>
      </c>
      <c r="BD121" s="14">
        <f t="shared" si="97"/>
        <v>0.43600362392190195</v>
      </c>
      <c r="BE121" s="16">
        <f t="shared" si="98"/>
        <v>95.858607013859995</v>
      </c>
      <c r="BF121" s="16">
        <f t="shared" si="99"/>
        <v>208.28278597228001</v>
      </c>
      <c r="BG121" s="17">
        <f t="shared" si="100"/>
        <v>0.95858607013859998</v>
      </c>
      <c r="BH121" s="14">
        <f t="shared" si="101"/>
        <v>210.88893543049201</v>
      </c>
      <c r="BI121" s="14">
        <f t="shared" si="102"/>
        <v>-21.777870860984024</v>
      </c>
      <c r="BJ121" s="14">
        <f t="shared" si="103"/>
        <v>35.736213798117113</v>
      </c>
    </row>
    <row r="122" spans="2:62">
      <c r="B122" s="14" t="s">
        <v>91</v>
      </c>
      <c r="C122" s="81" t="str">
        <f>MostLikely!$B$1</f>
        <v>MRI-CGCM2.3.2</v>
      </c>
      <c r="D122" s="89">
        <v>2040</v>
      </c>
      <c r="E122" s="57">
        <f>'Cooler&amp;Wetter'!AA68</f>
        <v>35.575000000000003</v>
      </c>
      <c r="F122" s="90">
        <f>MostLikely!AC68</f>
        <v>22.413090299999997</v>
      </c>
      <c r="G122" s="35">
        <f t="shared" si="84"/>
        <v>2005</v>
      </c>
      <c r="H122" s="91" t="str">
        <f t="shared" si="64"/>
        <v>Pile 32 @ Berth 201</v>
      </c>
      <c r="I122" s="35" t="str">
        <f t="shared" si="65"/>
        <v>Turpentine Gum</v>
      </c>
      <c r="J122" s="35" t="str">
        <f t="shared" si="66"/>
        <v>HW1</v>
      </c>
      <c r="K122" s="35" t="str">
        <f t="shared" si="85"/>
        <v>SPHU</v>
      </c>
      <c r="L122" s="35">
        <f t="shared" si="67"/>
        <v>400</v>
      </c>
      <c r="M122" s="35">
        <f t="shared" si="68"/>
        <v>20</v>
      </c>
      <c r="N122" s="35">
        <f t="shared" si="69"/>
        <v>200</v>
      </c>
      <c r="O122" s="35" t="str">
        <f t="shared" si="70"/>
        <v>MTN2</v>
      </c>
      <c r="P122" s="35" t="str">
        <f t="shared" si="71"/>
        <v>CNT2</v>
      </c>
      <c r="Q122" s="35" t="str">
        <f t="shared" si="72"/>
        <v>KNT3</v>
      </c>
      <c r="R122" s="35" t="str">
        <f t="shared" si="73"/>
        <v>E</v>
      </c>
      <c r="S122" s="35" t="str">
        <f t="shared" si="74"/>
        <v>EXP1</v>
      </c>
      <c r="T122" s="58"/>
      <c r="U122" s="58"/>
      <c r="V122" s="58"/>
      <c r="W122" s="58"/>
      <c r="X122" s="58"/>
      <c r="Y122" s="58"/>
      <c r="Z122" s="58"/>
      <c r="AA122" s="95">
        <f t="shared" si="52"/>
        <v>0.98576435054566147</v>
      </c>
      <c r="AB122" s="96">
        <f t="shared" si="86"/>
        <v>98.576435054566147</v>
      </c>
      <c r="AC122" s="58"/>
      <c r="AD122" s="58"/>
      <c r="AE122" s="58"/>
      <c r="AF122" s="58"/>
      <c r="AG122" s="58"/>
      <c r="AH122" s="58"/>
      <c r="AI122" s="58"/>
      <c r="AJ122" s="58"/>
      <c r="AK122" s="58"/>
      <c r="AL122" s="58"/>
      <c r="AM122" s="89">
        <f t="shared" si="87"/>
        <v>35</v>
      </c>
      <c r="AN122" s="5">
        <f t="shared" si="95"/>
        <v>35.575000000000003</v>
      </c>
      <c r="AO122" s="14">
        <f t="shared" si="96"/>
        <v>1.8424876569949173</v>
      </c>
      <c r="AP122" s="14">
        <f>IF((OR(R122="A",R122="B",R122="C")),INDEX(Coefficients!$S$4:$S$22,MATCH(J122,Coefficients!$R$4:$R$22)),INDEX(Coefficients!$T$4:$T$22,MATCH(J122,Coefficients!$R$4:$R$22)))</f>
        <v>1.3</v>
      </c>
      <c r="AQ122" s="27">
        <f>IF((OR(R122="A",R122="B",R122="C")),INDEX(Coefficients!$S$4:$S$22,MATCH(K122,Coefficients!$R$4:$R$22)),INDEX(Coefficients!$T$4:$T$22,MATCH(K122,Coefficients!$R$4:$R$22)))</f>
        <v>25</v>
      </c>
      <c r="AR122" s="15">
        <f>IF(OR(R122="A",R122="B",R122="C",R122="D"),IF(AN122&gt;=11,IF(AN122&gt;=26,Coefficients!$M$6,Coefficients!$M$5),Coefficients!$M$4),IF(AN122&gt;=11,IF(AN122&gt;=26,Coefficients!$N$6,Coefficients!$N$5),Coefficients!$N$4))</f>
        <v>1</v>
      </c>
      <c r="AS122" s="15">
        <f>INDEX(Coefficients!$X$3:$X$4,MATCH(S122,Coefficients!$W$3:$W$4))</f>
        <v>1</v>
      </c>
      <c r="AT122" s="15">
        <f>INDEX(Coefficients!$X$7:$X$8,MATCH(O122,Coefficients!$W$7:$W$8))</f>
        <v>1</v>
      </c>
      <c r="AU122" s="15">
        <f>INDEX(Coefficients!$X$11:$X$12,MATCH(P122,Coefficients!$W$11:$W$12))</f>
        <v>1</v>
      </c>
      <c r="AV122" s="15">
        <f>INDEX(Coefficients!$X$15:$X$17,MATCH(Q122,Coefficients!$W$15:$W$17))</f>
        <v>1</v>
      </c>
      <c r="AW122" s="15">
        <f t="shared" si="88"/>
        <v>1</v>
      </c>
      <c r="AX122" s="15">
        <f t="shared" si="89"/>
        <v>1</v>
      </c>
      <c r="AY122" s="15">
        <f t="shared" si="90"/>
        <v>1.3</v>
      </c>
      <c r="AZ122" s="14">
        <f t="shared" si="91"/>
        <v>46.062191424872935</v>
      </c>
      <c r="BA122" s="14">
        <f t="shared" si="92"/>
        <v>0</v>
      </c>
      <c r="BB122" s="14">
        <f t="shared" si="93"/>
        <v>2.3952339540933925</v>
      </c>
      <c r="BC122" s="14">
        <f t="shared" si="94"/>
        <v>1.7604766045906608</v>
      </c>
      <c r="BD122" s="14">
        <f t="shared" si="97"/>
        <v>0.43419558169784084</v>
      </c>
      <c r="BE122" s="16">
        <f t="shared" si="98"/>
        <v>98.576435054566147</v>
      </c>
      <c r="BF122" s="16">
        <f t="shared" si="99"/>
        <v>202.84712989086771</v>
      </c>
      <c r="BG122" s="17">
        <f t="shared" si="100"/>
        <v>0.98576435054566147</v>
      </c>
      <c r="BH122" s="14">
        <f t="shared" si="101"/>
        <v>216.86815712004554</v>
      </c>
      <c r="BI122" s="14">
        <f t="shared" si="102"/>
        <v>-33.736314240091076</v>
      </c>
      <c r="BJ122" s="14">
        <f t="shared" si="103"/>
        <v>35.594332316891652</v>
      </c>
    </row>
    <row r="123" spans="2:62">
      <c r="B123" s="14" t="s">
        <v>91</v>
      </c>
      <c r="C123" s="81" t="str">
        <f>MostLikely!$B$1</f>
        <v>MRI-CGCM2.3.2</v>
      </c>
      <c r="D123" s="89">
        <v>2041</v>
      </c>
      <c r="E123" s="57">
        <f>'Cooler&amp;Wetter'!AA69</f>
        <v>35.577500000000001</v>
      </c>
      <c r="F123" s="90">
        <f>MostLikely!AC69</f>
        <v>22.445055479999997</v>
      </c>
      <c r="G123" s="35">
        <f t="shared" si="84"/>
        <v>2005</v>
      </c>
      <c r="H123" s="91" t="str">
        <f t="shared" si="64"/>
        <v>Pile 32 @ Berth 201</v>
      </c>
      <c r="I123" s="35" t="str">
        <f t="shared" si="65"/>
        <v>Turpentine Gum</v>
      </c>
      <c r="J123" s="35" t="str">
        <f t="shared" si="66"/>
        <v>HW1</v>
      </c>
      <c r="K123" s="35" t="str">
        <f t="shared" si="85"/>
        <v>SPHU</v>
      </c>
      <c r="L123" s="35">
        <f t="shared" si="67"/>
        <v>400</v>
      </c>
      <c r="M123" s="35">
        <f t="shared" si="68"/>
        <v>20</v>
      </c>
      <c r="N123" s="35">
        <f t="shared" si="69"/>
        <v>200</v>
      </c>
      <c r="O123" s="35" t="str">
        <f t="shared" si="70"/>
        <v>MTN2</v>
      </c>
      <c r="P123" s="35" t="str">
        <f t="shared" si="71"/>
        <v>CNT2</v>
      </c>
      <c r="Q123" s="35" t="str">
        <f t="shared" si="72"/>
        <v>KNT3</v>
      </c>
      <c r="R123" s="35" t="str">
        <f t="shared" si="73"/>
        <v>E</v>
      </c>
      <c r="S123" s="35" t="str">
        <f t="shared" si="74"/>
        <v>EXP1</v>
      </c>
      <c r="T123" s="58"/>
      <c r="U123" s="58"/>
      <c r="V123" s="58"/>
      <c r="W123" s="58"/>
      <c r="X123" s="58"/>
      <c r="Y123" s="58"/>
      <c r="Z123" s="58"/>
      <c r="AA123" s="95">
        <f t="shared" si="52"/>
        <v>1</v>
      </c>
      <c r="AB123" s="96">
        <f t="shared" si="86"/>
        <v>101.31557435071153</v>
      </c>
      <c r="AC123" s="58"/>
      <c r="AD123" s="58"/>
      <c r="AE123" s="58"/>
      <c r="AF123" s="58"/>
      <c r="AG123" s="58"/>
      <c r="AH123" s="58"/>
      <c r="AI123" s="58"/>
      <c r="AJ123" s="58"/>
      <c r="AK123" s="58"/>
      <c r="AL123" s="58"/>
      <c r="AM123" s="89">
        <f t="shared" si="87"/>
        <v>36</v>
      </c>
      <c r="AN123" s="5">
        <f t="shared" si="95"/>
        <v>35.577500000000001</v>
      </c>
      <c r="AO123" s="14">
        <f t="shared" si="96"/>
        <v>1.8501599955022137</v>
      </c>
      <c r="AP123" s="14">
        <f>IF((OR(R123="A",R123="B",R123="C")),INDEX(Coefficients!$S$4:$S$22,MATCH(J123,Coefficients!$R$4:$R$22)),INDEX(Coefficients!$T$4:$T$22,MATCH(J123,Coefficients!$R$4:$R$22)))</f>
        <v>1.3</v>
      </c>
      <c r="AQ123" s="27">
        <f>IF((OR(R123="A",R123="B",R123="C")),INDEX(Coefficients!$S$4:$S$22,MATCH(K123,Coefficients!$R$4:$R$22)),INDEX(Coefficients!$T$4:$T$22,MATCH(K123,Coefficients!$R$4:$R$22)))</f>
        <v>25</v>
      </c>
      <c r="AR123" s="15">
        <f>IF(OR(R123="A",R123="B",R123="C",R123="D"),IF(AN123&gt;=11,IF(AN123&gt;=26,Coefficients!$M$6,Coefficients!$M$5),Coefficients!$M$4),IF(AN123&gt;=11,IF(AN123&gt;=26,Coefficients!$N$6,Coefficients!$N$5),Coefficients!$N$4))</f>
        <v>1</v>
      </c>
      <c r="AS123" s="15">
        <f>INDEX(Coefficients!$X$3:$X$4,MATCH(S123,Coefficients!$W$3:$W$4))</f>
        <v>1</v>
      </c>
      <c r="AT123" s="15">
        <f>INDEX(Coefficients!$X$7:$X$8,MATCH(O123,Coefficients!$W$7:$W$8))</f>
        <v>1</v>
      </c>
      <c r="AU123" s="15">
        <f>INDEX(Coefficients!$X$11:$X$12,MATCH(P123,Coefficients!$W$11:$W$12))</f>
        <v>1</v>
      </c>
      <c r="AV123" s="15">
        <f>INDEX(Coefficients!$X$15:$X$17,MATCH(Q123,Coefficients!$W$15:$W$17))</f>
        <v>1</v>
      </c>
      <c r="AW123" s="15">
        <f t="shared" si="88"/>
        <v>1</v>
      </c>
      <c r="AX123" s="15">
        <f t="shared" si="89"/>
        <v>1</v>
      </c>
      <c r="AY123" s="15">
        <f t="shared" si="90"/>
        <v>1.3</v>
      </c>
      <c r="AZ123" s="14">
        <f t="shared" si="91"/>
        <v>46.253999887555338</v>
      </c>
      <c r="BA123" s="14">
        <f t="shared" si="92"/>
        <v>0</v>
      </c>
      <c r="BB123" s="14">
        <f t="shared" si="93"/>
        <v>2.4052079941528777</v>
      </c>
      <c r="BC123" s="14">
        <f t="shared" si="94"/>
        <v>1.7594792005847122</v>
      </c>
      <c r="BD123" s="14">
        <f t="shared" si="97"/>
        <v>0.43239503715614896</v>
      </c>
      <c r="BE123" s="16">
        <f t="shared" si="98"/>
        <v>101.31557435071153</v>
      </c>
      <c r="BF123" s="16">
        <f t="shared" si="99"/>
        <v>197.36885129857694</v>
      </c>
      <c r="BG123" s="17">
        <f t="shared" si="100"/>
        <v>1</v>
      </c>
      <c r="BH123" s="14">
        <f t="shared" si="101"/>
        <v>222.89426357156538</v>
      </c>
      <c r="BI123" s="14">
        <f t="shared" si="102"/>
        <v>-45.78852714313075</v>
      </c>
      <c r="BJ123" s="14">
        <f t="shared" si="103"/>
        <v>35.45303094206001</v>
      </c>
    </row>
    <row r="124" spans="2:62">
      <c r="B124" s="14" t="s">
        <v>91</v>
      </c>
      <c r="C124" s="81" t="str">
        <f>MostLikely!$B$1</f>
        <v>MRI-CGCM2.3.2</v>
      </c>
      <c r="D124" s="89">
        <v>2042</v>
      </c>
      <c r="E124" s="57">
        <f>'Cooler&amp;Wetter'!AA70</f>
        <v>35.58</v>
      </c>
      <c r="F124" s="90">
        <f>MostLikely!AC70</f>
        <v>22.477020659999997</v>
      </c>
      <c r="G124" s="35">
        <f t="shared" si="84"/>
        <v>2005</v>
      </c>
      <c r="H124" s="91" t="str">
        <f t="shared" si="64"/>
        <v>Pile 32 @ Berth 201</v>
      </c>
      <c r="I124" s="35" t="str">
        <f t="shared" si="65"/>
        <v>Turpentine Gum</v>
      </c>
      <c r="J124" s="35" t="str">
        <f t="shared" si="66"/>
        <v>HW1</v>
      </c>
      <c r="K124" s="35" t="str">
        <f t="shared" si="85"/>
        <v>SPHU</v>
      </c>
      <c r="L124" s="35">
        <f t="shared" si="67"/>
        <v>400</v>
      </c>
      <c r="M124" s="35">
        <f t="shared" si="68"/>
        <v>20</v>
      </c>
      <c r="N124" s="35">
        <f t="shared" si="69"/>
        <v>200</v>
      </c>
      <c r="O124" s="35" t="str">
        <f t="shared" si="70"/>
        <v>MTN2</v>
      </c>
      <c r="P124" s="35" t="str">
        <f t="shared" si="71"/>
        <v>CNT2</v>
      </c>
      <c r="Q124" s="35" t="str">
        <f t="shared" si="72"/>
        <v>KNT3</v>
      </c>
      <c r="R124" s="35" t="str">
        <f t="shared" si="73"/>
        <v>E</v>
      </c>
      <c r="S124" s="35" t="str">
        <f t="shared" si="74"/>
        <v>EXP1</v>
      </c>
      <c r="T124" s="58"/>
      <c r="U124" s="58"/>
      <c r="V124" s="58"/>
      <c r="W124" s="58"/>
      <c r="X124" s="58"/>
      <c r="Y124" s="58"/>
      <c r="Z124" s="58"/>
      <c r="AA124" s="95">
        <f t="shared" si="52"/>
        <v>1</v>
      </c>
      <c r="AB124" s="96">
        <f t="shared" si="86"/>
        <v>104.07615534370241</v>
      </c>
      <c r="AC124" s="58"/>
      <c r="AD124" s="58"/>
      <c r="AE124" s="58"/>
      <c r="AF124" s="58"/>
      <c r="AG124" s="58"/>
      <c r="AH124" s="58"/>
      <c r="AI124" s="58"/>
      <c r="AJ124" s="58"/>
      <c r="AK124" s="58"/>
      <c r="AL124" s="58"/>
      <c r="AM124" s="89">
        <f t="shared" si="87"/>
        <v>37</v>
      </c>
      <c r="AN124" s="5">
        <f t="shared" si="95"/>
        <v>35.58</v>
      </c>
      <c r="AO124" s="14">
        <f t="shared" si="96"/>
        <v>1.85786428254276</v>
      </c>
      <c r="AP124" s="14">
        <f>IF((OR(R124="A",R124="B",R124="C")),INDEX(Coefficients!$S$4:$S$22,MATCH(J124,Coefficients!$R$4:$R$22)),INDEX(Coefficients!$T$4:$T$22,MATCH(J124,Coefficients!$R$4:$R$22)))</f>
        <v>1.3</v>
      </c>
      <c r="AQ124" s="27">
        <f>IF((OR(R124="A",R124="B",R124="C")),INDEX(Coefficients!$S$4:$S$22,MATCH(K124,Coefficients!$R$4:$R$22)),INDEX(Coefficients!$T$4:$T$22,MATCH(K124,Coefficients!$R$4:$R$22)))</f>
        <v>25</v>
      </c>
      <c r="AR124" s="15">
        <f>IF(OR(R124="A",R124="B",R124="C",R124="D"),IF(AN124&gt;=11,IF(AN124&gt;=26,Coefficients!$M$6,Coefficients!$M$5),Coefficients!$M$4),IF(AN124&gt;=11,IF(AN124&gt;=26,Coefficients!$N$6,Coefficients!$N$5),Coefficients!$N$4))</f>
        <v>1</v>
      </c>
      <c r="AS124" s="15">
        <f>INDEX(Coefficients!$X$3:$X$4,MATCH(S124,Coefficients!$W$3:$W$4))</f>
        <v>1</v>
      </c>
      <c r="AT124" s="15">
        <f>INDEX(Coefficients!$X$7:$X$8,MATCH(O124,Coefficients!$W$7:$W$8))</f>
        <v>1</v>
      </c>
      <c r="AU124" s="15">
        <f>INDEX(Coefficients!$X$11:$X$12,MATCH(P124,Coefficients!$W$11:$W$12))</f>
        <v>1</v>
      </c>
      <c r="AV124" s="15">
        <f>INDEX(Coefficients!$X$15:$X$17,MATCH(Q124,Coefficients!$W$15:$W$17))</f>
        <v>1</v>
      </c>
      <c r="AW124" s="15">
        <f t="shared" si="88"/>
        <v>1</v>
      </c>
      <c r="AX124" s="15">
        <f t="shared" si="89"/>
        <v>1</v>
      </c>
      <c r="AY124" s="15">
        <f t="shared" si="90"/>
        <v>1.3</v>
      </c>
      <c r="AZ124" s="14">
        <f t="shared" si="91"/>
        <v>46.446607063569004</v>
      </c>
      <c r="BA124" s="14">
        <f t="shared" si="92"/>
        <v>0</v>
      </c>
      <c r="BB124" s="14">
        <f t="shared" si="93"/>
        <v>2.415223567305588</v>
      </c>
      <c r="BC124" s="14">
        <f t="shared" si="94"/>
        <v>1.7584776432694411</v>
      </c>
      <c r="BD124" s="14">
        <f t="shared" si="97"/>
        <v>0.43060195920505157</v>
      </c>
      <c r="BE124" s="16">
        <f t="shared" si="98"/>
        <v>104.07615534370241</v>
      </c>
      <c r="BF124" s="16">
        <f t="shared" si="99"/>
        <v>191.84768931259518</v>
      </c>
      <c r="BG124" s="17">
        <f t="shared" si="100"/>
        <v>1</v>
      </c>
      <c r="BH124" s="14">
        <f t="shared" si="101"/>
        <v>228.96754175614532</v>
      </c>
      <c r="BI124" s="14">
        <f t="shared" si="102"/>
        <v>-57.935083512290646</v>
      </c>
      <c r="BJ124" s="14">
        <f t="shared" si="103"/>
        <v>35.31230723363231</v>
      </c>
    </row>
    <row r="125" spans="2:62">
      <c r="B125" s="14" t="s">
        <v>91</v>
      </c>
      <c r="C125" s="81" t="str">
        <f>MostLikely!$B$1</f>
        <v>MRI-CGCM2.3.2</v>
      </c>
      <c r="D125" s="89">
        <v>2043</v>
      </c>
      <c r="E125" s="57">
        <f>'Cooler&amp;Wetter'!AA71</f>
        <v>35.582500000000003</v>
      </c>
      <c r="F125" s="90">
        <f>MostLikely!AC71</f>
        <v>22.508985839999998</v>
      </c>
      <c r="G125" s="35">
        <f t="shared" si="84"/>
        <v>2005</v>
      </c>
      <c r="H125" s="91" t="str">
        <f t="shared" si="64"/>
        <v>Pile 32 @ Berth 201</v>
      </c>
      <c r="I125" s="35" t="str">
        <f t="shared" si="65"/>
        <v>Turpentine Gum</v>
      </c>
      <c r="J125" s="35" t="str">
        <f t="shared" si="66"/>
        <v>HW1</v>
      </c>
      <c r="K125" s="35" t="str">
        <f t="shared" si="85"/>
        <v>SPHU</v>
      </c>
      <c r="L125" s="35">
        <f t="shared" si="67"/>
        <v>400</v>
      </c>
      <c r="M125" s="35">
        <f t="shared" si="68"/>
        <v>20</v>
      </c>
      <c r="N125" s="35">
        <f t="shared" si="69"/>
        <v>200</v>
      </c>
      <c r="O125" s="35" t="str">
        <f t="shared" si="70"/>
        <v>MTN2</v>
      </c>
      <c r="P125" s="35" t="str">
        <f t="shared" si="71"/>
        <v>CNT2</v>
      </c>
      <c r="Q125" s="35" t="str">
        <f t="shared" si="72"/>
        <v>KNT3</v>
      </c>
      <c r="R125" s="35" t="str">
        <f t="shared" si="73"/>
        <v>E</v>
      </c>
      <c r="S125" s="35" t="str">
        <f t="shared" si="74"/>
        <v>EXP1</v>
      </c>
      <c r="T125" s="58"/>
      <c r="U125" s="58"/>
      <c r="V125" s="58"/>
      <c r="W125" s="58"/>
      <c r="X125" s="58"/>
      <c r="Y125" s="58"/>
      <c r="Z125" s="58"/>
      <c r="AA125" s="95">
        <f t="shared" si="52"/>
        <v>1</v>
      </c>
      <c r="AB125" s="96">
        <f t="shared" si="86"/>
        <v>106.85830919245012</v>
      </c>
      <c r="AC125" s="58"/>
      <c r="AD125" s="58"/>
      <c r="AE125" s="58"/>
      <c r="AF125" s="58"/>
      <c r="AG125" s="58"/>
      <c r="AH125" s="58"/>
      <c r="AI125" s="58"/>
      <c r="AJ125" s="58"/>
      <c r="AK125" s="58"/>
      <c r="AL125" s="58"/>
      <c r="AM125" s="89">
        <f t="shared" si="87"/>
        <v>38</v>
      </c>
      <c r="AN125" s="5">
        <f t="shared" si="95"/>
        <v>35.582500000000003</v>
      </c>
      <c r="AO125" s="14">
        <f t="shared" si="96"/>
        <v>1.8656006511540602</v>
      </c>
      <c r="AP125" s="14">
        <f>IF((OR(R125="A",R125="B",R125="C")),INDEX(Coefficients!$S$4:$S$22,MATCH(J125,Coefficients!$R$4:$R$22)),INDEX(Coefficients!$T$4:$T$22,MATCH(J125,Coefficients!$R$4:$R$22)))</f>
        <v>1.3</v>
      </c>
      <c r="AQ125" s="27">
        <f>IF((OR(R125="A",R125="B",R125="C")),INDEX(Coefficients!$S$4:$S$22,MATCH(K125,Coefficients!$R$4:$R$22)),INDEX(Coefficients!$T$4:$T$22,MATCH(K125,Coefficients!$R$4:$R$22)))</f>
        <v>25</v>
      </c>
      <c r="AR125" s="15">
        <f>IF(OR(R125="A",R125="B",R125="C",R125="D"),IF(AN125&gt;=11,IF(AN125&gt;=26,Coefficients!$M$6,Coefficients!$M$5),Coefficients!$M$4),IF(AN125&gt;=11,IF(AN125&gt;=26,Coefficients!$N$6,Coefficients!$N$5),Coefficients!$N$4))</f>
        <v>1</v>
      </c>
      <c r="AS125" s="15">
        <f>INDEX(Coefficients!$X$3:$X$4,MATCH(S125,Coefficients!$W$3:$W$4))</f>
        <v>1</v>
      </c>
      <c r="AT125" s="15">
        <f>INDEX(Coefficients!$X$7:$X$8,MATCH(O125,Coefficients!$W$7:$W$8))</f>
        <v>1</v>
      </c>
      <c r="AU125" s="15">
        <f>INDEX(Coefficients!$X$11:$X$12,MATCH(P125,Coefficients!$W$11:$W$12))</f>
        <v>1</v>
      </c>
      <c r="AV125" s="15">
        <f>INDEX(Coefficients!$X$15:$X$17,MATCH(Q125,Coefficients!$W$15:$W$17))</f>
        <v>1</v>
      </c>
      <c r="AW125" s="15">
        <f t="shared" si="88"/>
        <v>1</v>
      </c>
      <c r="AX125" s="15">
        <f t="shared" si="89"/>
        <v>1</v>
      </c>
      <c r="AY125" s="15">
        <f t="shared" si="90"/>
        <v>1.3</v>
      </c>
      <c r="AZ125" s="14">
        <f t="shared" si="91"/>
        <v>46.640016278851505</v>
      </c>
      <c r="BA125" s="14">
        <f t="shared" si="92"/>
        <v>0</v>
      </c>
      <c r="BB125" s="14">
        <f t="shared" si="93"/>
        <v>2.4252808465002782</v>
      </c>
      <c r="BC125" s="14">
        <f t="shared" si="94"/>
        <v>1.757471915349972</v>
      </c>
      <c r="BD125" s="14">
        <f t="shared" si="97"/>
        <v>0.42881631688170785</v>
      </c>
      <c r="BE125" s="16">
        <f t="shared" si="98"/>
        <v>106.85830919245012</v>
      </c>
      <c r="BF125" s="16">
        <f t="shared" si="99"/>
        <v>186.28338161509976</v>
      </c>
      <c r="BG125" s="17">
        <f t="shared" si="100"/>
        <v>1</v>
      </c>
      <c r="BH125" s="14">
        <f t="shared" si="101"/>
        <v>235.08828022339029</v>
      </c>
      <c r="BI125" s="14">
        <f t="shared" si="102"/>
        <v>-70.17656044678057</v>
      </c>
      <c r="BJ125" s="14">
        <f t="shared" si="103"/>
        <v>35.172158761593828</v>
      </c>
    </row>
    <row r="126" spans="2:62">
      <c r="B126" s="14" t="s">
        <v>91</v>
      </c>
      <c r="C126" s="81" t="str">
        <f>MostLikely!$B$1</f>
        <v>MRI-CGCM2.3.2</v>
      </c>
      <c r="D126" s="89">
        <v>2044</v>
      </c>
      <c r="E126" s="57">
        <f>'Cooler&amp;Wetter'!AA72</f>
        <v>35.585000000000001</v>
      </c>
      <c r="F126" s="90">
        <f>MostLikely!AC72</f>
        <v>22.540951019999998</v>
      </c>
      <c r="G126" s="35">
        <f t="shared" si="84"/>
        <v>2005</v>
      </c>
      <c r="H126" s="91" t="str">
        <f t="shared" si="64"/>
        <v>Pile 32 @ Berth 201</v>
      </c>
      <c r="I126" s="35" t="str">
        <f t="shared" si="65"/>
        <v>Turpentine Gum</v>
      </c>
      <c r="J126" s="35" t="str">
        <f t="shared" si="66"/>
        <v>HW1</v>
      </c>
      <c r="K126" s="35" t="str">
        <f t="shared" si="85"/>
        <v>SPHU</v>
      </c>
      <c r="L126" s="35">
        <f t="shared" si="67"/>
        <v>400</v>
      </c>
      <c r="M126" s="35">
        <f t="shared" si="68"/>
        <v>20</v>
      </c>
      <c r="N126" s="35">
        <f t="shared" si="69"/>
        <v>200</v>
      </c>
      <c r="O126" s="35" t="str">
        <f t="shared" si="70"/>
        <v>MTN2</v>
      </c>
      <c r="P126" s="35" t="str">
        <f t="shared" si="71"/>
        <v>CNT2</v>
      </c>
      <c r="Q126" s="35" t="str">
        <f t="shared" si="72"/>
        <v>KNT3</v>
      </c>
      <c r="R126" s="35" t="str">
        <f t="shared" si="73"/>
        <v>E</v>
      </c>
      <c r="S126" s="35" t="str">
        <f t="shared" si="74"/>
        <v>EXP1</v>
      </c>
      <c r="T126" s="58"/>
      <c r="U126" s="58"/>
      <c r="V126" s="58"/>
      <c r="W126" s="58"/>
      <c r="X126" s="58"/>
      <c r="Y126" s="58"/>
      <c r="Z126" s="58"/>
      <c r="AA126" s="95">
        <f t="shared" si="52"/>
        <v>1</v>
      </c>
      <c r="AB126" s="96">
        <f t="shared" si="86"/>
        <v>109.66216777709086</v>
      </c>
      <c r="AC126" s="58"/>
      <c r="AD126" s="58"/>
      <c r="AE126" s="58"/>
      <c r="AF126" s="58"/>
      <c r="AG126" s="58"/>
      <c r="AH126" s="58"/>
      <c r="AI126" s="58"/>
      <c r="AJ126" s="58"/>
      <c r="AK126" s="58"/>
      <c r="AL126" s="58"/>
      <c r="AM126" s="89">
        <f t="shared" si="87"/>
        <v>39</v>
      </c>
      <c r="AN126" s="5">
        <f t="shared" si="95"/>
        <v>35.585000000000001</v>
      </c>
      <c r="AO126" s="14">
        <f t="shared" si="96"/>
        <v>1.8733692349276045</v>
      </c>
      <c r="AP126" s="14">
        <f>IF((OR(R126="A",R126="B",R126="C")),INDEX(Coefficients!$S$4:$S$22,MATCH(J126,Coefficients!$R$4:$R$22)),INDEX(Coefficients!$T$4:$T$22,MATCH(J126,Coefficients!$R$4:$R$22)))</f>
        <v>1.3</v>
      </c>
      <c r="AQ126" s="27">
        <f>IF((OR(R126="A",R126="B",R126="C")),INDEX(Coefficients!$S$4:$S$22,MATCH(K126,Coefficients!$R$4:$R$22)),INDEX(Coefficients!$T$4:$T$22,MATCH(K126,Coefficients!$R$4:$R$22)))</f>
        <v>25</v>
      </c>
      <c r="AR126" s="15">
        <f>IF(OR(R126="A",R126="B",R126="C",R126="D"),IF(AN126&gt;=11,IF(AN126&gt;=26,Coefficients!$M$6,Coefficients!$M$5),Coefficients!$M$4),IF(AN126&gt;=11,IF(AN126&gt;=26,Coefficients!$N$6,Coefficients!$N$5),Coefficients!$N$4))</f>
        <v>1</v>
      </c>
      <c r="AS126" s="15">
        <f>INDEX(Coefficients!$X$3:$X$4,MATCH(S126,Coefficients!$W$3:$W$4))</f>
        <v>1</v>
      </c>
      <c r="AT126" s="15">
        <f>INDEX(Coefficients!$X$7:$X$8,MATCH(O126,Coefficients!$W$7:$W$8))</f>
        <v>1</v>
      </c>
      <c r="AU126" s="15">
        <f>INDEX(Coefficients!$X$11:$X$12,MATCH(P126,Coefficients!$W$11:$W$12))</f>
        <v>1</v>
      </c>
      <c r="AV126" s="15">
        <f>INDEX(Coefficients!$X$15:$X$17,MATCH(Q126,Coefficients!$W$15:$W$17))</f>
        <v>1</v>
      </c>
      <c r="AW126" s="15">
        <f t="shared" si="88"/>
        <v>1</v>
      </c>
      <c r="AX126" s="15">
        <f t="shared" si="89"/>
        <v>1</v>
      </c>
      <c r="AY126" s="15">
        <f t="shared" si="90"/>
        <v>1.3</v>
      </c>
      <c r="AZ126" s="14">
        <f t="shared" si="91"/>
        <v>46.834230873190116</v>
      </c>
      <c r="BA126" s="14">
        <f t="shared" si="92"/>
        <v>0</v>
      </c>
      <c r="BB126" s="14">
        <f t="shared" si="93"/>
        <v>2.4353800054058858</v>
      </c>
      <c r="BC126" s="14">
        <f t="shared" si="94"/>
        <v>1.7564619994594115</v>
      </c>
      <c r="BD126" s="14">
        <f t="shared" si="97"/>
        <v>0.42703807935167443</v>
      </c>
      <c r="BE126" s="16">
        <f t="shared" si="98"/>
        <v>109.66216777709086</v>
      </c>
      <c r="BF126" s="16">
        <f t="shared" si="99"/>
        <v>180.67566444581828</v>
      </c>
      <c r="BG126" s="17">
        <f t="shared" si="100"/>
        <v>1</v>
      </c>
      <c r="BH126" s="14">
        <f t="shared" si="101"/>
        <v>241.2567691095999</v>
      </c>
      <c r="BI126" s="14">
        <f t="shared" si="102"/>
        <v>-82.513538219199802</v>
      </c>
      <c r="BJ126" s="14">
        <f t="shared" si="103"/>
        <v>35.032583105862969</v>
      </c>
    </row>
    <row r="127" spans="2:62">
      <c r="B127" s="14" t="s">
        <v>91</v>
      </c>
      <c r="C127" s="81" t="str">
        <f>MostLikely!$B$1</f>
        <v>MRI-CGCM2.3.2</v>
      </c>
      <c r="D127" s="89">
        <v>2045</v>
      </c>
      <c r="E127" s="57">
        <f>'Cooler&amp;Wetter'!AA73</f>
        <v>35.587499999999999</v>
      </c>
      <c r="F127" s="90">
        <f>MostLikely!AC73</f>
        <v>22.572916199999998</v>
      </c>
      <c r="G127" s="35">
        <f t="shared" si="84"/>
        <v>2005</v>
      </c>
      <c r="H127" s="91" t="str">
        <f t="shared" si="64"/>
        <v>Pile 32 @ Berth 201</v>
      </c>
      <c r="I127" s="35" t="str">
        <f t="shared" si="65"/>
        <v>Turpentine Gum</v>
      </c>
      <c r="J127" s="35" t="str">
        <f t="shared" si="66"/>
        <v>HW1</v>
      </c>
      <c r="K127" s="35" t="str">
        <f t="shared" si="85"/>
        <v>SPHU</v>
      </c>
      <c r="L127" s="35">
        <f t="shared" si="67"/>
        <v>400</v>
      </c>
      <c r="M127" s="35">
        <f t="shared" si="68"/>
        <v>20</v>
      </c>
      <c r="N127" s="35">
        <f t="shared" si="69"/>
        <v>200</v>
      </c>
      <c r="O127" s="35" t="str">
        <f t="shared" si="70"/>
        <v>MTN2</v>
      </c>
      <c r="P127" s="35" t="str">
        <f t="shared" si="71"/>
        <v>CNT2</v>
      </c>
      <c r="Q127" s="35" t="str">
        <f t="shared" si="72"/>
        <v>KNT3</v>
      </c>
      <c r="R127" s="35" t="str">
        <f t="shared" si="73"/>
        <v>E</v>
      </c>
      <c r="S127" s="35" t="str">
        <f t="shared" si="74"/>
        <v>EXP1</v>
      </c>
      <c r="T127" s="58"/>
      <c r="U127" s="58"/>
      <c r="V127" s="58"/>
      <c r="W127" s="58"/>
      <c r="X127" s="58"/>
      <c r="Y127" s="58"/>
      <c r="Z127" s="58"/>
      <c r="AA127" s="95">
        <f t="shared" si="52"/>
        <v>1</v>
      </c>
      <c r="AB127" s="96">
        <f t="shared" si="86"/>
        <v>112.48786370272352</v>
      </c>
      <c r="AC127" s="58"/>
      <c r="AD127" s="58"/>
      <c r="AE127" s="58"/>
      <c r="AF127" s="58"/>
      <c r="AG127" s="58"/>
      <c r="AH127" s="58"/>
      <c r="AI127" s="58"/>
      <c r="AJ127" s="58"/>
      <c r="AK127" s="58"/>
      <c r="AL127" s="58"/>
      <c r="AM127" s="89">
        <f t="shared" si="87"/>
        <v>40</v>
      </c>
      <c r="AN127" s="5">
        <f t="shared" si="95"/>
        <v>35.587499999999999</v>
      </c>
      <c r="AO127" s="14">
        <f t="shared" si="96"/>
        <v>1.8811701680111732</v>
      </c>
      <c r="AP127" s="14">
        <f>IF((OR(R127="A",R127="B",R127="C")),INDEX(Coefficients!$S$4:$S$22,MATCH(J127,Coefficients!$R$4:$R$22)),INDEX(Coefficients!$T$4:$T$22,MATCH(J127,Coefficients!$R$4:$R$22)))</f>
        <v>1.3</v>
      </c>
      <c r="AQ127" s="27">
        <f>IF((OR(R127="A",R127="B",R127="C")),INDEX(Coefficients!$S$4:$S$22,MATCH(K127,Coefficients!$R$4:$R$22)),INDEX(Coefficients!$T$4:$T$22,MATCH(K127,Coefficients!$R$4:$R$22)))</f>
        <v>25</v>
      </c>
      <c r="AR127" s="15">
        <f>IF(OR(R127="A",R127="B",R127="C",R127="D"),IF(AN127&gt;=11,IF(AN127&gt;=26,Coefficients!$M$6,Coefficients!$M$5),Coefficients!$M$4),IF(AN127&gt;=11,IF(AN127&gt;=26,Coefficients!$N$6,Coefficients!$N$5),Coefficients!$N$4))</f>
        <v>1</v>
      </c>
      <c r="AS127" s="15">
        <f>INDEX(Coefficients!$X$3:$X$4,MATCH(S127,Coefficients!$W$3:$W$4))</f>
        <v>1</v>
      </c>
      <c r="AT127" s="15">
        <f>INDEX(Coefficients!$X$7:$X$8,MATCH(O127,Coefficients!$W$7:$W$8))</f>
        <v>1</v>
      </c>
      <c r="AU127" s="15">
        <f>INDEX(Coefficients!$X$11:$X$12,MATCH(P127,Coefficients!$W$11:$W$12))</f>
        <v>1</v>
      </c>
      <c r="AV127" s="15">
        <f>INDEX(Coefficients!$X$15:$X$17,MATCH(Q127,Coefficients!$W$15:$W$17))</f>
        <v>1</v>
      </c>
      <c r="AW127" s="15">
        <f t="shared" si="88"/>
        <v>1</v>
      </c>
      <c r="AX127" s="15">
        <f t="shared" si="89"/>
        <v>1</v>
      </c>
      <c r="AY127" s="15">
        <f t="shared" si="90"/>
        <v>1.3</v>
      </c>
      <c r="AZ127" s="14">
        <f t="shared" si="91"/>
        <v>47.029254200279333</v>
      </c>
      <c r="BA127" s="14">
        <f t="shared" si="92"/>
        <v>0</v>
      </c>
      <c r="BB127" s="14">
        <f t="shared" si="93"/>
        <v>2.4455212184145254</v>
      </c>
      <c r="BC127" s="14">
        <f t="shared" si="94"/>
        <v>1.7554478781585474</v>
      </c>
      <c r="BD127" s="14">
        <f t="shared" si="97"/>
        <v>0.42526721590837407</v>
      </c>
      <c r="BE127" s="16">
        <f t="shared" si="98"/>
        <v>112.48786370272352</v>
      </c>
      <c r="BF127" s="16">
        <f t="shared" si="99"/>
        <v>175.02427259455297</v>
      </c>
      <c r="BG127" s="17">
        <f t="shared" si="100"/>
        <v>1</v>
      </c>
      <c r="BH127" s="14">
        <f t="shared" si="101"/>
        <v>247.47330014599174</v>
      </c>
      <c r="BI127" s="14">
        <f t="shared" si="102"/>
        <v>-94.946600291983486</v>
      </c>
      <c r="BJ127" s="14">
        <f t="shared" si="103"/>
        <v>34.89357785624955</v>
      </c>
    </row>
    <row r="128" spans="2:62">
      <c r="B128" s="14" t="s">
        <v>91</v>
      </c>
      <c r="C128" s="81" t="str">
        <f>MostLikely!$B$1</f>
        <v>MRI-CGCM2.3.2</v>
      </c>
      <c r="D128" s="89">
        <v>2046</v>
      </c>
      <c r="E128" s="57">
        <f>'Cooler&amp;Wetter'!AA74</f>
        <v>35.590000000000003</v>
      </c>
      <c r="F128" s="90">
        <f>MostLikely!AC74</f>
        <v>22.604881379999998</v>
      </c>
      <c r="G128" s="35">
        <f t="shared" si="84"/>
        <v>2005</v>
      </c>
      <c r="H128" s="91" t="str">
        <f t="shared" si="64"/>
        <v>Pile 32 @ Berth 201</v>
      </c>
      <c r="I128" s="35" t="str">
        <f t="shared" si="65"/>
        <v>Turpentine Gum</v>
      </c>
      <c r="J128" s="35" t="str">
        <f t="shared" si="66"/>
        <v>HW1</v>
      </c>
      <c r="K128" s="35" t="str">
        <f t="shared" si="85"/>
        <v>SPHU</v>
      </c>
      <c r="L128" s="35">
        <f t="shared" si="67"/>
        <v>400</v>
      </c>
      <c r="M128" s="35">
        <f t="shared" si="68"/>
        <v>20</v>
      </c>
      <c r="N128" s="35">
        <f t="shared" si="69"/>
        <v>200</v>
      </c>
      <c r="O128" s="35" t="str">
        <f t="shared" si="70"/>
        <v>MTN2</v>
      </c>
      <c r="P128" s="35" t="str">
        <f t="shared" si="71"/>
        <v>CNT2</v>
      </c>
      <c r="Q128" s="35" t="str">
        <f t="shared" si="72"/>
        <v>KNT3</v>
      </c>
      <c r="R128" s="35" t="str">
        <f t="shared" si="73"/>
        <v>E</v>
      </c>
      <c r="S128" s="35" t="str">
        <f t="shared" si="74"/>
        <v>EXP1</v>
      </c>
      <c r="T128" s="58"/>
      <c r="U128" s="58"/>
      <c r="V128" s="58"/>
      <c r="W128" s="58"/>
      <c r="X128" s="58"/>
      <c r="Y128" s="58"/>
      <c r="Z128" s="58"/>
      <c r="AA128" s="95">
        <f t="shared" si="52"/>
        <v>1</v>
      </c>
      <c r="AB128" s="96">
        <f t="shared" si="86"/>
        <v>115.33553030316666</v>
      </c>
      <c r="AC128" s="58"/>
      <c r="AD128" s="58"/>
      <c r="AE128" s="58"/>
      <c r="AF128" s="58"/>
      <c r="AG128" s="58"/>
      <c r="AH128" s="58"/>
      <c r="AI128" s="58"/>
      <c r="AJ128" s="58"/>
      <c r="AK128" s="58"/>
      <c r="AL128" s="58"/>
      <c r="AM128" s="89">
        <f t="shared" si="87"/>
        <v>41</v>
      </c>
      <c r="AN128" s="5">
        <f t="shared" si="95"/>
        <v>35.590000000000003</v>
      </c>
      <c r="AO128" s="14">
        <f t="shared" si="96"/>
        <v>1.8890035851111548</v>
      </c>
      <c r="AP128" s="14">
        <f>IF((OR(R128="A",R128="B",R128="C")),INDEX(Coefficients!$S$4:$S$22,MATCH(J128,Coefficients!$R$4:$R$22)),INDEX(Coefficients!$T$4:$T$22,MATCH(J128,Coefficients!$R$4:$R$22)))</f>
        <v>1.3</v>
      </c>
      <c r="AQ128" s="27">
        <f>IF((OR(R128="A",R128="B",R128="C")),INDEX(Coefficients!$S$4:$S$22,MATCH(K128,Coefficients!$R$4:$R$22)),INDEX(Coefficients!$T$4:$T$22,MATCH(K128,Coefficients!$R$4:$R$22)))</f>
        <v>25</v>
      </c>
      <c r="AR128" s="15">
        <f>IF(OR(R128="A",R128="B",R128="C",R128="D"),IF(AN128&gt;=11,IF(AN128&gt;=26,Coefficients!$M$6,Coefficients!$M$5),Coefficients!$M$4),IF(AN128&gt;=11,IF(AN128&gt;=26,Coefficients!$N$6,Coefficients!$N$5),Coefficients!$N$4))</f>
        <v>1</v>
      </c>
      <c r="AS128" s="15">
        <f>INDEX(Coefficients!$X$3:$X$4,MATCH(S128,Coefficients!$W$3:$W$4))</f>
        <v>1</v>
      </c>
      <c r="AT128" s="15">
        <f>INDEX(Coefficients!$X$7:$X$8,MATCH(O128,Coefficients!$W$7:$W$8))</f>
        <v>1</v>
      </c>
      <c r="AU128" s="15">
        <f>INDEX(Coefficients!$X$11:$X$12,MATCH(P128,Coefficients!$W$11:$W$12))</f>
        <v>1</v>
      </c>
      <c r="AV128" s="15">
        <f>INDEX(Coefficients!$X$15:$X$17,MATCH(Q128,Coefficients!$W$15:$W$17))</f>
        <v>1</v>
      </c>
      <c r="AW128" s="15">
        <f t="shared" si="88"/>
        <v>1</v>
      </c>
      <c r="AX128" s="15">
        <f t="shared" si="89"/>
        <v>1</v>
      </c>
      <c r="AY128" s="15">
        <f t="shared" si="90"/>
        <v>1.3</v>
      </c>
      <c r="AZ128" s="14">
        <f t="shared" si="91"/>
        <v>47.225089627778871</v>
      </c>
      <c r="BA128" s="14">
        <f t="shared" si="92"/>
        <v>0</v>
      </c>
      <c r="BB128" s="14">
        <f t="shared" si="93"/>
        <v>2.4557046606445012</v>
      </c>
      <c r="BC128" s="14">
        <f t="shared" si="94"/>
        <v>1.7544295339355498</v>
      </c>
      <c r="BD128" s="14">
        <f t="shared" si="97"/>
        <v>0.4235036959725651</v>
      </c>
      <c r="BE128" s="16">
        <f t="shared" si="98"/>
        <v>115.33553030316666</v>
      </c>
      <c r="BF128" s="16">
        <f t="shared" si="99"/>
        <v>169.32893939366667</v>
      </c>
      <c r="BG128" s="17">
        <f t="shared" si="100"/>
        <v>1</v>
      </c>
      <c r="BH128" s="14">
        <f t="shared" si="101"/>
        <v>253.73816666696669</v>
      </c>
      <c r="BI128" s="14">
        <f t="shared" si="102"/>
        <v>-107.47633333393338</v>
      </c>
      <c r="BJ128" s="14">
        <f t="shared" si="103"/>
        <v>34.755140612413122</v>
      </c>
    </row>
    <row r="129" spans="2:62">
      <c r="B129" s="14" t="s">
        <v>91</v>
      </c>
      <c r="C129" s="81" t="str">
        <f>MostLikely!$B$1</f>
        <v>MRI-CGCM2.3.2</v>
      </c>
      <c r="D129" s="89">
        <v>2047</v>
      </c>
      <c r="E129" s="57">
        <f>'Cooler&amp;Wetter'!AA75</f>
        <v>35.592500000000001</v>
      </c>
      <c r="F129" s="90">
        <f>MostLikely!AC75</f>
        <v>22.636846559999999</v>
      </c>
      <c r="G129" s="35">
        <f t="shared" si="84"/>
        <v>2005</v>
      </c>
      <c r="H129" s="91" t="str">
        <f t="shared" si="64"/>
        <v>Pile 32 @ Berth 201</v>
      </c>
      <c r="I129" s="35" t="str">
        <f t="shared" si="65"/>
        <v>Turpentine Gum</v>
      </c>
      <c r="J129" s="35" t="str">
        <f t="shared" si="66"/>
        <v>HW1</v>
      </c>
      <c r="K129" s="35" t="str">
        <f t="shared" si="85"/>
        <v>SPHU</v>
      </c>
      <c r="L129" s="35">
        <f t="shared" si="67"/>
        <v>400</v>
      </c>
      <c r="M129" s="35">
        <f t="shared" si="68"/>
        <v>20</v>
      </c>
      <c r="N129" s="35">
        <f t="shared" si="69"/>
        <v>200</v>
      </c>
      <c r="O129" s="35" t="str">
        <f t="shared" si="70"/>
        <v>MTN2</v>
      </c>
      <c r="P129" s="35" t="str">
        <f t="shared" si="71"/>
        <v>CNT2</v>
      </c>
      <c r="Q129" s="35" t="str">
        <f t="shared" si="72"/>
        <v>KNT3</v>
      </c>
      <c r="R129" s="35" t="str">
        <f t="shared" si="73"/>
        <v>E</v>
      </c>
      <c r="S129" s="35" t="str">
        <f t="shared" si="74"/>
        <v>EXP1</v>
      </c>
      <c r="T129" s="58"/>
      <c r="U129" s="58"/>
      <c r="V129" s="58"/>
      <c r="W129" s="58"/>
      <c r="X129" s="58"/>
      <c r="Y129" s="58"/>
      <c r="Z129" s="58"/>
      <c r="AA129" s="95">
        <f t="shared" si="52"/>
        <v>1</v>
      </c>
      <c r="AB129" s="96">
        <f t="shared" si="86"/>
        <v>118.20530164473384</v>
      </c>
      <c r="AC129" s="58"/>
      <c r="AD129" s="58"/>
      <c r="AE129" s="58"/>
      <c r="AF129" s="58"/>
      <c r="AG129" s="58"/>
      <c r="AH129" s="58"/>
      <c r="AI129" s="58"/>
      <c r="AJ129" s="58"/>
      <c r="AK129" s="58"/>
      <c r="AL129" s="58"/>
      <c r="AM129" s="89">
        <f t="shared" si="87"/>
        <v>42</v>
      </c>
      <c r="AN129" s="5">
        <f t="shared" si="95"/>
        <v>35.592500000000001</v>
      </c>
      <c r="AO129" s="14">
        <f t="shared" si="96"/>
        <v>1.8968696214948708</v>
      </c>
      <c r="AP129" s="14">
        <f>IF((OR(R129="A",R129="B",R129="C")),INDEX(Coefficients!$S$4:$S$22,MATCH(J129,Coefficients!$R$4:$R$22)),INDEX(Coefficients!$T$4:$T$22,MATCH(J129,Coefficients!$R$4:$R$22)))</f>
        <v>1.3</v>
      </c>
      <c r="AQ129" s="27">
        <f>IF((OR(R129="A",R129="B",R129="C")),INDEX(Coefficients!$S$4:$S$22,MATCH(K129,Coefficients!$R$4:$R$22)),INDEX(Coefficients!$T$4:$T$22,MATCH(K129,Coefficients!$R$4:$R$22)))</f>
        <v>25</v>
      </c>
      <c r="AR129" s="15">
        <f>IF(OR(R129="A",R129="B",R129="C",R129="D"),IF(AN129&gt;=11,IF(AN129&gt;=26,Coefficients!$M$6,Coefficients!$M$5),Coefficients!$M$4),IF(AN129&gt;=11,IF(AN129&gt;=26,Coefficients!$N$6,Coefficients!$N$5),Coefficients!$N$4))</f>
        <v>1</v>
      </c>
      <c r="AS129" s="15">
        <f>INDEX(Coefficients!$X$3:$X$4,MATCH(S129,Coefficients!$W$3:$W$4))</f>
        <v>1</v>
      </c>
      <c r="AT129" s="15">
        <f>INDEX(Coefficients!$X$7:$X$8,MATCH(O129,Coefficients!$W$7:$W$8))</f>
        <v>1</v>
      </c>
      <c r="AU129" s="15">
        <f>INDEX(Coefficients!$X$11:$X$12,MATCH(P129,Coefficients!$W$11:$W$12))</f>
        <v>1</v>
      </c>
      <c r="AV129" s="15">
        <f>INDEX(Coefficients!$X$15:$X$17,MATCH(Q129,Coefficients!$W$15:$W$17))</f>
        <v>1</v>
      </c>
      <c r="AW129" s="15">
        <f t="shared" si="88"/>
        <v>1</v>
      </c>
      <c r="AX129" s="15">
        <f t="shared" si="89"/>
        <v>1</v>
      </c>
      <c r="AY129" s="15">
        <f t="shared" si="90"/>
        <v>1.3</v>
      </c>
      <c r="AZ129" s="14">
        <f t="shared" si="91"/>
        <v>47.421740537371768</v>
      </c>
      <c r="BA129" s="14">
        <f t="shared" si="92"/>
        <v>0</v>
      </c>
      <c r="BB129" s="14">
        <f t="shared" si="93"/>
        <v>2.465930507943332</v>
      </c>
      <c r="BC129" s="14">
        <f t="shared" si="94"/>
        <v>1.7534069492056668</v>
      </c>
      <c r="BD129" s="14">
        <f t="shared" si="97"/>
        <v>0.42174748909181331</v>
      </c>
      <c r="BE129" s="16">
        <f t="shared" si="98"/>
        <v>118.20530164473384</v>
      </c>
      <c r="BF129" s="16">
        <f t="shared" si="99"/>
        <v>163.58939671053233</v>
      </c>
      <c r="BG129" s="17">
        <f t="shared" si="100"/>
        <v>1</v>
      </c>
      <c r="BH129" s="14">
        <f t="shared" si="101"/>
        <v>260.05166361841447</v>
      </c>
      <c r="BI129" s="14">
        <f t="shared" si="102"/>
        <v>-120.10332723682893</v>
      </c>
      <c r="BJ129" s="14">
        <f t="shared" si="103"/>
        <v>34.617268983821582</v>
      </c>
    </row>
    <row r="130" spans="2:62">
      <c r="B130" s="14" t="s">
        <v>91</v>
      </c>
      <c r="C130" s="81" t="str">
        <f>MostLikely!$B$1</f>
        <v>MRI-CGCM2.3.2</v>
      </c>
      <c r="D130" s="89">
        <v>2048</v>
      </c>
      <c r="E130" s="57">
        <f>'Cooler&amp;Wetter'!AA76</f>
        <v>35.594999999999999</v>
      </c>
      <c r="F130" s="90">
        <f>MostLikely!AC76</f>
        <v>22.668811739999999</v>
      </c>
      <c r="G130" s="35">
        <f t="shared" si="84"/>
        <v>2005</v>
      </c>
      <c r="H130" s="91" t="str">
        <f t="shared" si="64"/>
        <v>Pile 32 @ Berth 201</v>
      </c>
      <c r="I130" s="35" t="str">
        <f t="shared" si="65"/>
        <v>Turpentine Gum</v>
      </c>
      <c r="J130" s="35" t="str">
        <f t="shared" si="66"/>
        <v>HW1</v>
      </c>
      <c r="K130" s="35" t="str">
        <f t="shared" si="85"/>
        <v>SPHU</v>
      </c>
      <c r="L130" s="35">
        <f t="shared" si="67"/>
        <v>400</v>
      </c>
      <c r="M130" s="35">
        <f t="shared" si="68"/>
        <v>20</v>
      </c>
      <c r="N130" s="35">
        <f t="shared" si="69"/>
        <v>200</v>
      </c>
      <c r="O130" s="35" t="str">
        <f t="shared" si="70"/>
        <v>MTN2</v>
      </c>
      <c r="P130" s="35" t="str">
        <f t="shared" si="71"/>
        <v>CNT2</v>
      </c>
      <c r="Q130" s="35" t="str">
        <f t="shared" si="72"/>
        <v>KNT3</v>
      </c>
      <c r="R130" s="35" t="str">
        <f t="shared" si="73"/>
        <v>E</v>
      </c>
      <c r="S130" s="35" t="str">
        <f t="shared" si="74"/>
        <v>EXP1</v>
      </c>
      <c r="T130" s="58"/>
      <c r="U130" s="58"/>
      <c r="V130" s="58"/>
      <c r="W130" s="58"/>
      <c r="X130" s="58"/>
      <c r="Y130" s="58"/>
      <c r="Z130" s="58"/>
      <c r="AA130" s="95">
        <f t="shared" si="52"/>
        <v>1</v>
      </c>
      <c r="AB130" s="96">
        <f t="shared" si="86"/>
        <v>121.09731253002805</v>
      </c>
      <c r="AC130" s="58"/>
      <c r="AD130" s="58"/>
      <c r="AE130" s="58"/>
      <c r="AF130" s="58"/>
      <c r="AG130" s="58"/>
      <c r="AH130" s="58"/>
      <c r="AI130" s="58"/>
      <c r="AJ130" s="58"/>
      <c r="AK130" s="58"/>
      <c r="AL130" s="58"/>
      <c r="AM130" s="89">
        <f t="shared" si="87"/>
        <v>43</v>
      </c>
      <c r="AN130" s="5">
        <f t="shared" si="95"/>
        <v>35.594999999999999</v>
      </c>
      <c r="AO130" s="14">
        <f t="shared" si="96"/>
        <v>1.904768412992911</v>
      </c>
      <c r="AP130" s="14">
        <f>IF((OR(R130="A",R130="B",R130="C")),INDEX(Coefficients!$S$4:$S$22,MATCH(J130,Coefficients!$R$4:$R$22)),INDEX(Coefficients!$T$4:$T$22,MATCH(J130,Coefficients!$R$4:$R$22)))</f>
        <v>1.3</v>
      </c>
      <c r="AQ130" s="27">
        <f>IF((OR(R130="A",R130="B",R130="C")),INDEX(Coefficients!$S$4:$S$22,MATCH(K130,Coefficients!$R$4:$R$22)),INDEX(Coefficients!$T$4:$T$22,MATCH(K130,Coefficients!$R$4:$R$22)))</f>
        <v>25</v>
      </c>
      <c r="AR130" s="15">
        <f>IF(OR(R130="A",R130="B",R130="C",R130="D"),IF(AN130&gt;=11,IF(AN130&gt;=26,Coefficients!$M$6,Coefficients!$M$5),Coefficients!$M$4),IF(AN130&gt;=11,IF(AN130&gt;=26,Coefficients!$N$6,Coefficients!$N$5),Coefficients!$N$4))</f>
        <v>1</v>
      </c>
      <c r="AS130" s="15">
        <f>INDEX(Coefficients!$X$3:$X$4,MATCH(S130,Coefficients!$W$3:$W$4))</f>
        <v>1</v>
      </c>
      <c r="AT130" s="15">
        <f>INDEX(Coefficients!$X$7:$X$8,MATCH(O130,Coefficients!$W$7:$W$8))</f>
        <v>1</v>
      </c>
      <c r="AU130" s="15">
        <f>INDEX(Coefficients!$X$11:$X$12,MATCH(P130,Coefficients!$W$11:$W$12))</f>
        <v>1</v>
      </c>
      <c r="AV130" s="15">
        <f>INDEX(Coefficients!$X$15:$X$17,MATCH(Q130,Coefficients!$W$15:$W$17))</f>
        <v>1</v>
      </c>
      <c r="AW130" s="15">
        <f t="shared" si="88"/>
        <v>1</v>
      </c>
      <c r="AX130" s="15">
        <f t="shared" si="89"/>
        <v>1</v>
      </c>
      <c r="AY130" s="15">
        <f t="shared" si="90"/>
        <v>1.3</v>
      </c>
      <c r="AZ130" s="14">
        <f t="shared" si="91"/>
        <v>47.619210324822774</v>
      </c>
      <c r="BA130" s="14">
        <f t="shared" si="92"/>
        <v>0</v>
      </c>
      <c r="BB130" s="14">
        <f t="shared" si="93"/>
        <v>2.4761989368907842</v>
      </c>
      <c r="BC130" s="14">
        <f t="shared" si="94"/>
        <v>1.7523801063109214</v>
      </c>
      <c r="BD130" s="14">
        <f t="shared" si="97"/>
        <v>0.41999856493996646</v>
      </c>
      <c r="BE130" s="16">
        <f t="shared" si="98"/>
        <v>121.09731253002805</v>
      </c>
      <c r="BF130" s="16">
        <f t="shared" si="99"/>
        <v>157.8053749399439</v>
      </c>
      <c r="BG130" s="17">
        <f t="shared" si="100"/>
        <v>1</v>
      </c>
      <c r="BH130" s="14">
        <f t="shared" si="101"/>
        <v>266.41408756606171</v>
      </c>
      <c r="BI130" s="14">
        <f t="shared" si="102"/>
        <v>-132.82817513212342</v>
      </c>
      <c r="BJ130" s="14">
        <f t="shared" si="103"/>
        <v>34.479960589709847</v>
      </c>
    </row>
    <row r="131" spans="2:62">
      <c r="B131" s="14" t="s">
        <v>91</v>
      </c>
      <c r="C131" s="81" t="str">
        <f>MostLikely!$B$1</f>
        <v>MRI-CGCM2.3.2</v>
      </c>
      <c r="D131" s="89">
        <v>2049</v>
      </c>
      <c r="E131" s="57">
        <f>'Cooler&amp;Wetter'!AA77</f>
        <v>35.597499999999997</v>
      </c>
      <c r="F131" s="90">
        <f>MostLikely!AC77</f>
        <v>22.700776919999999</v>
      </c>
      <c r="G131" s="35">
        <f t="shared" si="84"/>
        <v>2005</v>
      </c>
      <c r="H131" s="91" t="str">
        <f t="shared" si="64"/>
        <v>Pile 32 @ Berth 201</v>
      </c>
      <c r="I131" s="35" t="str">
        <f t="shared" si="65"/>
        <v>Turpentine Gum</v>
      </c>
      <c r="J131" s="35" t="str">
        <f t="shared" si="66"/>
        <v>HW1</v>
      </c>
      <c r="K131" s="35" t="str">
        <f t="shared" si="85"/>
        <v>SPHU</v>
      </c>
      <c r="L131" s="35">
        <f t="shared" si="67"/>
        <v>400</v>
      </c>
      <c r="M131" s="35">
        <f t="shared" si="68"/>
        <v>20</v>
      </c>
      <c r="N131" s="35">
        <f t="shared" si="69"/>
        <v>200</v>
      </c>
      <c r="O131" s="35" t="str">
        <f t="shared" si="70"/>
        <v>MTN2</v>
      </c>
      <c r="P131" s="35" t="str">
        <f t="shared" si="71"/>
        <v>CNT2</v>
      </c>
      <c r="Q131" s="35" t="str">
        <f t="shared" si="72"/>
        <v>KNT3</v>
      </c>
      <c r="R131" s="35" t="str">
        <f t="shared" si="73"/>
        <v>E</v>
      </c>
      <c r="S131" s="35" t="str">
        <f t="shared" si="74"/>
        <v>EXP1</v>
      </c>
      <c r="T131" s="58"/>
      <c r="U131" s="58"/>
      <c r="V131" s="58"/>
      <c r="W131" s="58"/>
      <c r="X131" s="58"/>
      <c r="Y131" s="58"/>
      <c r="Z131" s="58"/>
      <c r="AA131" s="95">
        <f t="shared" si="52"/>
        <v>1</v>
      </c>
      <c r="AB131" s="96">
        <f t="shared" si="86"/>
        <v>124.01169850175515</v>
      </c>
      <c r="AC131" s="58"/>
      <c r="AD131" s="58"/>
      <c r="AE131" s="58"/>
      <c r="AF131" s="58"/>
      <c r="AG131" s="58"/>
      <c r="AH131" s="58"/>
      <c r="AI131" s="58"/>
      <c r="AJ131" s="58"/>
      <c r="AK131" s="58"/>
      <c r="AL131" s="58"/>
      <c r="AM131" s="89">
        <f t="shared" si="87"/>
        <v>44</v>
      </c>
      <c r="AN131" s="5">
        <f t="shared" si="95"/>
        <v>35.597499999999997</v>
      </c>
      <c r="AO131" s="14">
        <f t="shared" si="96"/>
        <v>1.9127000960014815</v>
      </c>
      <c r="AP131" s="14">
        <f>IF((OR(R131="A",R131="B",R131="C")),INDEX(Coefficients!$S$4:$S$22,MATCH(J131,Coefficients!$R$4:$R$22)),INDEX(Coefficients!$T$4:$T$22,MATCH(J131,Coefficients!$R$4:$R$22)))</f>
        <v>1.3</v>
      </c>
      <c r="AQ131" s="27">
        <f>IF((OR(R131="A",R131="B",R131="C")),INDEX(Coefficients!$S$4:$S$22,MATCH(K131,Coefficients!$R$4:$R$22)),INDEX(Coefficients!$T$4:$T$22,MATCH(K131,Coefficients!$R$4:$R$22)))</f>
        <v>25</v>
      </c>
      <c r="AR131" s="15">
        <f>IF(OR(R131="A",R131="B",R131="C",R131="D"),IF(AN131&gt;=11,IF(AN131&gt;=26,Coefficients!$M$6,Coefficients!$M$5),Coefficients!$M$4),IF(AN131&gt;=11,IF(AN131&gt;=26,Coefficients!$N$6,Coefficients!$N$5),Coefficients!$N$4))</f>
        <v>1</v>
      </c>
      <c r="AS131" s="15">
        <f>INDEX(Coefficients!$X$3:$X$4,MATCH(S131,Coefficients!$W$3:$W$4))</f>
        <v>1</v>
      </c>
      <c r="AT131" s="15">
        <f>INDEX(Coefficients!$X$7:$X$8,MATCH(O131,Coefficients!$W$7:$W$8))</f>
        <v>1</v>
      </c>
      <c r="AU131" s="15">
        <f>INDEX(Coefficients!$X$11:$X$12,MATCH(P131,Coefficients!$W$11:$W$12))</f>
        <v>1</v>
      </c>
      <c r="AV131" s="15">
        <f>INDEX(Coefficients!$X$15:$X$17,MATCH(Q131,Coefficients!$W$15:$W$17))</f>
        <v>1</v>
      </c>
      <c r="AW131" s="15">
        <f t="shared" si="88"/>
        <v>1</v>
      </c>
      <c r="AX131" s="15">
        <f t="shared" si="89"/>
        <v>1</v>
      </c>
      <c r="AY131" s="15">
        <f t="shared" si="90"/>
        <v>1.3</v>
      </c>
      <c r="AZ131" s="14">
        <f t="shared" si="91"/>
        <v>47.817502400037036</v>
      </c>
      <c r="BA131" s="14">
        <f t="shared" si="92"/>
        <v>0</v>
      </c>
      <c r="BB131" s="14">
        <f t="shared" si="93"/>
        <v>2.4865101248019261</v>
      </c>
      <c r="BC131" s="14">
        <f t="shared" si="94"/>
        <v>1.7513489875198074</v>
      </c>
      <c r="BD131" s="14">
        <f t="shared" si="97"/>
        <v>0.41825689331663024</v>
      </c>
      <c r="BE131" s="16">
        <f t="shared" si="98"/>
        <v>124.01169850175515</v>
      </c>
      <c r="BF131" s="16">
        <f t="shared" si="99"/>
        <v>151.9766029964897</v>
      </c>
      <c r="BG131" s="17">
        <f t="shared" si="100"/>
        <v>1</v>
      </c>
      <c r="BH131" s="14">
        <f t="shared" si="101"/>
        <v>272.82573670386137</v>
      </c>
      <c r="BI131" s="14">
        <f t="shared" si="102"/>
        <v>-145.65147340772273</v>
      </c>
      <c r="BJ131" s="14">
        <f t="shared" si="103"/>
        <v>34.34321305903876</v>
      </c>
    </row>
    <row r="132" spans="2:62">
      <c r="B132" s="14" t="s">
        <v>91</v>
      </c>
      <c r="C132" s="81" t="str">
        <f>MostLikely!$B$1</f>
        <v>MRI-CGCM2.3.2</v>
      </c>
      <c r="D132" s="89">
        <v>2050</v>
      </c>
      <c r="E132" s="57">
        <f>'Cooler&amp;Wetter'!AA78</f>
        <v>35.6</v>
      </c>
      <c r="F132" s="90">
        <f>MostLikely!AC78</f>
        <v>22.732742099999999</v>
      </c>
      <c r="G132" s="35">
        <f t="shared" si="84"/>
        <v>2005</v>
      </c>
      <c r="H132" s="91" t="str">
        <f t="shared" si="64"/>
        <v>Pile 32 @ Berth 201</v>
      </c>
      <c r="I132" s="35" t="str">
        <f t="shared" si="65"/>
        <v>Turpentine Gum</v>
      </c>
      <c r="J132" s="35" t="str">
        <f t="shared" si="66"/>
        <v>HW1</v>
      </c>
      <c r="K132" s="35" t="str">
        <f t="shared" si="85"/>
        <v>SPHU</v>
      </c>
      <c r="L132" s="35">
        <f t="shared" si="67"/>
        <v>400</v>
      </c>
      <c r="M132" s="35">
        <f t="shared" si="68"/>
        <v>20</v>
      </c>
      <c r="N132" s="35">
        <f t="shared" si="69"/>
        <v>200</v>
      </c>
      <c r="O132" s="35" t="str">
        <f t="shared" si="70"/>
        <v>MTN2</v>
      </c>
      <c r="P132" s="35" t="str">
        <f t="shared" si="71"/>
        <v>CNT2</v>
      </c>
      <c r="Q132" s="35" t="str">
        <f t="shared" si="72"/>
        <v>KNT3</v>
      </c>
      <c r="R132" s="35" t="str">
        <f t="shared" si="73"/>
        <v>E</v>
      </c>
      <c r="S132" s="35" t="str">
        <f t="shared" si="74"/>
        <v>EXP1</v>
      </c>
      <c r="T132" s="58"/>
      <c r="U132" s="58"/>
      <c r="V132" s="58"/>
      <c r="W132" s="58"/>
      <c r="X132" s="58"/>
      <c r="Y132" s="58"/>
      <c r="Z132" s="58"/>
      <c r="AA132" s="95">
        <f t="shared" si="52"/>
        <v>1</v>
      </c>
      <c r="AB132" s="96">
        <f t="shared" si="86"/>
        <v>126.94859584655602</v>
      </c>
      <c r="AC132" s="58"/>
      <c r="AD132" s="58"/>
      <c r="AE132" s="58"/>
      <c r="AF132" s="58"/>
      <c r="AG132" s="58"/>
      <c r="AH132" s="58"/>
      <c r="AI132" s="58"/>
      <c r="AJ132" s="58"/>
      <c r="AK132" s="58"/>
      <c r="AL132" s="58"/>
      <c r="AM132" s="89">
        <f t="shared" si="87"/>
        <v>45</v>
      </c>
      <c r="AN132" s="5">
        <f t="shared" si="95"/>
        <v>35.6</v>
      </c>
      <c r="AO132" s="14">
        <f t="shared" si="96"/>
        <v>1.9206648074847572</v>
      </c>
      <c r="AP132" s="14">
        <f>IF((OR(R132="A",R132="B",R132="C")),INDEX(Coefficients!$S$4:$S$22,MATCH(J132,Coefficients!$R$4:$R$22)),INDEX(Coefficients!$T$4:$T$22,MATCH(J132,Coefficients!$R$4:$R$22)))</f>
        <v>1.3</v>
      </c>
      <c r="AQ132" s="27">
        <f>IF((OR(R132="A",R132="B",R132="C")),INDEX(Coefficients!$S$4:$S$22,MATCH(K132,Coefficients!$R$4:$R$22)),INDEX(Coefficients!$T$4:$T$22,MATCH(K132,Coefficients!$R$4:$R$22)))</f>
        <v>25</v>
      </c>
      <c r="AR132" s="15">
        <f>IF(OR(R132="A",R132="B",R132="C",R132="D"),IF(AN132&gt;=11,IF(AN132&gt;=26,Coefficients!$M$6,Coefficients!$M$5),Coefficients!$M$4),IF(AN132&gt;=11,IF(AN132&gt;=26,Coefficients!$N$6,Coefficients!$N$5),Coefficients!$N$4))</f>
        <v>1</v>
      </c>
      <c r="AS132" s="15">
        <f>INDEX(Coefficients!$X$3:$X$4,MATCH(S132,Coefficients!$W$3:$W$4))</f>
        <v>1</v>
      </c>
      <c r="AT132" s="15">
        <f>INDEX(Coefficients!$X$7:$X$8,MATCH(O132,Coefficients!$W$7:$W$8))</f>
        <v>1</v>
      </c>
      <c r="AU132" s="15">
        <f>INDEX(Coefficients!$X$11:$X$12,MATCH(P132,Coefficients!$W$11:$W$12))</f>
        <v>1</v>
      </c>
      <c r="AV132" s="15">
        <f>INDEX(Coefficients!$X$15:$X$17,MATCH(Q132,Coefficients!$W$15:$W$17))</f>
        <v>1</v>
      </c>
      <c r="AW132" s="15">
        <f t="shared" si="88"/>
        <v>1</v>
      </c>
      <c r="AX132" s="15">
        <f t="shared" si="89"/>
        <v>1</v>
      </c>
      <c r="AY132" s="15">
        <f t="shared" si="90"/>
        <v>1.3</v>
      </c>
      <c r="AZ132" s="14">
        <f t="shared" si="91"/>
        <v>48.016620187118932</v>
      </c>
      <c r="BA132" s="14">
        <f t="shared" si="92"/>
        <v>0</v>
      </c>
      <c r="BB132" s="14">
        <f t="shared" si="93"/>
        <v>2.4968642497301845</v>
      </c>
      <c r="BC132" s="14">
        <f t="shared" si="94"/>
        <v>1.7503135750269816</v>
      </c>
      <c r="BD132" s="14">
        <f t="shared" si="97"/>
        <v>0.41652244414664685</v>
      </c>
      <c r="BE132" s="16">
        <f t="shared" si="98"/>
        <v>126.94859584655602</v>
      </c>
      <c r="BF132" s="16">
        <f t="shared" si="99"/>
        <v>146.10280830688797</v>
      </c>
      <c r="BG132" s="17">
        <f t="shared" si="100"/>
        <v>1</v>
      </c>
      <c r="BH132" s="14">
        <f t="shared" si="101"/>
        <v>279.28691086242327</v>
      </c>
      <c r="BI132" s="14">
        <f t="shared" si="102"/>
        <v>-158.57382172484654</v>
      </c>
      <c r="BJ132" s="14">
        <f t="shared" si="103"/>
        <v>34.20702403045415</v>
      </c>
    </row>
    <row r="133" spans="2:62">
      <c r="B133" s="14" t="s">
        <v>91</v>
      </c>
      <c r="C133" s="81" t="str">
        <f>MostLikely!$B$1</f>
        <v>MRI-CGCM2.3.2</v>
      </c>
      <c r="D133" s="89">
        <v>2051</v>
      </c>
      <c r="E133" s="57">
        <f>'Cooler&amp;Wetter'!AA79</f>
        <v>35.603499999999997</v>
      </c>
      <c r="F133" s="90">
        <f>MostLikely!AC79</f>
        <v>22.770643440000001</v>
      </c>
      <c r="G133" s="35">
        <f t="shared" si="84"/>
        <v>2005</v>
      </c>
      <c r="H133" s="91" t="str">
        <f t="shared" si="64"/>
        <v>Pile 32 @ Berth 201</v>
      </c>
      <c r="I133" s="35" t="str">
        <f t="shared" si="65"/>
        <v>Turpentine Gum</v>
      </c>
      <c r="J133" s="35" t="str">
        <f t="shared" si="66"/>
        <v>HW1</v>
      </c>
      <c r="K133" s="35" t="str">
        <f t="shared" si="85"/>
        <v>SPHU</v>
      </c>
      <c r="L133" s="35">
        <f t="shared" si="67"/>
        <v>400</v>
      </c>
      <c r="M133" s="35">
        <f t="shared" si="68"/>
        <v>20</v>
      </c>
      <c r="N133" s="35">
        <f t="shared" si="69"/>
        <v>200</v>
      </c>
      <c r="O133" s="35" t="str">
        <f t="shared" si="70"/>
        <v>MTN2</v>
      </c>
      <c r="P133" s="35" t="str">
        <f t="shared" si="71"/>
        <v>CNT2</v>
      </c>
      <c r="Q133" s="35" t="str">
        <f t="shared" si="72"/>
        <v>KNT3</v>
      </c>
      <c r="R133" s="35" t="str">
        <f t="shared" si="73"/>
        <v>E</v>
      </c>
      <c r="S133" s="35" t="str">
        <f t="shared" si="74"/>
        <v>EXP1</v>
      </c>
      <c r="T133" s="58"/>
      <c r="U133" s="58"/>
      <c r="V133" s="58"/>
      <c r="W133" s="58"/>
      <c r="X133" s="58"/>
      <c r="Y133" s="58"/>
      <c r="Z133" s="58"/>
      <c r="AA133" s="95">
        <f t="shared" si="52"/>
        <v>1</v>
      </c>
      <c r="AB133" s="96">
        <f t="shared" si="86"/>
        <v>129.99427909383007</v>
      </c>
      <c r="AC133" s="58"/>
      <c r="AD133" s="58"/>
      <c r="AE133" s="58"/>
      <c r="AF133" s="58"/>
      <c r="AG133" s="58"/>
      <c r="AH133" s="58"/>
      <c r="AI133" s="58"/>
      <c r="AJ133" s="58"/>
      <c r="AK133" s="58"/>
      <c r="AL133" s="58"/>
      <c r="AM133" s="89">
        <f t="shared" si="87"/>
        <v>46</v>
      </c>
      <c r="AN133" s="5">
        <f t="shared" si="95"/>
        <v>35.603499999999997</v>
      </c>
      <c r="AO133" s="14">
        <f t="shared" si="96"/>
        <v>1.9301516099425795</v>
      </c>
      <c r="AP133" s="14">
        <f>IF((OR(R133="A",R133="B",R133="C")),INDEX(Coefficients!$S$4:$S$22,MATCH(J133,Coefficients!$R$4:$R$22)),INDEX(Coefficients!$T$4:$T$22,MATCH(J133,Coefficients!$R$4:$R$22)))</f>
        <v>1.3</v>
      </c>
      <c r="AQ133" s="27">
        <f>IF((OR(R133="A",R133="B",R133="C")),INDEX(Coefficients!$S$4:$S$22,MATCH(K133,Coefficients!$R$4:$R$22)),INDEX(Coefficients!$T$4:$T$22,MATCH(K133,Coefficients!$R$4:$R$22)))</f>
        <v>25</v>
      </c>
      <c r="AR133" s="15">
        <f>IF(OR(R133="A",R133="B",R133="C",R133="D"),IF(AN133&gt;=11,IF(AN133&gt;=26,Coefficients!$M$6,Coefficients!$M$5),Coefficients!$M$4),IF(AN133&gt;=11,IF(AN133&gt;=26,Coefficients!$N$6,Coefficients!$N$5),Coefficients!$N$4))</f>
        <v>1</v>
      </c>
      <c r="AS133" s="15">
        <f>INDEX(Coefficients!$X$3:$X$4,MATCH(S133,Coefficients!$W$3:$W$4))</f>
        <v>1</v>
      </c>
      <c r="AT133" s="15">
        <f>INDEX(Coefficients!$X$7:$X$8,MATCH(O133,Coefficients!$W$7:$W$8))</f>
        <v>1</v>
      </c>
      <c r="AU133" s="15">
        <f>INDEX(Coefficients!$X$11:$X$12,MATCH(P133,Coefficients!$W$11:$W$12))</f>
        <v>1</v>
      </c>
      <c r="AV133" s="15">
        <f>INDEX(Coefficients!$X$15:$X$17,MATCH(Q133,Coefficients!$W$15:$W$17))</f>
        <v>1</v>
      </c>
      <c r="AW133" s="15">
        <f t="shared" si="88"/>
        <v>1</v>
      </c>
      <c r="AX133" s="15">
        <f t="shared" si="89"/>
        <v>1</v>
      </c>
      <c r="AY133" s="15">
        <f t="shared" si="90"/>
        <v>1.3</v>
      </c>
      <c r="AZ133" s="14">
        <f t="shared" si="91"/>
        <v>48.253790248564485</v>
      </c>
      <c r="BA133" s="14">
        <f t="shared" si="92"/>
        <v>0</v>
      </c>
      <c r="BB133" s="14">
        <f t="shared" si="93"/>
        <v>2.5091970929253535</v>
      </c>
      <c r="BC133" s="14">
        <f t="shared" si="94"/>
        <v>1.7490802907074645</v>
      </c>
      <c r="BD133" s="14">
        <f t="shared" si="97"/>
        <v>0.41447521317965247</v>
      </c>
      <c r="BE133" s="16">
        <f t="shared" si="98"/>
        <v>129.99427909383007</v>
      </c>
      <c r="BF133" s="16">
        <f t="shared" si="99"/>
        <v>140.01144181233985</v>
      </c>
      <c r="BG133" s="17">
        <f t="shared" si="100"/>
        <v>1</v>
      </c>
      <c r="BH133" s="14">
        <f t="shared" si="101"/>
        <v>285.98741400642621</v>
      </c>
      <c r="BI133" s="14">
        <f t="shared" si="102"/>
        <v>-171.97482801285241</v>
      </c>
      <c r="BJ133" s="14">
        <f t="shared" si="103"/>
        <v>34.046264210014229</v>
      </c>
    </row>
    <row r="134" spans="2:62">
      <c r="B134" s="14" t="s">
        <v>91</v>
      </c>
      <c r="C134" s="81" t="str">
        <f>MostLikely!$B$1</f>
        <v>MRI-CGCM2.3.2</v>
      </c>
      <c r="D134" s="89">
        <v>2052</v>
      </c>
      <c r="E134" s="57">
        <f>'Cooler&amp;Wetter'!AA80</f>
        <v>35.606999999999999</v>
      </c>
      <c r="F134" s="90">
        <f>MostLikely!AC80</f>
        <v>22.808544779999998</v>
      </c>
      <c r="G134" s="35">
        <f t="shared" si="84"/>
        <v>2005</v>
      </c>
      <c r="H134" s="91" t="str">
        <f t="shared" si="64"/>
        <v>Pile 32 @ Berth 201</v>
      </c>
      <c r="I134" s="35" t="str">
        <f t="shared" si="65"/>
        <v>Turpentine Gum</v>
      </c>
      <c r="J134" s="35" t="str">
        <f t="shared" si="66"/>
        <v>HW1</v>
      </c>
      <c r="K134" s="35" t="str">
        <f t="shared" si="85"/>
        <v>SPHU</v>
      </c>
      <c r="L134" s="35">
        <f t="shared" si="67"/>
        <v>400</v>
      </c>
      <c r="M134" s="35">
        <f t="shared" si="68"/>
        <v>20</v>
      </c>
      <c r="N134" s="35">
        <f t="shared" si="69"/>
        <v>200</v>
      </c>
      <c r="O134" s="35" t="str">
        <f t="shared" si="70"/>
        <v>MTN2</v>
      </c>
      <c r="P134" s="35" t="str">
        <f t="shared" si="71"/>
        <v>CNT2</v>
      </c>
      <c r="Q134" s="35" t="str">
        <f t="shared" si="72"/>
        <v>KNT3</v>
      </c>
      <c r="R134" s="35" t="str">
        <f t="shared" si="73"/>
        <v>E</v>
      </c>
      <c r="S134" s="35" t="str">
        <f t="shared" si="74"/>
        <v>EXP1</v>
      </c>
      <c r="T134" s="58"/>
      <c r="U134" s="58"/>
      <c r="V134" s="58"/>
      <c r="W134" s="58"/>
      <c r="X134" s="58"/>
      <c r="Y134" s="58"/>
      <c r="Z134" s="58"/>
      <c r="AA134" s="95">
        <f t="shared" si="52"/>
        <v>1</v>
      </c>
      <c r="AB134" s="96">
        <f t="shared" si="86"/>
        <v>133.06743038867742</v>
      </c>
      <c r="AC134" s="58"/>
      <c r="AD134" s="58"/>
      <c r="AE134" s="58"/>
      <c r="AF134" s="58"/>
      <c r="AG134" s="58"/>
      <c r="AH134" s="58"/>
      <c r="AI134" s="58"/>
      <c r="AJ134" s="58"/>
      <c r="AK134" s="58"/>
      <c r="AL134" s="58"/>
      <c r="AM134" s="89">
        <f t="shared" si="87"/>
        <v>47</v>
      </c>
      <c r="AN134" s="5">
        <f t="shared" si="95"/>
        <v>35.606999999999999</v>
      </c>
      <c r="AO134" s="14">
        <f t="shared" si="96"/>
        <v>1.9396852708738432</v>
      </c>
      <c r="AP134" s="14">
        <f>IF((OR(R134="A",R134="B",R134="C")),INDEX(Coefficients!$S$4:$S$22,MATCH(J134,Coefficients!$R$4:$R$22)),INDEX(Coefficients!$T$4:$T$22,MATCH(J134,Coefficients!$R$4:$R$22)))</f>
        <v>1.3</v>
      </c>
      <c r="AQ134" s="27">
        <f>IF((OR(R134="A",R134="B",R134="C")),INDEX(Coefficients!$S$4:$S$22,MATCH(K134,Coefficients!$R$4:$R$22)),INDEX(Coefficients!$T$4:$T$22,MATCH(K134,Coefficients!$R$4:$R$22)))</f>
        <v>25</v>
      </c>
      <c r="AR134" s="15">
        <f>IF(OR(R134="A",R134="B",R134="C",R134="D"),IF(AN134&gt;=11,IF(AN134&gt;=26,Coefficients!$M$6,Coefficients!$M$5),Coefficients!$M$4),IF(AN134&gt;=11,IF(AN134&gt;=26,Coefficients!$N$6,Coefficients!$N$5),Coefficients!$N$4))</f>
        <v>1</v>
      </c>
      <c r="AS134" s="15">
        <f>INDEX(Coefficients!$X$3:$X$4,MATCH(S134,Coefficients!$W$3:$W$4))</f>
        <v>1</v>
      </c>
      <c r="AT134" s="15">
        <f>INDEX(Coefficients!$X$7:$X$8,MATCH(O134,Coefficients!$W$7:$W$8))</f>
        <v>1</v>
      </c>
      <c r="AU134" s="15">
        <f>INDEX(Coefficients!$X$11:$X$12,MATCH(P134,Coefficients!$W$11:$W$12))</f>
        <v>1</v>
      </c>
      <c r="AV134" s="15">
        <f>INDEX(Coefficients!$X$15:$X$17,MATCH(Q134,Coefficients!$W$15:$W$17))</f>
        <v>1</v>
      </c>
      <c r="AW134" s="15">
        <f t="shared" si="88"/>
        <v>1</v>
      </c>
      <c r="AX134" s="15">
        <f t="shared" si="89"/>
        <v>1</v>
      </c>
      <c r="AY134" s="15">
        <f t="shared" si="90"/>
        <v>1.3</v>
      </c>
      <c r="AZ134" s="14">
        <f t="shared" si="91"/>
        <v>48.492131771846083</v>
      </c>
      <c r="BA134" s="14">
        <f t="shared" si="92"/>
        <v>0</v>
      </c>
      <c r="BB134" s="14">
        <f t="shared" si="93"/>
        <v>2.5215908521359962</v>
      </c>
      <c r="BC134" s="14">
        <f t="shared" si="94"/>
        <v>1.7478409147864005</v>
      </c>
      <c r="BD134" s="14">
        <f t="shared" si="97"/>
        <v>0.41243804446666432</v>
      </c>
      <c r="BE134" s="16">
        <f t="shared" si="98"/>
        <v>133.06743038867742</v>
      </c>
      <c r="BF134" s="16">
        <f t="shared" si="99"/>
        <v>133.86513922264515</v>
      </c>
      <c r="BG134" s="17">
        <f t="shared" si="100"/>
        <v>1</v>
      </c>
      <c r="BH134" s="14">
        <f t="shared" si="101"/>
        <v>292.74834685509035</v>
      </c>
      <c r="BI134" s="14">
        <f t="shared" si="102"/>
        <v>-185.49669371018069</v>
      </c>
      <c r="BJ134" s="14">
        <f t="shared" si="103"/>
        <v>33.886282379765703</v>
      </c>
    </row>
    <row r="135" spans="2:62">
      <c r="B135" s="14" t="s">
        <v>91</v>
      </c>
      <c r="C135" s="81" t="str">
        <f>MostLikely!$B$1</f>
        <v>MRI-CGCM2.3.2</v>
      </c>
      <c r="D135" s="89">
        <v>2053</v>
      </c>
      <c r="E135" s="57">
        <f>'Cooler&amp;Wetter'!AA81</f>
        <v>35.610500000000002</v>
      </c>
      <c r="F135" s="90">
        <f>MostLikely!AC81</f>
        <v>22.84644612</v>
      </c>
      <c r="G135" s="35">
        <f t="shared" si="84"/>
        <v>2005</v>
      </c>
      <c r="H135" s="91" t="str">
        <f t="shared" si="64"/>
        <v>Pile 32 @ Berth 201</v>
      </c>
      <c r="I135" s="35" t="str">
        <f t="shared" si="65"/>
        <v>Turpentine Gum</v>
      </c>
      <c r="J135" s="35" t="str">
        <f t="shared" si="66"/>
        <v>HW1</v>
      </c>
      <c r="K135" s="35" t="str">
        <f t="shared" si="85"/>
        <v>SPHU</v>
      </c>
      <c r="L135" s="35">
        <f t="shared" si="67"/>
        <v>400</v>
      </c>
      <c r="M135" s="35">
        <f t="shared" si="68"/>
        <v>20</v>
      </c>
      <c r="N135" s="35">
        <f t="shared" si="69"/>
        <v>200</v>
      </c>
      <c r="O135" s="35" t="str">
        <f t="shared" si="70"/>
        <v>MTN2</v>
      </c>
      <c r="P135" s="35" t="str">
        <f t="shared" si="71"/>
        <v>CNT2</v>
      </c>
      <c r="Q135" s="35" t="str">
        <f t="shared" si="72"/>
        <v>KNT3</v>
      </c>
      <c r="R135" s="35" t="str">
        <f t="shared" si="73"/>
        <v>E</v>
      </c>
      <c r="S135" s="35" t="str">
        <f t="shared" si="74"/>
        <v>EXP1</v>
      </c>
      <c r="T135" s="58"/>
      <c r="U135" s="58"/>
      <c r="V135" s="58"/>
      <c r="W135" s="58"/>
      <c r="X135" s="58"/>
      <c r="Y135" s="58"/>
      <c r="Z135" s="58"/>
      <c r="AA135" s="95">
        <f t="shared" si="52"/>
        <v>1</v>
      </c>
      <c r="AB135" s="96">
        <f t="shared" si="86"/>
        <v>136.16824692530824</v>
      </c>
      <c r="AC135" s="58"/>
      <c r="AD135" s="58"/>
      <c r="AE135" s="58"/>
      <c r="AF135" s="58"/>
      <c r="AG135" s="58"/>
      <c r="AH135" s="58"/>
      <c r="AI135" s="58"/>
      <c r="AJ135" s="58"/>
      <c r="AK135" s="58"/>
      <c r="AL135" s="58"/>
      <c r="AM135" s="89">
        <f t="shared" si="87"/>
        <v>48</v>
      </c>
      <c r="AN135" s="5">
        <f t="shared" si="95"/>
        <v>35.610500000000002</v>
      </c>
      <c r="AO135" s="14">
        <f t="shared" si="96"/>
        <v>1.9492660217281412</v>
      </c>
      <c r="AP135" s="14">
        <f>IF((OR(R135="A",R135="B",R135="C")),INDEX(Coefficients!$S$4:$S$22,MATCH(J135,Coefficients!$R$4:$R$22)),INDEX(Coefficients!$T$4:$T$22,MATCH(J135,Coefficients!$R$4:$R$22)))</f>
        <v>1.3</v>
      </c>
      <c r="AQ135" s="27">
        <f>IF((OR(R135="A",R135="B",R135="C")),INDEX(Coefficients!$S$4:$S$22,MATCH(K135,Coefficients!$R$4:$R$22)),INDEX(Coefficients!$T$4:$T$22,MATCH(K135,Coefficients!$R$4:$R$22)))</f>
        <v>25</v>
      </c>
      <c r="AR135" s="15">
        <f>IF(OR(R135="A",R135="B",R135="C",R135="D"),IF(AN135&gt;=11,IF(AN135&gt;=26,Coefficients!$M$6,Coefficients!$M$5),Coefficients!$M$4),IF(AN135&gt;=11,IF(AN135&gt;=26,Coefficients!$N$6,Coefficients!$N$5),Coefficients!$N$4))</f>
        <v>1</v>
      </c>
      <c r="AS135" s="15">
        <f>INDEX(Coefficients!$X$3:$X$4,MATCH(S135,Coefficients!$W$3:$W$4))</f>
        <v>1</v>
      </c>
      <c r="AT135" s="15">
        <f>INDEX(Coefficients!$X$7:$X$8,MATCH(O135,Coefficients!$W$7:$W$8))</f>
        <v>1</v>
      </c>
      <c r="AU135" s="15">
        <f>INDEX(Coefficients!$X$11:$X$12,MATCH(P135,Coefficients!$W$11:$W$12))</f>
        <v>1</v>
      </c>
      <c r="AV135" s="15">
        <f>INDEX(Coefficients!$X$15:$X$17,MATCH(Q135,Coefficients!$W$15:$W$17))</f>
        <v>1</v>
      </c>
      <c r="AW135" s="15">
        <f t="shared" si="88"/>
        <v>1</v>
      </c>
      <c r="AX135" s="15">
        <f t="shared" si="89"/>
        <v>1</v>
      </c>
      <c r="AY135" s="15">
        <f t="shared" si="90"/>
        <v>1.3</v>
      </c>
      <c r="AZ135" s="14">
        <f t="shared" si="91"/>
        <v>48.731650543203529</v>
      </c>
      <c r="BA135" s="14">
        <f t="shared" si="92"/>
        <v>0</v>
      </c>
      <c r="BB135" s="14">
        <f t="shared" si="93"/>
        <v>2.5340458282465836</v>
      </c>
      <c r="BC135" s="14">
        <f t="shared" si="94"/>
        <v>1.7465954171753415</v>
      </c>
      <c r="BD135" s="14">
        <f t="shared" si="97"/>
        <v>0.41041088855114399</v>
      </c>
      <c r="BE135" s="16">
        <f t="shared" si="98"/>
        <v>136.16824692530824</v>
      </c>
      <c r="BF135" s="16">
        <f t="shared" si="99"/>
        <v>127.66350614938352</v>
      </c>
      <c r="BG135" s="17">
        <f t="shared" si="100"/>
        <v>1</v>
      </c>
      <c r="BH135" s="14">
        <f t="shared" si="101"/>
        <v>299.57014323567813</v>
      </c>
      <c r="BI135" s="14">
        <f t="shared" si="102"/>
        <v>-199.14028647135626</v>
      </c>
      <c r="BJ135" s="14">
        <f t="shared" si="103"/>
        <v>33.727074655814484</v>
      </c>
    </row>
    <row r="136" spans="2:62">
      <c r="B136" s="14" t="s">
        <v>91</v>
      </c>
      <c r="C136" s="81" t="str">
        <f>MostLikely!$B$1</f>
        <v>MRI-CGCM2.3.2</v>
      </c>
      <c r="D136" s="89">
        <v>2054</v>
      </c>
      <c r="E136" s="57">
        <f>'Cooler&amp;Wetter'!AA82</f>
        <v>35.613999999999997</v>
      </c>
      <c r="F136" s="90">
        <f>MostLikely!AC82</f>
        <v>22.884347460000001</v>
      </c>
      <c r="G136" s="35">
        <f t="shared" si="84"/>
        <v>2005</v>
      </c>
      <c r="H136" s="91" t="str">
        <f t="shared" si="64"/>
        <v>Pile 32 @ Berth 201</v>
      </c>
      <c r="I136" s="35" t="str">
        <f t="shared" si="65"/>
        <v>Turpentine Gum</v>
      </c>
      <c r="J136" s="35" t="str">
        <f t="shared" si="66"/>
        <v>HW1</v>
      </c>
      <c r="K136" s="35" t="str">
        <f t="shared" si="85"/>
        <v>SPHU</v>
      </c>
      <c r="L136" s="35">
        <f t="shared" si="67"/>
        <v>400</v>
      </c>
      <c r="M136" s="35">
        <f t="shared" si="68"/>
        <v>20</v>
      </c>
      <c r="N136" s="35">
        <f t="shared" si="69"/>
        <v>200</v>
      </c>
      <c r="O136" s="35" t="str">
        <f t="shared" si="70"/>
        <v>MTN2</v>
      </c>
      <c r="P136" s="35" t="str">
        <f t="shared" si="71"/>
        <v>CNT2</v>
      </c>
      <c r="Q136" s="35" t="str">
        <f t="shared" si="72"/>
        <v>KNT3</v>
      </c>
      <c r="R136" s="35" t="str">
        <f t="shared" si="73"/>
        <v>E</v>
      </c>
      <c r="S136" s="35" t="str">
        <f t="shared" si="74"/>
        <v>EXP1</v>
      </c>
      <c r="T136" s="58"/>
      <c r="U136" s="58"/>
      <c r="V136" s="58"/>
      <c r="W136" s="58"/>
      <c r="X136" s="58"/>
      <c r="Y136" s="58"/>
      <c r="Z136" s="58"/>
      <c r="AA136" s="95">
        <f t="shared" si="52"/>
        <v>1</v>
      </c>
      <c r="AB136" s="96">
        <f t="shared" si="86"/>
        <v>139.29692717731609</v>
      </c>
      <c r="AC136" s="58"/>
      <c r="AD136" s="58"/>
      <c r="AE136" s="58"/>
      <c r="AF136" s="58"/>
      <c r="AG136" s="58"/>
      <c r="AH136" s="58"/>
      <c r="AI136" s="58"/>
      <c r="AJ136" s="58"/>
      <c r="AK136" s="58"/>
      <c r="AL136" s="58"/>
      <c r="AM136" s="89">
        <f t="shared" si="87"/>
        <v>49</v>
      </c>
      <c r="AN136" s="5">
        <f t="shared" si="95"/>
        <v>35.613999999999997</v>
      </c>
      <c r="AO136" s="14">
        <f t="shared" si="96"/>
        <v>1.9588940950982658</v>
      </c>
      <c r="AP136" s="14">
        <f>IF((OR(R136="A",R136="B",R136="C")),INDEX(Coefficients!$S$4:$S$22,MATCH(J136,Coefficients!$R$4:$R$22)),INDEX(Coefficients!$T$4:$T$22,MATCH(J136,Coefficients!$R$4:$R$22)))</f>
        <v>1.3</v>
      </c>
      <c r="AQ136" s="27">
        <f>IF((OR(R136="A",R136="B",R136="C")),INDEX(Coefficients!$S$4:$S$22,MATCH(K136,Coefficients!$R$4:$R$22)),INDEX(Coefficients!$T$4:$T$22,MATCH(K136,Coefficients!$R$4:$R$22)))</f>
        <v>25</v>
      </c>
      <c r="AR136" s="15">
        <f>IF(OR(R136="A",R136="B",R136="C",R136="D"),IF(AN136&gt;=11,IF(AN136&gt;=26,Coefficients!$M$6,Coefficients!$M$5),Coefficients!$M$4),IF(AN136&gt;=11,IF(AN136&gt;=26,Coefficients!$N$6,Coefficients!$N$5),Coefficients!$N$4))</f>
        <v>1</v>
      </c>
      <c r="AS136" s="15">
        <f>INDEX(Coefficients!$X$3:$X$4,MATCH(S136,Coefficients!$W$3:$W$4))</f>
        <v>1</v>
      </c>
      <c r="AT136" s="15">
        <f>INDEX(Coefficients!$X$7:$X$8,MATCH(O136,Coefficients!$W$7:$W$8))</f>
        <v>1</v>
      </c>
      <c r="AU136" s="15">
        <f>INDEX(Coefficients!$X$11:$X$12,MATCH(P136,Coefficients!$W$11:$W$12))</f>
        <v>1</v>
      </c>
      <c r="AV136" s="15">
        <f>INDEX(Coefficients!$X$15:$X$17,MATCH(Q136,Coefficients!$W$15:$W$17))</f>
        <v>1</v>
      </c>
      <c r="AW136" s="15">
        <f t="shared" si="88"/>
        <v>1</v>
      </c>
      <c r="AX136" s="15">
        <f t="shared" si="89"/>
        <v>1</v>
      </c>
      <c r="AY136" s="15">
        <f t="shared" si="90"/>
        <v>1.3</v>
      </c>
      <c r="AZ136" s="14">
        <f t="shared" si="91"/>
        <v>48.972352377456644</v>
      </c>
      <c r="BA136" s="14">
        <f t="shared" si="92"/>
        <v>0</v>
      </c>
      <c r="BB136" s="14">
        <f t="shared" si="93"/>
        <v>2.5465623236277457</v>
      </c>
      <c r="BC136" s="14">
        <f t="shared" si="94"/>
        <v>1.7453437676372254</v>
      </c>
      <c r="BD136" s="14">
        <f t="shared" si="97"/>
        <v>0.40839369621963606</v>
      </c>
      <c r="BE136" s="16">
        <f t="shared" si="98"/>
        <v>139.29692717731609</v>
      </c>
      <c r="BF136" s="16">
        <f t="shared" si="99"/>
        <v>121.40614564536781</v>
      </c>
      <c r="BG136" s="17">
        <f t="shared" si="100"/>
        <v>1</v>
      </c>
      <c r="BH136" s="14">
        <f t="shared" si="101"/>
        <v>306.45323979009544</v>
      </c>
      <c r="BI136" s="14">
        <f t="shared" si="102"/>
        <v>-212.90647958019088</v>
      </c>
      <c r="BJ136" s="14">
        <f t="shared" si="103"/>
        <v>33.568637173059635</v>
      </c>
    </row>
    <row r="137" spans="2:62">
      <c r="B137" s="14" t="s">
        <v>91</v>
      </c>
      <c r="C137" s="81" t="str">
        <f>MostLikely!$B$1</f>
        <v>MRI-CGCM2.3.2</v>
      </c>
      <c r="D137" s="89">
        <v>2055</v>
      </c>
      <c r="E137" s="57">
        <f>'Cooler&amp;Wetter'!AA83</f>
        <v>35.6175</v>
      </c>
      <c r="F137" s="90">
        <f>MostLikely!AC83</f>
        <v>22.922248799999998</v>
      </c>
      <c r="G137" s="35">
        <f t="shared" si="84"/>
        <v>2005</v>
      </c>
      <c r="H137" s="91" t="str">
        <f t="shared" si="64"/>
        <v>Pile 32 @ Berth 201</v>
      </c>
      <c r="I137" s="35" t="str">
        <f t="shared" si="65"/>
        <v>Turpentine Gum</v>
      </c>
      <c r="J137" s="35" t="str">
        <f t="shared" si="66"/>
        <v>HW1</v>
      </c>
      <c r="K137" s="35" t="str">
        <f t="shared" si="85"/>
        <v>SPHU</v>
      </c>
      <c r="L137" s="35">
        <f t="shared" si="67"/>
        <v>400</v>
      </c>
      <c r="M137" s="35">
        <f t="shared" si="68"/>
        <v>20</v>
      </c>
      <c r="N137" s="35">
        <f t="shared" si="69"/>
        <v>200</v>
      </c>
      <c r="O137" s="35" t="str">
        <f t="shared" si="70"/>
        <v>MTN2</v>
      </c>
      <c r="P137" s="35" t="str">
        <f t="shared" si="71"/>
        <v>CNT2</v>
      </c>
      <c r="Q137" s="35" t="str">
        <f t="shared" si="72"/>
        <v>KNT3</v>
      </c>
      <c r="R137" s="35" t="str">
        <f t="shared" si="73"/>
        <v>E</v>
      </c>
      <c r="S137" s="35" t="str">
        <f t="shared" si="74"/>
        <v>EXP1</v>
      </c>
      <c r="T137" s="58"/>
      <c r="U137" s="58"/>
      <c r="V137" s="58"/>
      <c r="W137" s="58"/>
      <c r="X137" s="58"/>
      <c r="Y137" s="58"/>
      <c r="Z137" s="58"/>
      <c r="AA137" s="95">
        <f t="shared" si="52"/>
        <v>1</v>
      </c>
      <c r="AB137" s="96">
        <f t="shared" si="86"/>
        <v>142.45367090552122</v>
      </c>
      <c r="AC137" s="58"/>
      <c r="AD137" s="58"/>
      <c r="AE137" s="58"/>
      <c r="AF137" s="58"/>
      <c r="AG137" s="58"/>
      <c r="AH137" s="58"/>
      <c r="AI137" s="58"/>
      <c r="AJ137" s="58"/>
      <c r="AK137" s="58"/>
      <c r="AL137" s="58"/>
      <c r="AM137" s="89">
        <f t="shared" si="87"/>
        <v>50</v>
      </c>
      <c r="AN137" s="5">
        <f t="shared" si="95"/>
        <v>35.6175</v>
      </c>
      <c r="AO137" s="14">
        <f t="shared" si="96"/>
        <v>1.9685697247258667</v>
      </c>
      <c r="AP137" s="14">
        <f>IF((OR(R137="A",R137="B",R137="C")),INDEX(Coefficients!$S$4:$S$22,MATCH(J137,Coefficients!$R$4:$R$22)),INDEX(Coefficients!$T$4:$T$22,MATCH(J137,Coefficients!$R$4:$R$22)))</f>
        <v>1.3</v>
      </c>
      <c r="AQ137" s="27">
        <f>IF((OR(R137="A",R137="B",R137="C")),INDEX(Coefficients!$S$4:$S$22,MATCH(K137,Coefficients!$R$4:$R$22)),INDEX(Coefficients!$T$4:$T$22,MATCH(K137,Coefficients!$R$4:$R$22)))</f>
        <v>25</v>
      </c>
      <c r="AR137" s="15">
        <f>IF(OR(R137="A",R137="B",R137="C",R137="D"),IF(AN137&gt;=11,IF(AN137&gt;=26,Coefficients!$M$6,Coefficients!$M$5),Coefficients!$M$4),IF(AN137&gt;=11,IF(AN137&gt;=26,Coefficients!$N$6,Coefficients!$N$5),Coefficients!$N$4))</f>
        <v>1</v>
      </c>
      <c r="AS137" s="15">
        <f>INDEX(Coefficients!$X$3:$X$4,MATCH(S137,Coefficients!$W$3:$W$4))</f>
        <v>1</v>
      </c>
      <c r="AT137" s="15">
        <f>INDEX(Coefficients!$X$7:$X$8,MATCH(O137,Coefficients!$W$7:$W$8))</f>
        <v>1</v>
      </c>
      <c r="AU137" s="15">
        <f>INDEX(Coefficients!$X$11:$X$12,MATCH(P137,Coefficients!$W$11:$W$12))</f>
        <v>1</v>
      </c>
      <c r="AV137" s="15">
        <f>INDEX(Coefficients!$X$15:$X$17,MATCH(Q137,Coefficients!$W$15:$W$17))</f>
        <v>1</v>
      </c>
      <c r="AW137" s="15">
        <f t="shared" si="88"/>
        <v>1</v>
      </c>
      <c r="AX137" s="15">
        <f t="shared" si="89"/>
        <v>1</v>
      </c>
      <c r="AY137" s="15">
        <f t="shared" si="90"/>
        <v>1.3</v>
      </c>
      <c r="AZ137" s="14">
        <f t="shared" si="91"/>
        <v>49.214243118146669</v>
      </c>
      <c r="BA137" s="14">
        <f t="shared" si="92"/>
        <v>0</v>
      </c>
      <c r="BB137" s="14">
        <f t="shared" si="93"/>
        <v>2.5591406421436269</v>
      </c>
      <c r="BC137" s="14">
        <f t="shared" si="94"/>
        <v>1.7440859357856373</v>
      </c>
      <c r="BD137" s="14">
        <f t="shared" si="97"/>
        <v>0.40638641850057106</v>
      </c>
      <c r="BE137" s="16">
        <f t="shared" si="98"/>
        <v>142.45367090552122</v>
      </c>
      <c r="BF137" s="16">
        <f t="shared" si="99"/>
        <v>115.09265818895756</v>
      </c>
      <c r="BG137" s="17">
        <f t="shared" si="100"/>
        <v>1</v>
      </c>
      <c r="BH137" s="14">
        <f t="shared" si="101"/>
        <v>313.39807599214669</v>
      </c>
      <c r="BI137" s="14">
        <f t="shared" si="102"/>
        <v>-226.79615198429337</v>
      </c>
      <c r="BJ137" s="14">
        <f t="shared" si="103"/>
        <v>33.410966085099361</v>
      </c>
    </row>
    <row r="138" spans="2:62">
      <c r="B138" s="14" t="s">
        <v>91</v>
      </c>
      <c r="C138" s="81" t="str">
        <f>MostLikely!$B$1</f>
        <v>MRI-CGCM2.3.2</v>
      </c>
      <c r="D138" s="89">
        <v>2056</v>
      </c>
      <c r="E138" s="57">
        <f>'Cooler&amp;Wetter'!AA84</f>
        <v>35.621000000000002</v>
      </c>
      <c r="F138" s="90">
        <f>MostLikely!AC84</f>
        <v>22.96015014</v>
      </c>
      <c r="G138" s="35">
        <f t="shared" si="84"/>
        <v>2005</v>
      </c>
      <c r="H138" s="91" t="str">
        <f t="shared" si="64"/>
        <v>Pile 32 @ Berth 201</v>
      </c>
      <c r="I138" s="35" t="str">
        <f t="shared" si="65"/>
        <v>Turpentine Gum</v>
      </c>
      <c r="J138" s="35" t="str">
        <f t="shared" si="66"/>
        <v>HW1</v>
      </c>
      <c r="K138" s="35" t="str">
        <f t="shared" si="85"/>
        <v>SPHU</v>
      </c>
      <c r="L138" s="35">
        <f t="shared" si="67"/>
        <v>400</v>
      </c>
      <c r="M138" s="35">
        <f t="shared" si="68"/>
        <v>20</v>
      </c>
      <c r="N138" s="35">
        <f t="shared" si="69"/>
        <v>200</v>
      </c>
      <c r="O138" s="35" t="str">
        <f t="shared" si="70"/>
        <v>MTN2</v>
      </c>
      <c r="P138" s="35" t="str">
        <f t="shared" si="71"/>
        <v>CNT2</v>
      </c>
      <c r="Q138" s="35" t="str">
        <f t="shared" si="72"/>
        <v>KNT3</v>
      </c>
      <c r="R138" s="35" t="str">
        <f t="shared" si="73"/>
        <v>E</v>
      </c>
      <c r="S138" s="35" t="str">
        <f t="shared" si="74"/>
        <v>EXP1</v>
      </c>
      <c r="T138" s="58"/>
      <c r="U138" s="58"/>
      <c r="V138" s="58"/>
      <c r="W138" s="58"/>
      <c r="X138" s="58"/>
      <c r="Y138" s="58"/>
      <c r="Z138" s="58"/>
      <c r="AA138" s="95">
        <f t="shared" si="52"/>
        <v>1</v>
      </c>
      <c r="AB138" s="96">
        <f t="shared" si="86"/>
        <v>145.63867916585943</v>
      </c>
      <c r="AC138" s="58"/>
      <c r="AD138" s="58"/>
      <c r="AE138" s="58"/>
      <c r="AF138" s="58"/>
      <c r="AG138" s="58"/>
      <c r="AH138" s="58"/>
      <c r="AI138" s="58"/>
      <c r="AJ138" s="58"/>
      <c r="AK138" s="58"/>
      <c r="AL138" s="58"/>
      <c r="AM138" s="89">
        <f t="shared" si="87"/>
        <v>51</v>
      </c>
      <c r="AN138" s="5">
        <f t="shared" si="95"/>
        <v>35.621000000000002</v>
      </c>
      <c r="AO138" s="14">
        <f t="shared" si="96"/>
        <v>1.9782931455071227</v>
      </c>
      <c r="AP138" s="14">
        <f>IF((OR(R138="A",R138="B",R138="C")),INDEX(Coefficients!$S$4:$S$22,MATCH(J138,Coefficients!$R$4:$R$22)),INDEX(Coefficients!$T$4:$T$22,MATCH(J138,Coefficients!$R$4:$R$22)))</f>
        <v>1.3</v>
      </c>
      <c r="AQ138" s="27">
        <f>IF((OR(R138="A",R138="B",R138="C")),INDEX(Coefficients!$S$4:$S$22,MATCH(K138,Coefficients!$R$4:$R$22)),INDEX(Coefficients!$T$4:$T$22,MATCH(K138,Coefficients!$R$4:$R$22)))</f>
        <v>25</v>
      </c>
      <c r="AR138" s="15">
        <f>IF(OR(R138="A",R138="B",R138="C",R138="D"),IF(AN138&gt;=11,IF(AN138&gt;=26,Coefficients!$M$6,Coefficients!$M$5),Coefficients!$M$4),IF(AN138&gt;=11,IF(AN138&gt;=26,Coefficients!$N$6,Coefficients!$N$5),Coefficients!$N$4))</f>
        <v>1</v>
      </c>
      <c r="AS138" s="15">
        <f>INDEX(Coefficients!$X$3:$X$4,MATCH(S138,Coefficients!$W$3:$W$4))</f>
        <v>1</v>
      </c>
      <c r="AT138" s="15">
        <f>INDEX(Coefficients!$X$7:$X$8,MATCH(O138,Coefficients!$W$7:$W$8))</f>
        <v>1</v>
      </c>
      <c r="AU138" s="15">
        <f>INDEX(Coefficients!$X$11:$X$12,MATCH(P138,Coefficients!$W$11:$W$12))</f>
        <v>1</v>
      </c>
      <c r="AV138" s="15">
        <f>INDEX(Coefficients!$X$15:$X$17,MATCH(Q138,Coefficients!$W$15:$W$17))</f>
        <v>1</v>
      </c>
      <c r="AW138" s="15">
        <f t="shared" si="88"/>
        <v>1</v>
      </c>
      <c r="AX138" s="15">
        <f t="shared" si="89"/>
        <v>1</v>
      </c>
      <c r="AY138" s="15">
        <f t="shared" si="90"/>
        <v>1.3</v>
      </c>
      <c r="AZ138" s="14">
        <f t="shared" si="91"/>
        <v>49.457328637678067</v>
      </c>
      <c r="BA138" s="14">
        <f t="shared" si="92"/>
        <v>0</v>
      </c>
      <c r="BB138" s="14">
        <f t="shared" si="93"/>
        <v>2.5717810891592596</v>
      </c>
      <c r="BC138" s="14">
        <f t="shared" si="94"/>
        <v>1.742821891084074</v>
      </c>
      <c r="BD138" s="14">
        <f t="shared" si="97"/>
        <v>0.40438900666307731</v>
      </c>
      <c r="BE138" s="16">
        <f t="shared" si="98"/>
        <v>145.63867916585943</v>
      </c>
      <c r="BF138" s="16">
        <f t="shared" si="99"/>
        <v>108.72264166828114</v>
      </c>
      <c r="BG138" s="17">
        <f t="shared" si="100"/>
        <v>1</v>
      </c>
      <c r="BH138" s="14">
        <f t="shared" si="101"/>
        <v>320.40509416489078</v>
      </c>
      <c r="BI138" s="14">
        <f t="shared" si="102"/>
        <v>-240.81018832978157</v>
      </c>
      <c r="BJ138" s="14">
        <f t="shared" si="103"/>
        <v>33.25405756413771</v>
      </c>
    </row>
    <row r="139" spans="2:62">
      <c r="B139" s="14" t="s">
        <v>91</v>
      </c>
      <c r="C139" s="81" t="str">
        <f>MostLikely!$B$1</f>
        <v>MRI-CGCM2.3.2</v>
      </c>
      <c r="D139" s="89">
        <v>2057</v>
      </c>
      <c r="E139" s="57">
        <f>'Cooler&amp;Wetter'!AA85</f>
        <v>35.624499999999998</v>
      </c>
      <c r="F139" s="90">
        <f>MostLikely!AC85</f>
        <v>22.998051479999997</v>
      </c>
      <c r="G139" s="35">
        <f t="shared" si="84"/>
        <v>2005</v>
      </c>
      <c r="H139" s="91" t="str">
        <f t="shared" si="64"/>
        <v>Pile 32 @ Berth 201</v>
      </c>
      <c r="I139" s="35" t="str">
        <f t="shared" si="65"/>
        <v>Turpentine Gum</v>
      </c>
      <c r="J139" s="35" t="str">
        <f t="shared" si="66"/>
        <v>HW1</v>
      </c>
      <c r="K139" s="35" t="str">
        <f t="shared" si="85"/>
        <v>SPHU</v>
      </c>
      <c r="L139" s="35">
        <f t="shared" si="67"/>
        <v>400</v>
      </c>
      <c r="M139" s="35">
        <f t="shared" si="68"/>
        <v>20</v>
      </c>
      <c r="N139" s="35">
        <f t="shared" si="69"/>
        <v>200</v>
      </c>
      <c r="O139" s="35" t="str">
        <f t="shared" si="70"/>
        <v>MTN2</v>
      </c>
      <c r="P139" s="35" t="str">
        <f t="shared" si="71"/>
        <v>CNT2</v>
      </c>
      <c r="Q139" s="35" t="str">
        <f t="shared" si="72"/>
        <v>KNT3</v>
      </c>
      <c r="R139" s="35" t="str">
        <f t="shared" si="73"/>
        <v>E</v>
      </c>
      <c r="S139" s="35" t="str">
        <f t="shared" si="74"/>
        <v>EXP1</v>
      </c>
      <c r="T139" s="58"/>
      <c r="U139" s="58"/>
      <c r="V139" s="58"/>
      <c r="W139" s="58"/>
      <c r="X139" s="58"/>
      <c r="Y139" s="58"/>
      <c r="Z139" s="58"/>
      <c r="AA139" s="95">
        <f t="shared" ref="AA139:AA202" si="104">BG139</f>
        <v>1</v>
      </c>
      <c r="AB139" s="96">
        <f t="shared" si="86"/>
        <v>148.85215431731734</v>
      </c>
      <c r="AC139" s="58"/>
      <c r="AD139" s="58"/>
      <c r="AE139" s="58"/>
      <c r="AF139" s="58"/>
      <c r="AG139" s="58"/>
      <c r="AH139" s="58"/>
      <c r="AI139" s="58"/>
      <c r="AJ139" s="58"/>
      <c r="AK139" s="58"/>
      <c r="AL139" s="58"/>
      <c r="AM139" s="89">
        <f t="shared" si="87"/>
        <v>52</v>
      </c>
      <c r="AN139" s="5">
        <f t="shared" si="95"/>
        <v>35.624499999999998</v>
      </c>
      <c r="AO139" s="14">
        <f t="shared" si="96"/>
        <v>1.9880645934984384</v>
      </c>
      <c r="AP139" s="14">
        <f>IF((OR(R139="A",R139="B",R139="C")),INDEX(Coefficients!$S$4:$S$22,MATCH(J139,Coefficients!$R$4:$R$22)),INDEX(Coefficients!$T$4:$T$22,MATCH(J139,Coefficients!$R$4:$R$22)))</f>
        <v>1.3</v>
      </c>
      <c r="AQ139" s="27">
        <f>IF((OR(R139="A",R139="B",R139="C")),INDEX(Coefficients!$S$4:$S$22,MATCH(K139,Coefficients!$R$4:$R$22)),INDEX(Coefficients!$T$4:$T$22,MATCH(K139,Coefficients!$R$4:$R$22)))</f>
        <v>25</v>
      </c>
      <c r="AR139" s="15">
        <f>IF(OR(R139="A",R139="B",R139="C",R139="D"),IF(AN139&gt;=11,IF(AN139&gt;=26,Coefficients!$M$6,Coefficients!$M$5),Coefficients!$M$4),IF(AN139&gt;=11,IF(AN139&gt;=26,Coefficients!$N$6,Coefficients!$N$5),Coefficients!$N$4))</f>
        <v>1</v>
      </c>
      <c r="AS139" s="15">
        <f>INDEX(Coefficients!$X$3:$X$4,MATCH(S139,Coefficients!$W$3:$W$4))</f>
        <v>1</v>
      </c>
      <c r="AT139" s="15">
        <f>INDEX(Coefficients!$X$7:$X$8,MATCH(O139,Coefficients!$W$7:$W$8))</f>
        <v>1</v>
      </c>
      <c r="AU139" s="15">
        <f>INDEX(Coefficients!$X$11:$X$12,MATCH(P139,Coefficients!$W$11:$W$12))</f>
        <v>1</v>
      </c>
      <c r="AV139" s="15">
        <f>INDEX(Coefficients!$X$15:$X$17,MATCH(Q139,Coefficients!$W$15:$W$17))</f>
        <v>1</v>
      </c>
      <c r="AW139" s="15">
        <f t="shared" si="88"/>
        <v>1</v>
      </c>
      <c r="AX139" s="15">
        <f t="shared" si="89"/>
        <v>1</v>
      </c>
      <c r="AY139" s="15">
        <f t="shared" si="90"/>
        <v>1.3</v>
      </c>
      <c r="AZ139" s="14">
        <f t="shared" si="91"/>
        <v>49.701614837460959</v>
      </c>
      <c r="BA139" s="14">
        <f t="shared" si="92"/>
        <v>0</v>
      </c>
      <c r="BB139" s="14">
        <f t="shared" si="93"/>
        <v>2.5844839715479702</v>
      </c>
      <c r="BC139" s="14">
        <f t="shared" si="94"/>
        <v>1.7415516028452029</v>
      </c>
      <c r="BD139" s="14">
        <f t="shared" si="97"/>
        <v>0.402401412215799</v>
      </c>
      <c r="BE139" s="16">
        <f t="shared" si="98"/>
        <v>148.85215431731734</v>
      </c>
      <c r="BF139" s="16">
        <f t="shared" si="99"/>
        <v>102.29569136536531</v>
      </c>
      <c r="BG139" s="17">
        <f t="shared" si="100"/>
        <v>1</v>
      </c>
      <c r="BH139" s="14">
        <f t="shared" si="101"/>
        <v>327.47473949809819</v>
      </c>
      <c r="BI139" s="14">
        <f t="shared" si="102"/>
        <v>-254.94947899619638</v>
      </c>
      <c r="BJ139" s="14">
        <f t="shared" si="103"/>
        <v>33.09790780089169</v>
      </c>
    </row>
    <row r="140" spans="2:62">
      <c r="B140" s="14" t="s">
        <v>91</v>
      </c>
      <c r="C140" s="81" t="str">
        <f>MostLikely!$B$1</f>
        <v>MRI-CGCM2.3.2</v>
      </c>
      <c r="D140" s="89">
        <v>2058</v>
      </c>
      <c r="E140" s="57">
        <f>'Cooler&amp;Wetter'!AA86</f>
        <v>35.628</v>
      </c>
      <c r="F140" s="90">
        <f>MostLikely!AC86</f>
        <v>23.035952819999999</v>
      </c>
      <c r="G140" s="35">
        <f t="shared" si="84"/>
        <v>2005</v>
      </c>
      <c r="H140" s="91" t="str">
        <f t="shared" ref="H140:H152" si="105">$H$10</f>
        <v>Pile 32 @ Berth 201</v>
      </c>
      <c r="I140" s="35" t="str">
        <f t="shared" ref="I140:I152" si="106">$I$10</f>
        <v>Turpentine Gum</v>
      </c>
      <c r="J140" s="35" t="str">
        <f t="shared" ref="J140:J152" si="107">$J$10</f>
        <v>HW1</v>
      </c>
      <c r="K140" s="35" t="str">
        <f t="shared" si="85"/>
        <v>SPHU</v>
      </c>
      <c r="L140" s="35">
        <f t="shared" ref="L140:L152" si="108">$L$10</f>
        <v>400</v>
      </c>
      <c r="M140" s="35">
        <f t="shared" ref="M140:M152" si="109">$M$10</f>
        <v>20</v>
      </c>
      <c r="N140" s="35">
        <f t="shared" ref="N140:N152" si="110">$N$10</f>
        <v>200</v>
      </c>
      <c r="O140" s="35" t="str">
        <f t="shared" ref="O140:O152" si="111">$O$10</f>
        <v>MTN2</v>
      </c>
      <c r="P140" s="35" t="str">
        <f t="shared" ref="P140:P152" si="112">$P$10</f>
        <v>CNT2</v>
      </c>
      <c r="Q140" s="35" t="str">
        <f t="shared" ref="Q140:Q152" si="113">$Q$10</f>
        <v>KNT3</v>
      </c>
      <c r="R140" s="35" t="str">
        <f t="shared" ref="R140:R152" si="114">$R$10</f>
        <v>E</v>
      </c>
      <c r="S140" s="35" t="str">
        <f t="shared" ref="S140:S152" si="115">$S$10</f>
        <v>EXP1</v>
      </c>
      <c r="T140" s="58"/>
      <c r="U140" s="58"/>
      <c r="V140" s="58"/>
      <c r="W140" s="58"/>
      <c r="X140" s="58"/>
      <c r="Y140" s="58"/>
      <c r="Z140" s="58"/>
      <c r="AA140" s="95">
        <f t="shared" si="104"/>
        <v>1</v>
      </c>
      <c r="AB140" s="96">
        <f t="shared" si="86"/>
        <v>152.0943000299155</v>
      </c>
      <c r="AC140" s="58"/>
      <c r="AD140" s="58"/>
      <c r="AE140" s="58"/>
      <c r="AF140" s="58"/>
      <c r="AG140" s="58"/>
      <c r="AH140" s="58"/>
      <c r="AI140" s="58"/>
      <c r="AJ140" s="58"/>
      <c r="AK140" s="58"/>
      <c r="AL140" s="58"/>
      <c r="AM140" s="89">
        <f t="shared" si="87"/>
        <v>53</v>
      </c>
      <c r="AN140" s="5">
        <f t="shared" si="95"/>
        <v>35.628</v>
      </c>
      <c r="AO140" s="14">
        <f t="shared" si="96"/>
        <v>1.9978843059221845</v>
      </c>
      <c r="AP140" s="14">
        <f>IF((OR(R140="A",R140="B",R140="C")),INDEX(Coefficients!$S$4:$S$22,MATCH(J140,Coefficients!$R$4:$R$22)),INDEX(Coefficients!$T$4:$T$22,MATCH(J140,Coefficients!$R$4:$R$22)))</f>
        <v>1.3</v>
      </c>
      <c r="AQ140" s="27">
        <f>IF((OR(R140="A",R140="B",R140="C")),INDEX(Coefficients!$S$4:$S$22,MATCH(K140,Coefficients!$R$4:$R$22)),INDEX(Coefficients!$T$4:$T$22,MATCH(K140,Coefficients!$R$4:$R$22)))</f>
        <v>25</v>
      </c>
      <c r="AR140" s="15">
        <f>IF(OR(R140="A",R140="B",R140="C",R140="D"),IF(AN140&gt;=11,IF(AN140&gt;=26,Coefficients!$M$6,Coefficients!$M$5),Coefficients!$M$4),IF(AN140&gt;=11,IF(AN140&gt;=26,Coefficients!$N$6,Coefficients!$N$5),Coefficients!$N$4))</f>
        <v>1</v>
      </c>
      <c r="AS140" s="15">
        <f>INDEX(Coefficients!$X$3:$X$4,MATCH(S140,Coefficients!$W$3:$W$4))</f>
        <v>1</v>
      </c>
      <c r="AT140" s="15">
        <f>INDEX(Coefficients!$X$7:$X$8,MATCH(O140,Coefficients!$W$7:$W$8))</f>
        <v>1</v>
      </c>
      <c r="AU140" s="15">
        <f>INDEX(Coefficients!$X$11:$X$12,MATCH(P140,Coefficients!$W$11:$W$12))</f>
        <v>1</v>
      </c>
      <c r="AV140" s="15">
        <f>INDEX(Coefficients!$X$15:$X$17,MATCH(Q140,Coefficients!$W$15:$W$17))</f>
        <v>1</v>
      </c>
      <c r="AW140" s="15">
        <f t="shared" si="88"/>
        <v>1</v>
      </c>
      <c r="AX140" s="15">
        <f t="shared" si="89"/>
        <v>1</v>
      </c>
      <c r="AY140" s="15">
        <f t="shared" si="90"/>
        <v>1.3</v>
      </c>
      <c r="AZ140" s="14">
        <f t="shared" si="91"/>
        <v>49.947107648054612</v>
      </c>
      <c r="BA140" s="14">
        <f t="shared" si="92"/>
        <v>0</v>
      </c>
      <c r="BB140" s="14">
        <f t="shared" si="93"/>
        <v>2.5972495976988399</v>
      </c>
      <c r="BC140" s="14">
        <f t="shared" si="94"/>
        <v>1.7402750402301159</v>
      </c>
      <c r="BD140" s="14">
        <f t="shared" si="97"/>
        <v>0.40042358690571705</v>
      </c>
      <c r="BE140" s="16">
        <f t="shared" si="98"/>
        <v>152.0943000299155</v>
      </c>
      <c r="BF140" s="16">
        <f t="shared" si="99"/>
        <v>95.811399940168997</v>
      </c>
      <c r="BG140" s="17">
        <f t="shared" si="100"/>
        <v>1</v>
      </c>
      <c r="BH140" s="14">
        <f t="shared" si="101"/>
        <v>334.60746006581411</v>
      </c>
      <c r="BI140" s="14">
        <f t="shared" si="102"/>
        <v>-269.21492013162822</v>
      </c>
      <c r="BJ140" s="14">
        <f t="shared" si="103"/>
        <v>32.942513004498679</v>
      </c>
    </row>
    <row r="141" spans="2:62">
      <c r="B141" s="14" t="s">
        <v>91</v>
      </c>
      <c r="C141" s="81" t="str">
        <f>MostLikely!$B$1</f>
        <v>MRI-CGCM2.3.2</v>
      </c>
      <c r="D141" s="89">
        <v>2059</v>
      </c>
      <c r="E141" s="57">
        <f>'Cooler&amp;Wetter'!AA87</f>
        <v>35.631500000000003</v>
      </c>
      <c r="F141" s="90">
        <f>MostLikely!AC87</f>
        <v>23.07385416</v>
      </c>
      <c r="G141" s="35">
        <f t="shared" si="84"/>
        <v>2005</v>
      </c>
      <c r="H141" s="91" t="str">
        <f t="shared" si="105"/>
        <v>Pile 32 @ Berth 201</v>
      </c>
      <c r="I141" s="35" t="str">
        <f t="shared" si="106"/>
        <v>Turpentine Gum</v>
      </c>
      <c r="J141" s="35" t="str">
        <f t="shared" si="107"/>
        <v>HW1</v>
      </c>
      <c r="K141" s="35" t="str">
        <f t="shared" si="85"/>
        <v>SPHU</v>
      </c>
      <c r="L141" s="35">
        <f t="shared" si="108"/>
        <v>400</v>
      </c>
      <c r="M141" s="35">
        <f t="shared" si="109"/>
        <v>20</v>
      </c>
      <c r="N141" s="35">
        <f t="shared" si="110"/>
        <v>200</v>
      </c>
      <c r="O141" s="35" t="str">
        <f t="shared" si="111"/>
        <v>MTN2</v>
      </c>
      <c r="P141" s="35" t="str">
        <f t="shared" si="112"/>
        <v>CNT2</v>
      </c>
      <c r="Q141" s="35" t="str">
        <f t="shared" si="113"/>
        <v>KNT3</v>
      </c>
      <c r="R141" s="35" t="str">
        <f t="shared" si="114"/>
        <v>E</v>
      </c>
      <c r="S141" s="35" t="str">
        <f t="shared" si="115"/>
        <v>EXP1</v>
      </c>
      <c r="T141" s="58"/>
      <c r="U141" s="58"/>
      <c r="V141" s="58"/>
      <c r="W141" s="58"/>
      <c r="X141" s="58"/>
      <c r="Y141" s="58"/>
      <c r="Z141" s="58"/>
      <c r="AA141" s="95">
        <f t="shared" si="104"/>
        <v>1</v>
      </c>
      <c r="AB141" s="96">
        <f t="shared" si="86"/>
        <v>155.36532129273789</v>
      </c>
      <c r="AC141" s="58"/>
      <c r="AD141" s="58"/>
      <c r="AE141" s="58"/>
      <c r="AF141" s="58"/>
      <c r="AG141" s="58"/>
      <c r="AH141" s="58"/>
      <c r="AI141" s="58"/>
      <c r="AJ141" s="58"/>
      <c r="AK141" s="58"/>
      <c r="AL141" s="58"/>
      <c r="AM141" s="89">
        <f t="shared" si="87"/>
        <v>54</v>
      </c>
      <c r="AN141" s="5">
        <f t="shared" si="95"/>
        <v>35.631500000000003</v>
      </c>
      <c r="AO141" s="14">
        <f t="shared" si="96"/>
        <v>2.0077525211724487</v>
      </c>
      <c r="AP141" s="14">
        <f>IF((OR(R141="A",R141="B",R141="C")),INDEX(Coefficients!$S$4:$S$22,MATCH(J141,Coefficients!$R$4:$R$22)),INDEX(Coefficients!$T$4:$T$22,MATCH(J141,Coefficients!$R$4:$R$22)))</f>
        <v>1.3</v>
      </c>
      <c r="AQ141" s="27">
        <f>IF((OR(R141="A",R141="B",R141="C")),INDEX(Coefficients!$S$4:$S$22,MATCH(K141,Coefficients!$R$4:$R$22)),INDEX(Coefficients!$T$4:$T$22,MATCH(K141,Coefficients!$R$4:$R$22)))</f>
        <v>25</v>
      </c>
      <c r="AR141" s="15">
        <f>IF(OR(R141="A",R141="B",R141="C",R141="D"),IF(AN141&gt;=11,IF(AN141&gt;=26,Coefficients!$M$6,Coefficients!$M$5),Coefficients!$M$4),IF(AN141&gt;=11,IF(AN141&gt;=26,Coefficients!$N$6,Coefficients!$N$5),Coefficients!$N$4))</f>
        <v>1</v>
      </c>
      <c r="AS141" s="15">
        <f>INDEX(Coefficients!$X$3:$X$4,MATCH(S141,Coefficients!$W$3:$W$4))</f>
        <v>1</v>
      </c>
      <c r="AT141" s="15">
        <f>INDEX(Coefficients!$X$7:$X$8,MATCH(O141,Coefficients!$W$7:$W$8))</f>
        <v>1</v>
      </c>
      <c r="AU141" s="15">
        <f>INDEX(Coefficients!$X$11:$X$12,MATCH(P141,Coefficients!$W$11:$W$12))</f>
        <v>1</v>
      </c>
      <c r="AV141" s="15">
        <f>INDEX(Coefficients!$X$15:$X$17,MATCH(Q141,Coefficients!$W$15:$W$17))</f>
        <v>1</v>
      </c>
      <c r="AW141" s="15">
        <f t="shared" si="88"/>
        <v>1</v>
      </c>
      <c r="AX141" s="15">
        <f t="shared" si="89"/>
        <v>1</v>
      </c>
      <c r="AY141" s="15">
        <f t="shared" si="90"/>
        <v>1.3</v>
      </c>
      <c r="AZ141" s="14">
        <f t="shared" si="91"/>
        <v>50.193813029311215</v>
      </c>
      <c r="BA141" s="14">
        <f t="shared" si="92"/>
        <v>0</v>
      </c>
      <c r="BB141" s="14">
        <f t="shared" si="93"/>
        <v>2.6100782775241833</v>
      </c>
      <c r="BC141" s="14">
        <f t="shared" si="94"/>
        <v>1.7389921722475816</v>
      </c>
      <c r="BD141" s="14">
        <f t="shared" si="97"/>
        <v>0.39845548271697917</v>
      </c>
      <c r="BE141" s="16">
        <f t="shared" si="98"/>
        <v>155.36532129273789</v>
      </c>
      <c r="BF141" s="16">
        <f t="shared" si="99"/>
        <v>89.269357414524222</v>
      </c>
      <c r="BG141" s="17">
        <f t="shared" si="100"/>
        <v>1</v>
      </c>
      <c r="BH141" s="14">
        <f t="shared" si="101"/>
        <v>341.8037068440234</v>
      </c>
      <c r="BI141" s="14">
        <f t="shared" si="102"/>
        <v>-283.60741368804679</v>
      </c>
      <c r="BJ141" s="14">
        <f t="shared" si="103"/>
        <v>32.787869402424498</v>
      </c>
    </row>
    <row r="142" spans="2:62">
      <c r="B142" s="14" t="s">
        <v>91</v>
      </c>
      <c r="C142" s="81" t="str">
        <f>MostLikely!$B$1</f>
        <v>MRI-CGCM2.3.2</v>
      </c>
      <c r="D142" s="89">
        <v>2060</v>
      </c>
      <c r="E142" s="57">
        <f>'Cooler&amp;Wetter'!AA88</f>
        <v>35.634999999999998</v>
      </c>
      <c r="F142" s="90">
        <f>MostLikely!AC88</f>
        <v>23.111755499999997</v>
      </c>
      <c r="G142" s="35">
        <f t="shared" si="84"/>
        <v>2005</v>
      </c>
      <c r="H142" s="91" t="str">
        <f t="shared" si="105"/>
        <v>Pile 32 @ Berth 201</v>
      </c>
      <c r="I142" s="35" t="str">
        <f t="shared" si="106"/>
        <v>Turpentine Gum</v>
      </c>
      <c r="J142" s="35" t="str">
        <f t="shared" si="107"/>
        <v>HW1</v>
      </c>
      <c r="K142" s="35" t="str">
        <f t="shared" si="85"/>
        <v>SPHU</v>
      </c>
      <c r="L142" s="35">
        <f t="shared" si="108"/>
        <v>400</v>
      </c>
      <c r="M142" s="35">
        <f t="shared" si="109"/>
        <v>20</v>
      </c>
      <c r="N142" s="35">
        <f t="shared" si="110"/>
        <v>200</v>
      </c>
      <c r="O142" s="35" t="str">
        <f t="shared" si="111"/>
        <v>MTN2</v>
      </c>
      <c r="P142" s="35" t="str">
        <f t="shared" si="112"/>
        <v>CNT2</v>
      </c>
      <c r="Q142" s="35" t="str">
        <f t="shared" si="113"/>
        <v>KNT3</v>
      </c>
      <c r="R142" s="35" t="str">
        <f t="shared" si="114"/>
        <v>E</v>
      </c>
      <c r="S142" s="35" t="str">
        <f t="shared" si="115"/>
        <v>EXP1</v>
      </c>
      <c r="T142" s="58"/>
      <c r="U142" s="58"/>
      <c r="V142" s="58"/>
      <c r="W142" s="58"/>
      <c r="X142" s="58"/>
      <c r="Y142" s="58"/>
      <c r="Z142" s="58"/>
      <c r="AA142" s="95">
        <f t="shared" si="104"/>
        <v>1</v>
      </c>
      <c r="AB142" s="96">
        <f t="shared" si="86"/>
        <v>158.66542442200927</v>
      </c>
      <c r="AC142" s="58"/>
      <c r="AD142" s="58"/>
      <c r="AE142" s="58"/>
      <c r="AF142" s="58"/>
      <c r="AG142" s="58"/>
      <c r="AH142" s="58"/>
      <c r="AI142" s="58"/>
      <c r="AJ142" s="58"/>
      <c r="AK142" s="58"/>
      <c r="AL142" s="58"/>
      <c r="AM142" s="89">
        <f t="shared" si="87"/>
        <v>55</v>
      </c>
      <c r="AN142" s="5">
        <f t="shared" si="95"/>
        <v>35.634999999999998</v>
      </c>
      <c r="AO142" s="14">
        <f t="shared" si="96"/>
        <v>2.0176694788208267</v>
      </c>
      <c r="AP142" s="14">
        <f>IF((OR(R142="A",R142="B",R142="C")),INDEX(Coefficients!$S$4:$S$22,MATCH(J142,Coefficients!$R$4:$R$22)),INDEX(Coefficients!$T$4:$T$22,MATCH(J142,Coefficients!$R$4:$R$22)))</f>
        <v>1.3</v>
      </c>
      <c r="AQ142" s="27">
        <f>IF((OR(R142="A",R142="B",R142="C")),INDEX(Coefficients!$S$4:$S$22,MATCH(K142,Coefficients!$R$4:$R$22)),INDEX(Coefficients!$T$4:$T$22,MATCH(K142,Coefficients!$R$4:$R$22)))</f>
        <v>25</v>
      </c>
      <c r="AR142" s="15">
        <f>IF(OR(R142="A",R142="B",R142="C",R142="D"),IF(AN142&gt;=11,IF(AN142&gt;=26,Coefficients!$M$6,Coefficients!$M$5),Coefficients!$M$4),IF(AN142&gt;=11,IF(AN142&gt;=26,Coefficients!$N$6,Coefficients!$N$5),Coefficients!$N$4))</f>
        <v>1</v>
      </c>
      <c r="AS142" s="15">
        <f>INDEX(Coefficients!$X$3:$X$4,MATCH(S142,Coefficients!$W$3:$W$4))</f>
        <v>1</v>
      </c>
      <c r="AT142" s="15">
        <f>INDEX(Coefficients!$X$7:$X$8,MATCH(O142,Coefficients!$W$7:$W$8))</f>
        <v>1</v>
      </c>
      <c r="AU142" s="15">
        <f>INDEX(Coefficients!$X$11:$X$12,MATCH(P142,Coefficients!$W$11:$W$12))</f>
        <v>1</v>
      </c>
      <c r="AV142" s="15">
        <f>INDEX(Coefficients!$X$15:$X$17,MATCH(Q142,Coefficients!$W$15:$W$17))</f>
        <v>1</v>
      </c>
      <c r="AW142" s="15">
        <f t="shared" si="88"/>
        <v>1</v>
      </c>
      <c r="AX142" s="15">
        <f t="shared" si="89"/>
        <v>1</v>
      </c>
      <c r="AY142" s="15">
        <f t="shared" si="90"/>
        <v>1.3</v>
      </c>
      <c r="AZ142" s="14">
        <f t="shared" si="91"/>
        <v>50.441736970520665</v>
      </c>
      <c r="BA142" s="14">
        <f t="shared" si="92"/>
        <v>0</v>
      </c>
      <c r="BB142" s="14">
        <f t="shared" si="93"/>
        <v>2.6229703224670748</v>
      </c>
      <c r="BC142" s="14">
        <f t="shared" si="94"/>
        <v>1.7377029677532925</v>
      </c>
      <c r="BD142" s="14">
        <f t="shared" si="97"/>
        <v>0.39649705186973377</v>
      </c>
      <c r="BE142" s="16">
        <f t="shared" si="98"/>
        <v>158.66542442200927</v>
      </c>
      <c r="BF142" s="16">
        <f t="shared" si="99"/>
        <v>82.669151155981467</v>
      </c>
      <c r="BG142" s="17">
        <f t="shared" si="100"/>
        <v>1</v>
      </c>
      <c r="BH142" s="14">
        <f t="shared" si="101"/>
        <v>349.06393372842041</v>
      </c>
      <c r="BI142" s="14">
        <f t="shared" si="102"/>
        <v>-298.12786745684082</v>
      </c>
      <c r="BJ142" s="14">
        <f t="shared" si="103"/>
        <v>32.633973240371773</v>
      </c>
    </row>
    <row r="143" spans="2:62">
      <c r="B143" s="14" t="s">
        <v>91</v>
      </c>
      <c r="C143" s="81" t="str">
        <f>MostLikely!$B$1</f>
        <v>MRI-CGCM2.3.2</v>
      </c>
      <c r="D143" s="89">
        <v>2061</v>
      </c>
      <c r="E143" s="57">
        <f>'Cooler&amp;Wetter'!AA89</f>
        <v>35.638500000000001</v>
      </c>
      <c r="F143" s="90">
        <f>MostLikely!AC89</f>
        <v>23.149656839999999</v>
      </c>
      <c r="G143" s="35">
        <f t="shared" si="84"/>
        <v>2005</v>
      </c>
      <c r="H143" s="91" t="str">
        <f t="shared" si="105"/>
        <v>Pile 32 @ Berth 201</v>
      </c>
      <c r="I143" s="35" t="str">
        <f t="shared" si="106"/>
        <v>Turpentine Gum</v>
      </c>
      <c r="J143" s="35" t="str">
        <f t="shared" si="107"/>
        <v>HW1</v>
      </c>
      <c r="K143" s="35" t="str">
        <f t="shared" si="85"/>
        <v>SPHU</v>
      </c>
      <c r="L143" s="35">
        <f t="shared" si="108"/>
        <v>400</v>
      </c>
      <c r="M143" s="35">
        <f t="shared" si="109"/>
        <v>20</v>
      </c>
      <c r="N143" s="35">
        <f t="shared" si="110"/>
        <v>200</v>
      </c>
      <c r="O143" s="35" t="str">
        <f t="shared" si="111"/>
        <v>MTN2</v>
      </c>
      <c r="P143" s="35" t="str">
        <f t="shared" si="112"/>
        <v>CNT2</v>
      </c>
      <c r="Q143" s="35" t="str">
        <f t="shared" si="113"/>
        <v>KNT3</v>
      </c>
      <c r="R143" s="35" t="str">
        <f t="shared" si="114"/>
        <v>E</v>
      </c>
      <c r="S143" s="35" t="str">
        <f t="shared" si="115"/>
        <v>EXP1</v>
      </c>
      <c r="T143" s="58"/>
      <c r="U143" s="58"/>
      <c r="V143" s="58"/>
      <c r="W143" s="58"/>
      <c r="X143" s="58"/>
      <c r="Y143" s="58"/>
      <c r="Z143" s="58"/>
      <c r="AA143" s="95">
        <f t="shared" si="104"/>
        <v>1</v>
      </c>
      <c r="AB143" s="96">
        <f t="shared" si="86"/>
        <v>161.99481706922043</v>
      </c>
      <c r="AC143" s="58"/>
      <c r="AD143" s="58"/>
      <c r="AE143" s="58"/>
      <c r="AF143" s="58"/>
      <c r="AG143" s="58"/>
      <c r="AH143" s="58"/>
      <c r="AI143" s="58"/>
      <c r="AJ143" s="58"/>
      <c r="AK143" s="58"/>
      <c r="AL143" s="58"/>
      <c r="AM143" s="89">
        <f t="shared" si="87"/>
        <v>56</v>
      </c>
      <c r="AN143" s="5">
        <f t="shared" si="95"/>
        <v>35.638500000000001</v>
      </c>
      <c r="AO143" s="14">
        <f t="shared" si="96"/>
        <v>2.0276354196222393</v>
      </c>
      <c r="AP143" s="14">
        <f>IF((OR(R143="A",R143="B",R143="C")),INDEX(Coefficients!$S$4:$S$22,MATCH(J143,Coefficients!$R$4:$R$22)),INDEX(Coefficients!$T$4:$T$22,MATCH(J143,Coefficients!$R$4:$R$22)))</f>
        <v>1.3</v>
      </c>
      <c r="AQ143" s="27">
        <f>IF((OR(R143="A",R143="B",R143="C")),INDEX(Coefficients!$S$4:$S$22,MATCH(K143,Coefficients!$R$4:$R$22)),INDEX(Coefficients!$T$4:$T$22,MATCH(K143,Coefficients!$R$4:$R$22)))</f>
        <v>25</v>
      </c>
      <c r="AR143" s="15">
        <f>IF(OR(R143="A",R143="B",R143="C",R143="D"),IF(AN143&gt;=11,IF(AN143&gt;=26,Coefficients!$M$6,Coefficients!$M$5),Coefficients!$M$4),IF(AN143&gt;=11,IF(AN143&gt;=26,Coefficients!$N$6,Coefficients!$N$5),Coefficients!$N$4))</f>
        <v>1</v>
      </c>
      <c r="AS143" s="15">
        <f>INDEX(Coefficients!$X$3:$X$4,MATCH(S143,Coefficients!$W$3:$W$4))</f>
        <v>1</v>
      </c>
      <c r="AT143" s="15">
        <f>INDEX(Coefficients!$X$7:$X$8,MATCH(O143,Coefficients!$W$7:$W$8))</f>
        <v>1</v>
      </c>
      <c r="AU143" s="15">
        <f>INDEX(Coefficients!$X$11:$X$12,MATCH(P143,Coefficients!$W$11:$W$12))</f>
        <v>1</v>
      </c>
      <c r="AV143" s="15">
        <f>INDEX(Coefficients!$X$15:$X$17,MATCH(Q143,Coefficients!$W$15:$W$17))</f>
        <v>1</v>
      </c>
      <c r="AW143" s="15">
        <f t="shared" si="88"/>
        <v>1</v>
      </c>
      <c r="AX143" s="15">
        <f t="shared" si="89"/>
        <v>1</v>
      </c>
      <c r="AY143" s="15">
        <f t="shared" si="90"/>
        <v>1.3</v>
      </c>
      <c r="AZ143" s="14">
        <f t="shared" si="91"/>
        <v>50.690885490555985</v>
      </c>
      <c r="BA143" s="14">
        <f t="shared" si="92"/>
        <v>0</v>
      </c>
      <c r="BB143" s="14">
        <f t="shared" si="93"/>
        <v>2.6359260455089113</v>
      </c>
      <c r="BC143" s="14">
        <f t="shared" si="94"/>
        <v>1.7364073954491088</v>
      </c>
      <c r="BD143" s="14">
        <f t="shared" si="97"/>
        <v>0.39454824681896944</v>
      </c>
      <c r="BE143" s="16">
        <f t="shared" si="98"/>
        <v>161.99481706922043</v>
      </c>
      <c r="BF143" s="16">
        <f t="shared" si="99"/>
        <v>76.010365861559137</v>
      </c>
      <c r="BG143" s="17">
        <f t="shared" si="100"/>
        <v>1</v>
      </c>
      <c r="BH143" s="14">
        <f t="shared" si="101"/>
        <v>356.38859755228498</v>
      </c>
      <c r="BI143" s="14">
        <f t="shared" si="102"/>
        <v>-312.77719510456996</v>
      </c>
      <c r="BJ143" s="14">
        <f t="shared" si="103"/>
        <v>32.480820782188808</v>
      </c>
    </row>
    <row r="144" spans="2:62">
      <c r="B144" s="14" t="s">
        <v>91</v>
      </c>
      <c r="C144" s="81" t="str">
        <f>MostLikely!$B$1</f>
        <v>MRI-CGCM2.3.2</v>
      </c>
      <c r="D144" s="89">
        <v>2062</v>
      </c>
      <c r="E144" s="57">
        <f>'Cooler&amp;Wetter'!AA90</f>
        <v>35.642000000000003</v>
      </c>
      <c r="F144" s="90">
        <f>MostLikely!AC90</f>
        <v>23.187558179999996</v>
      </c>
      <c r="G144" s="35">
        <f t="shared" si="84"/>
        <v>2005</v>
      </c>
      <c r="H144" s="91" t="str">
        <f t="shared" si="105"/>
        <v>Pile 32 @ Berth 201</v>
      </c>
      <c r="I144" s="35" t="str">
        <f t="shared" si="106"/>
        <v>Turpentine Gum</v>
      </c>
      <c r="J144" s="35" t="str">
        <f t="shared" si="107"/>
        <v>HW1</v>
      </c>
      <c r="K144" s="35" t="str">
        <f t="shared" si="85"/>
        <v>SPHU</v>
      </c>
      <c r="L144" s="35">
        <f t="shared" si="108"/>
        <v>400</v>
      </c>
      <c r="M144" s="35">
        <f t="shared" si="109"/>
        <v>20</v>
      </c>
      <c r="N144" s="35">
        <f t="shared" si="110"/>
        <v>200</v>
      </c>
      <c r="O144" s="35" t="str">
        <f t="shared" si="111"/>
        <v>MTN2</v>
      </c>
      <c r="P144" s="35" t="str">
        <f t="shared" si="112"/>
        <v>CNT2</v>
      </c>
      <c r="Q144" s="35" t="str">
        <f t="shared" si="113"/>
        <v>KNT3</v>
      </c>
      <c r="R144" s="35" t="str">
        <f t="shared" si="114"/>
        <v>E</v>
      </c>
      <c r="S144" s="35" t="str">
        <f t="shared" si="115"/>
        <v>EXP1</v>
      </c>
      <c r="T144" s="58"/>
      <c r="U144" s="58"/>
      <c r="V144" s="58"/>
      <c r="W144" s="58"/>
      <c r="X144" s="58"/>
      <c r="Y144" s="58"/>
      <c r="Z144" s="58"/>
      <c r="AA144" s="95">
        <f t="shared" si="104"/>
        <v>1</v>
      </c>
      <c r="AB144" s="96">
        <f t="shared" si="86"/>
        <v>165.35370822930116</v>
      </c>
      <c r="AC144" s="58"/>
      <c r="AD144" s="58"/>
      <c r="AE144" s="58"/>
      <c r="AF144" s="58"/>
      <c r="AG144" s="58"/>
      <c r="AH144" s="58"/>
      <c r="AI144" s="58"/>
      <c r="AJ144" s="58"/>
      <c r="AK144" s="58"/>
      <c r="AL144" s="58"/>
      <c r="AM144" s="89">
        <f t="shared" si="87"/>
        <v>57</v>
      </c>
      <c r="AN144" s="5">
        <f t="shared" si="95"/>
        <v>35.642000000000003</v>
      </c>
      <c r="AO144" s="14">
        <f t="shared" si="96"/>
        <v>2.0376505855207747</v>
      </c>
      <c r="AP144" s="14">
        <f>IF((OR(R144="A",R144="B",R144="C")),INDEX(Coefficients!$S$4:$S$22,MATCH(J144,Coefficients!$R$4:$R$22)),INDEX(Coefficients!$T$4:$T$22,MATCH(J144,Coefficients!$R$4:$R$22)))</f>
        <v>1.3</v>
      </c>
      <c r="AQ144" s="27">
        <f>IF((OR(R144="A",R144="B",R144="C")),INDEX(Coefficients!$S$4:$S$22,MATCH(K144,Coefficients!$R$4:$R$22)),INDEX(Coefficients!$T$4:$T$22,MATCH(K144,Coefficients!$R$4:$R$22)))</f>
        <v>25</v>
      </c>
      <c r="AR144" s="15">
        <f>IF(OR(R144="A",R144="B",R144="C",R144="D"),IF(AN144&gt;=11,IF(AN144&gt;=26,Coefficients!$M$6,Coefficients!$M$5),Coefficients!$M$4),IF(AN144&gt;=11,IF(AN144&gt;=26,Coefficients!$N$6,Coefficients!$N$5),Coefficients!$N$4))</f>
        <v>1</v>
      </c>
      <c r="AS144" s="15">
        <f>INDEX(Coefficients!$X$3:$X$4,MATCH(S144,Coefficients!$W$3:$W$4))</f>
        <v>1</v>
      </c>
      <c r="AT144" s="15">
        <f>INDEX(Coefficients!$X$7:$X$8,MATCH(O144,Coefficients!$W$7:$W$8))</f>
        <v>1</v>
      </c>
      <c r="AU144" s="15">
        <f>INDEX(Coefficients!$X$11:$X$12,MATCH(P144,Coefficients!$W$11:$W$12))</f>
        <v>1</v>
      </c>
      <c r="AV144" s="15">
        <f>INDEX(Coefficients!$X$15:$X$17,MATCH(Q144,Coefficients!$W$15:$W$17))</f>
        <v>1</v>
      </c>
      <c r="AW144" s="15">
        <f t="shared" si="88"/>
        <v>1</v>
      </c>
      <c r="AX144" s="15">
        <f t="shared" si="89"/>
        <v>1</v>
      </c>
      <c r="AY144" s="15">
        <f t="shared" si="90"/>
        <v>1.3</v>
      </c>
      <c r="AZ144" s="14">
        <f t="shared" si="91"/>
        <v>50.941264638019369</v>
      </c>
      <c r="BA144" s="14">
        <f t="shared" si="92"/>
        <v>0</v>
      </c>
      <c r="BB144" s="14">
        <f t="shared" si="93"/>
        <v>2.6489457611770071</v>
      </c>
      <c r="BC144" s="14">
        <f t="shared" si="94"/>
        <v>1.7351054238822994</v>
      </c>
      <c r="BD144" s="14">
        <f t="shared" si="97"/>
        <v>0.39260902025336158</v>
      </c>
      <c r="BE144" s="16">
        <f t="shared" si="98"/>
        <v>165.35370822930116</v>
      </c>
      <c r="BF144" s="16">
        <f t="shared" si="99"/>
        <v>69.292583541397676</v>
      </c>
      <c r="BG144" s="17">
        <f t="shared" si="100"/>
        <v>1</v>
      </c>
      <c r="BH144" s="14">
        <f t="shared" si="101"/>
        <v>363.77815810446259</v>
      </c>
      <c r="BI144" s="14">
        <f t="shared" si="102"/>
        <v>-327.55631620892518</v>
      </c>
      <c r="BJ144" s="14">
        <f t="shared" si="103"/>
        <v>32.328408309778865</v>
      </c>
    </row>
    <row r="145" spans="1:62">
      <c r="B145" s="14" t="s">
        <v>91</v>
      </c>
      <c r="C145" s="81" t="str">
        <f>MostLikely!$B$1</f>
        <v>MRI-CGCM2.3.2</v>
      </c>
      <c r="D145" s="89">
        <v>2063</v>
      </c>
      <c r="E145" s="57">
        <f>'Cooler&amp;Wetter'!AA91</f>
        <v>35.645499999999998</v>
      </c>
      <c r="F145" s="90">
        <f>MostLikely!AC91</f>
        <v>23.225459519999998</v>
      </c>
      <c r="G145" s="35">
        <f t="shared" si="84"/>
        <v>2005</v>
      </c>
      <c r="H145" s="91" t="str">
        <f t="shared" si="105"/>
        <v>Pile 32 @ Berth 201</v>
      </c>
      <c r="I145" s="35" t="str">
        <f t="shared" si="106"/>
        <v>Turpentine Gum</v>
      </c>
      <c r="J145" s="35" t="str">
        <f t="shared" si="107"/>
        <v>HW1</v>
      </c>
      <c r="K145" s="35" t="str">
        <f t="shared" si="85"/>
        <v>SPHU</v>
      </c>
      <c r="L145" s="35">
        <f t="shared" si="108"/>
        <v>400</v>
      </c>
      <c r="M145" s="35">
        <f t="shared" si="109"/>
        <v>20</v>
      </c>
      <c r="N145" s="35">
        <f t="shared" si="110"/>
        <v>200</v>
      </c>
      <c r="O145" s="35" t="str">
        <f t="shared" si="111"/>
        <v>MTN2</v>
      </c>
      <c r="P145" s="35" t="str">
        <f t="shared" si="112"/>
        <v>CNT2</v>
      </c>
      <c r="Q145" s="35" t="str">
        <f t="shared" si="113"/>
        <v>KNT3</v>
      </c>
      <c r="R145" s="35" t="str">
        <f t="shared" si="114"/>
        <v>E</v>
      </c>
      <c r="S145" s="35" t="str">
        <f t="shared" si="115"/>
        <v>EXP1</v>
      </c>
      <c r="T145" s="58"/>
      <c r="U145" s="58"/>
      <c r="V145" s="58"/>
      <c r="W145" s="58"/>
      <c r="X145" s="58"/>
      <c r="Y145" s="58"/>
      <c r="Z145" s="58"/>
      <c r="AA145" s="95">
        <f t="shared" si="104"/>
        <v>1</v>
      </c>
      <c r="AB145" s="96">
        <f t="shared" si="86"/>
        <v>168.74230824884191</v>
      </c>
      <c r="AC145" s="58"/>
      <c r="AD145" s="58"/>
      <c r="AE145" s="58"/>
      <c r="AF145" s="58"/>
      <c r="AG145" s="58"/>
      <c r="AH145" s="58"/>
      <c r="AI145" s="58"/>
      <c r="AJ145" s="58"/>
      <c r="AK145" s="58"/>
      <c r="AL145" s="58"/>
      <c r="AM145" s="89">
        <f t="shared" si="87"/>
        <v>58</v>
      </c>
      <c r="AN145" s="5">
        <f t="shared" si="95"/>
        <v>35.645499999999998</v>
      </c>
      <c r="AO145" s="14">
        <f t="shared" si="96"/>
        <v>2.0477152196555659</v>
      </c>
      <c r="AP145" s="14">
        <f>IF((OR(R145="A",R145="B",R145="C")),INDEX(Coefficients!$S$4:$S$22,MATCH(J145,Coefficients!$R$4:$R$22)),INDEX(Coefficients!$T$4:$T$22,MATCH(J145,Coefficients!$R$4:$R$22)))</f>
        <v>1.3</v>
      </c>
      <c r="AQ145" s="27">
        <f>IF((OR(R145="A",R145="B",R145="C")),INDEX(Coefficients!$S$4:$S$22,MATCH(K145,Coefficients!$R$4:$R$22)),INDEX(Coefficients!$T$4:$T$22,MATCH(K145,Coefficients!$R$4:$R$22)))</f>
        <v>25</v>
      </c>
      <c r="AR145" s="15">
        <f>IF(OR(R145="A",R145="B",R145="C",R145="D"),IF(AN145&gt;=11,IF(AN145&gt;=26,Coefficients!$M$6,Coefficients!$M$5),Coefficients!$M$4),IF(AN145&gt;=11,IF(AN145&gt;=26,Coefficients!$N$6,Coefficients!$N$5),Coefficients!$N$4))</f>
        <v>1</v>
      </c>
      <c r="AS145" s="15">
        <f>INDEX(Coefficients!$X$3:$X$4,MATCH(S145,Coefficients!$W$3:$W$4))</f>
        <v>1</v>
      </c>
      <c r="AT145" s="15">
        <f>INDEX(Coefficients!$X$7:$X$8,MATCH(O145,Coefficients!$W$7:$W$8))</f>
        <v>1</v>
      </c>
      <c r="AU145" s="15">
        <f>INDEX(Coefficients!$X$11:$X$12,MATCH(P145,Coefficients!$W$11:$W$12))</f>
        <v>1</v>
      </c>
      <c r="AV145" s="15">
        <f>INDEX(Coefficients!$X$15:$X$17,MATCH(Q145,Coefficients!$W$15:$W$17))</f>
        <v>1</v>
      </c>
      <c r="AW145" s="15">
        <f t="shared" si="88"/>
        <v>1</v>
      </c>
      <c r="AX145" s="15">
        <f t="shared" si="89"/>
        <v>1</v>
      </c>
      <c r="AY145" s="15">
        <f t="shared" si="90"/>
        <v>1.3</v>
      </c>
      <c r="AZ145" s="14">
        <f t="shared" si="91"/>
        <v>51.192880491389147</v>
      </c>
      <c r="BA145" s="14">
        <f t="shared" si="92"/>
        <v>0</v>
      </c>
      <c r="BB145" s="14">
        <f t="shared" si="93"/>
        <v>2.6620297855522357</v>
      </c>
      <c r="BC145" s="14">
        <f t="shared" si="94"/>
        <v>1.7337970214447764</v>
      </c>
      <c r="BD145" s="14">
        <f t="shared" si="97"/>
        <v>0.39067932509412284</v>
      </c>
      <c r="BE145" s="16">
        <f t="shared" si="98"/>
        <v>168.74230824884191</v>
      </c>
      <c r="BF145" s="16">
        <f t="shared" si="99"/>
        <v>62.515383502316183</v>
      </c>
      <c r="BG145" s="17">
        <f t="shared" si="100"/>
        <v>1</v>
      </c>
      <c r="BH145" s="14">
        <f t="shared" si="101"/>
        <v>371.2330781474522</v>
      </c>
      <c r="BI145" s="14">
        <f t="shared" si="102"/>
        <v>-342.46615629490441</v>
      </c>
      <c r="BJ145" s="14">
        <f t="shared" si="103"/>
        <v>32.176732123009891</v>
      </c>
    </row>
    <row r="146" spans="1:62">
      <c r="B146" s="14" t="s">
        <v>91</v>
      </c>
      <c r="C146" s="81" t="str">
        <f>MostLikely!$B$1</f>
        <v>MRI-CGCM2.3.2</v>
      </c>
      <c r="D146" s="89">
        <v>2064</v>
      </c>
      <c r="E146" s="57">
        <f>'Cooler&amp;Wetter'!AA92</f>
        <v>35.649000000000001</v>
      </c>
      <c r="F146" s="90">
        <f>MostLikely!AC92</f>
        <v>23.263360859999999</v>
      </c>
      <c r="G146" s="35">
        <f t="shared" si="84"/>
        <v>2005</v>
      </c>
      <c r="H146" s="91" t="str">
        <f t="shared" si="105"/>
        <v>Pile 32 @ Berth 201</v>
      </c>
      <c r="I146" s="35" t="str">
        <f t="shared" si="106"/>
        <v>Turpentine Gum</v>
      </c>
      <c r="J146" s="35" t="str">
        <f t="shared" si="107"/>
        <v>HW1</v>
      </c>
      <c r="K146" s="35" t="str">
        <f t="shared" si="85"/>
        <v>SPHU</v>
      </c>
      <c r="L146" s="35">
        <f t="shared" si="108"/>
        <v>400</v>
      </c>
      <c r="M146" s="35">
        <f t="shared" si="109"/>
        <v>20</v>
      </c>
      <c r="N146" s="35">
        <f t="shared" si="110"/>
        <v>200</v>
      </c>
      <c r="O146" s="35" t="str">
        <f t="shared" si="111"/>
        <v>MTN2</v>
      </c>
      <c r="P146" s="35" t="str">
        <f t="shared" si="112"/>
        <v>CNT2</v>
      </c>
      <c r="Q146" s="35" t="str">
        <f t="shared" si="113"/>
        <v>KNT3</v>
      </c>
      <c r="R146" s="35" t="str">
        <f t="shared" si="114"/>
        <v>E</v>
      </c>
      <c r="S146" s="35" t="str">
        <f t="shared" si="115"/>
        <v>EXP1</v>
      </c>
      <c r="T146" s="58"/>
      <c r="U146" s="58"/>
      <c r="V146" s="58"/>
      <c r="W146" s="58"/>
      <c r="X146" s="58"/>
      <c r="Y146" s="58"/>
      <c r="Z146" s="58"/>
      <c r="AA146" s="95">
        <f t="shared" si="104"/>
        <v>1</v>
      </c>
      <c r="AB146" s="96">
        <f t="shared" si="86"/>
        <v>172.16082883436346</v>
      </c>
      <c r="AC146" s="58"/>
      <c r="AD146" s="58"/>
      <c r="AE146" s="58"/>
      <c r="AF146" s="58"/>
      <c r="AG146" s="58"/>
      <c r="AH146" s="58"/>
      <c r="AI146" s="58"/>
      <c r="AJ146" s="58"/>
      <c r="AK146" s="58"/>
      <c r="AL146" s="58"/>
      <c r="AM146" s="89">
        <f t="shared" si="87"/>
        <v>59</v>
      </c>
      <c r="AN146" s="5">
        <f t="shared" ref="AN146:AN152" si="116">E146</f>
        <v>35.649000000000001</v>
      </c>
      <c r="AO146" s="14">
        <f t="shared" ref="AO146:AO152" si="117">0.1*EXP(0.13*F146)</f>
        <v>2.0578295663666863</v>
      </c>
      <c r="AP146" s="14">
        <f>IF((OR(R146="A",R146="B",R146="C")),INDEX(Coefficients!$S$4:$S$22,MATCH(J146,Coefficients!$R$4:$R$22)),INDEX(Coefficients!$T$4:$T$22,MATCH(J146,Coefficients!$R$4:$R$22)))</f>
        <v>1.3</v>
      </c>
      <c r="AQ146" s="27">
        <f>IF((OR(R146="A",R146="B",R146="C")),INDEX(Coefficients!$S$4:$S$22,MATCH(K146,Coefficients!$R$4:$R$22)),INDEX(Coefficients!$T$4:$T$22,MATCH(K146,Coefficients!$R$4:$R$22)))</f>
        <v>25</v>
      </c>
      <c r="AR146" s="15">
        <f>IF(OR(R146="A",R146="B",R146="C",R146="D"),IF(AN146&gt;=11,IF(AN146&gt;=26,Coefficients!$M$6,Coefficients!$M$5),Coefficients!$M$4),IF(AN146&gt;=11,IF(AN146&gt;=26,Coefficients!$N$6,Coefficients!$N$5),Coefficients!$N$4))</f>
        <v>1</v>
      </c>
      <c r="AS146" s="15">
        <f>INDEX(Coefficients!$X$3:$X$4,MATCH(S146,Coefficients!$W$3:$W$4))</f>
        <v>1</v>
      </c>
      <c r="AT146" s="15">
        <f>INDEX(Coefficients!$X$7:$X$8,MATCH(O146,Coefficients!$W$7:$W$8))</f>
        <v>1</v>
      </c>
      <c r="AU146" s="15">
        <f>INDEX(Coefficients!$X$11:$X$12,MATCH(P146,Coefficients!$W$11:$W$12))</f>
        <v>1</v>
      </c>
      <c r="AV146" s="15">
        <f>INDEX(Coefficients!$X$15:$X$17,MATCH(Q146,Coefficients!$W$15:$W$17))</f>
        <v>1</v>
      </c>
      <c r="AW146" s="15">
        <f t="shared" si="88"/>
        <v>1</v>
      </c>
      <c r="AX146" s="15">
        <f t="shared" si="89"/>
        <v>1</v>
      </c>
      <c r="AY146" s="15">
        <f t="shared" si="90"/>
        <v>1.3</v>
      </c>
      <c r="AZ146" s="14">
        <f t="shared" si="91"/>
        <v>51.445739159167161</v>
      </c>
      <c r="BA146" s="14">
        <f t="shared" si="92"/>
        <v>0</v>
      </c>
      <c r="BB146" s="14">
        <f t="shared" si="93"/>
        <v>2.6751784362766924</v>
      </c>
      <c r="BC146" s="14">
        <f t="shared" si="94"/>
        <v>1.7324821563723307</v>
      </c>
      <c r="BD146" s="14">
        <f t="shared" ref="BD146:BD152" si="118">M146/AZ146+BA146</f>
        <v>0.38875911449386147</v>
      </c>
      <c r="BE146" s="16">
        <f t="shared" ref="BE146:BE152" si="119">IF(AM146&lt;=0,0,IF(AM146&gt;(BD146+BC146),M146+(AM146-BD146-BC146)*BB146,M146))</f>
        <v>172.16082883436346</v>
      </c>
      <c r="BF146" s="16">
        <f t="shared" ref="BF146:BF152" si="120">L146-2*BE146</f>
        <v>55.678342331273086</v>
      </c>
      <c r="BG146" s="17">
        <f t="shared" ref="BG146:BG152" si="121">IF(2*BE146&gt;(L146-N146),1,BE146/((L146-N146)/2))</f>
        <v>1</v>
      </c>
      <c r="BH146" s="14">
        <f t="shared" ref="BH146:BH152" si="122">BE146*(1+$BF$1*$BF$2)</f>
        <v>378.75382343559966</v>
      </c>
      <c r="BI146" s="14">
        <f t="shared" ref="BI146:BI152" si="123">L146-2*BH146</f>
        <v>-357.50764687119931</v>
      </c>
      <c r="BJ146" s="14">
        <f t="shared" ref="BJ146:BJ152" si="124">($BF$3/2-M146)/BB146+BD146+BC146</f>
        <v>32.02578853962477</v>
      </c>
    </row>
    <row r="147" spans="1:62">
      <c r="B147" s="14" t="s">
        <v>91</v>
      </c>
      <c r="C147" s="81" t="str">
        <f>MostLikely!$B$1</f>
        <v>MRI-CGCM2.3.2</v>
      </c>
      <c r="D147" s="89">
        <v>2065</v>
      </c>
      <c r="E147" s="57">
        <f>'Cooler&amp;Wetter'!AA93</f>
        <v>35.652500000000003</v>
      </c>
      <c r="F147" s="90">
        <f>MostLikely!AC93</f>
        <v>23.301262199999996</v>
      </c>
      <c r="G147" s="35">
        <f t="shared" ref="G147:G152" si="125">$G$10</f>
        <v>2005</v>
      </c>
      <c r="H147" s="91" t="str">
        <f t="shared" si="105"/>
        <v>Pile 32 @ Berth 201</v>
      </c>
      <c r="I147" s="35" t="str">
        <f t="shared" si="106"/>
        <v>Turpentine Gum</v>
      </c>
      <c r="J147" s="35" t="str">
        <f t="shared" si="107"/>
        <v>HW1</v>
      </c>
      <c r="K147" s="35" t="str">
        <f t="shared" ref="K147:K152" si="126">$K$10</f>
        <v>SPHU</v>
      </c>
      <c r="L147" s="35">
        <f t="shared" si="108"/>
        <v>400</v>
      </c>
      <c r="M147" s="35">
        <f t="shared" si="109"/>
        <v>20</v>
      </c>
      <c r="N147" s="35">
        <f t="shared" si="110"/>
        <v>200</v>
      </c>
      <c r="O147" s="35" t="str">
        <f t="shared" si="111"/>
        <v>MTN2</v>
      </c>
      <c r="P147" s="35" t="str">
        <f t="shared" si="112"/>
        <v>CNT2</v>
      </c>
      <c r="Q147" s="35" t="str">
        <f t="shared" si="113"/>
        <v>KNT3</v>
      </c>
      <c r="R147" s="35" t="str">
        <f t="shared" si="114"/>
        <v>E</v>
      </c>
      <c r="S147" s="35" t="str">
        <f t="shared" si="115"/>
        <v>EXP1</v>
      </c>
      <c r="T147" s="58"/>
      <c r="U147" s="58"/>
      <c r="V147" s="58"/>
      <c r="W147" s="58"/>
      <c r="X147" s="58"/>
      <c r="Y147" s="58"/>
      <c r="Z147" s="58"/>
      <c r="AA147" s="95">
        <f t="shared" si="104"/>
        <v>1</v>
      </c>
      <c r="AB147" s="96">
        <f t="shared" ref="AB147:AB152" si="127">BE147</f>
        <v>175.60948306063608</v>
      </c>
      <c r="AC147" s="58"/>
      <c r="AD147" s="58"/>
      <c r="AE147" s="58"/>
      <c r="AF147" s="58"/>
      <c r="AG147" s="58"/>
      <c r="AH147" s="58"/>
      <c r="AI147" s="58"/>
      <c r="AJ147" s="58"/>
      <c r="AK147" s="58"/>
      <c r="AL147" s="58"/>
      <c r="AM147" s="89">
        <f t="shared" ref="AM147:AM152" si="128">MAX(0,D147-G147)</f>
        <v>60</v>
      </c>
      <c r="AN147" s="5">
        <f t="shared" si="116"/>
        <v>35.652500000000003</v>
      </c>
      <c r="AO147" s="14">
        <f t="shared" si="117"/>
        <v>2.067993871201089</v>
      </c>
      <c r="AP147" s="14">
        <f>IF((OR(R147="A",R147="B",R147="C")),INDEX(Coefficients!$S$4:$S$22,MATCH(J147,Coefficients!$R$4:$R$22)),INDEX(Coefficients!$T$4:$T$22,MATCH(J147,Coefficients!$R$4:$R$22)))</f>
        <v>1.3</v>
      </c>
      <c r="AQ147" s="27">
        <f>IF((OR(R147="A",R147="B",R147="C")),INDEX(Coefficients!$S$4:$S$22,MATCH(K147,Coefficients!$R$4:$R$22)),INDEX(Coefficients!$T$4:$T$22,MATCH(K147,Coefficients!$R$4:$R$22)))</f>
        <v>25</v>
      </c>
      <c r="AR147" s="15">
        <f>IF(OR(R147="A",R147="B",R147="C",R147="D"),IF(AN147&gt;=11,IF(AN147&gt;=26,Coefficients!$M$6,Coefficients!$M$5),Coefficients!$M$4),IF(AN147&gt;=11,IF(AN147&gt;=26,Coefficients!$N$6,Coefficients!$N$5),Coefficients!$N$4))</f>
        <v>1</v>
      </c>
      <c r="AS147" s="15">
        <f>INDEX(Coefficients!$X$3:$X$4,MATCH(S147,Coefficients!$W$3:$W$4))</f>
        <v>1</v>
      </c>
      <c r="AT147" s="15">
        <f>INDEX(Coefficients!$X$7:$X$8,MATCH(O147,Coefficients!$W$7:$W$8))</f>
        <v>1</v>
      </c>
      <c r="AU147" s="15">
        <f>INDEX(Coefficients!$X$11:$X$12,MATCH(P147,Coefficients!$W$11:$W$12))</f>
        <v>1</v>
      </c>
      <c r="AV147" s="15">
        <f>INDEX(Coefficients!$X$15:$X$17,MATCH(Q147,Coefficients!$W$15:$W$17))</f>
        <v>1</v>
      </c>
      <c r="AW147" s="15">
        <f t="shared" ref="AW147:AW152" si="129">AR147*AS147</f>
        <v>1</v>
      </c>
      <c r="AX147" s="15">
        <f t="shared" ref="AX147:AX152" si="130">AT147*AU147*AV147</f>
        <v>1</v>
      </c>
      <c r="AY147" s="15">
        <f t="shared" ref="AY147:AY152" si="131">AP147*AR147*AS147*AT147*AU147*AV147</f>
        <v>1.3</v>
      </c>
      <c r="AZ147" s="14">
        <f t="shared" ref="AZ147:AZ152" si="132">AO147*AQ147*AW147*AX147</f>
        <v>51.699846780027222</v>
      </c>
      <c r="BA147" s="14">
        <f t="shared" ref="BA147:BA152" si="133">IF(AZ147&gt;=20,0,2-0.1*AZ147)</f>
        <v>0</v>
      </c>
      <c r="BB147" s="14">
        <f t="shared" ref="BB147:BB152" si="134">AO147*AP147*AR147*AS147*AT147*AU147*AV147</f>
        <v>2.6883920325614157</v>
      </c>
      <c r="BC147" s="14">
        <f t="shared" ref="BC147:BC152" si="135">IF(BB147&gt;=20,0,2-0.1*BB147)</f>
        <v>1.7311607967438585</v>
      </c>
      <c r="BD147" s="14">
        <f t="shared" si="118"/>
        <v>0.38684834183544303</v>
      </c>
      <c r="BE147" s="16">
        <f t="shared" si="119"/>
        <v>175.60948306063608</v>
      </c>
      <c r="BF147" s="16">
        <f t="shared" si="120"/>
        <v>48.78103387872784</v>
      </c>
      <c r="BG147" s="17">
        <f t="shared" si="121"/>
        <v>1</v>
      </c>
      <c r="BH147" s="14">
        <f t="shared" si="122"/>
        <v>386.34086273339943</v>
      </c>
      <c r="BI147" s="14">
        <f t="shared" si="123"/>
        <v>-372.68172546679887</v>
      </c>
      <c r="BJ147" s="14">
        <f t="shared" si="124"/>
        <v>31.875573895151842</v>
      </c>
    </row>
    <row r="148" spans="1:62">
      <c r="B148" s="14" t="s">
        <v>91</v>
      </c>
      <c r="C148" s="81" t="str">
        <f>MostLikely!$B$1</f>
        <v>MRI-CGCM2.3.2</v>
      </c>
      <c r="D148" s="89">
        <v>2066</v>
      </c>
      <c r="E148" s="57">
        <f>'Cooler&amp;Wetter'!AA94</f>
        <v>35.655999999999999</v>
      </c>
      <c r="F148" s="90">
        <f>MostLikely!AC94</f>
        <v>23.339163539999998</v>
      </c>
      <c r="G148" s="35">
        <f t="shared" si="125"/>
        <v>2005</v>
      </c>
      <c r="H148" s="91" t="str">
        <f t="shared" si="105"/>
        <v>Pile 32 @ Berth 201</v>
      </c>
      <c r="I148" s="35" t="str">
        <f t="shared" si="106"/>
        <v>Turpentine Gum</v>
      </c>
      <c r="J148" s="35" t="str">
        <f t="shared" si="107"/>
        <v>HW1</v>
      </c>
      <c r="K148" s="35" t="str">
        <f t="shared" si="126"/>
        <v>SPHU</v>
      </c>
      <c r="L148" s="35">
        <f t="shared" si="108"/>
        <v>400</v>
      </c>
      <c r="M148" s="35">
        <f t="shared" si="109"/>
        <v>20</v>
      </c>
      <c r="N148" s="35">
        <f t="shared" si="110"/>
        <v>200</v>
      </c>
      <c r="O148" s="35" t="str">
        <f t="shared" si="111"/>
        <v>MTN2</v>
      </c>
      <c r="P148" s="35" t="str">
        <f t="shared" si="112"/>
        <v>CNT2</v>
      </c>
      <c r="Q148" s="35" t="str">
        <f t="shared" si="113"/>
        <v>KNT3</v>
      </c>
      <c r="R148" s="35" t="str">
        <f t="shared" si="114"/>
        <v>E</v>
      </c>
      <c r="S148" s="35" t="str">
        <f t="shared" si="115"/>
        <v>EXP1</v>
      </c>
      <c r="T148" s="58"/>
      <c r="U148" s="58"/>
      <c r="V148" s="58"/>
      <c r="W148" s="58"/>
      <c r="X148" s="58"/>
      <c r="Y148" s="58"/>
      <c r="Z148" s="58"/>
      <c r="AA148" s="95">
        <f t="shared" si="104"/>
        <v>1</v>
      </c>
      <c r="AB148" s="96">
        <f t="shared" si="127"/>
        <v>179.08848537904805</v>
      </c>
      <c r="AC148" s="58"/>
      <c r="AD148" s="58"/>
      <c r="AE148" s="58"/>
      <c r="AF148" s="58"/>
      <c r="AG148" s="58"/>
      <c r="AH148" s="58"/>
      <c r="AI148" s="58"/>
      <c r="AJ148" s="58"/>
      <c r="AK148" s="58"/>
      <c r="AL148" s="58"/>
      <c r="AM148" s="89">
        <f t="shared" si="128"/>
        <v>61</v>
      </c>
      <c r="AN148" s="5">
        <f t="shared" si="116"/>
        <v>35.655999999999999</v>
      </c>
      <c r="AO148" s="14">
        <f t="shared" si="117"/>
        <v>2.0782083809185674</v>
      </c>
      <c r="AP148" s="14">
        <f>IF((OR(R148="A",R148="B",R148="C")),INDEX(Coefficients!$S$4:$S$22,MATCH(J148,Coefficients!$R$4:$R$22)),INDEX(Coefficients!$T$4:$T$22,MATCH(J148,Coefficients!$R$4:$R$22)))</f>
        <v>1.3</v>
      </c>
      <c r="AQ148" s="27">
        <f>IF((OR(R148="A",R148="B",R148="C")),INDEX(Coefficients!$S$4:$S$22,MATCH(K148,Coefficients!$R$4:$R$22)),INDEX(Coefficients!$T$4:$T$22,MATCH(K148,Coefficients!$R$4:$R$22)))</f>
        <v>25</v>
      </c>
      <c r="AR148" s="15">
        <f>IF(OR(R148="A",R148="B",R148="C",R148="D"),IF(AN148&gt;=11,IF(AN148&gt;=26,Coefficients!$M$6,Coefficients!$M$5),Coefficients!$M$4),IF(AN148&gt;=11,IF(AN148&gt;=26,Coefficients!$N$6,Coefficients!$N$5),Coefficients!$N$4))</f>
        <v>1</v>
      </c>
      <c r="AS148" s="15">
        <f>INDEX(Coefficients!$X$3:$X$4,MATCH(S148,Coefficients!$W$3:$W$4))</f>
        <v>1</v>
      </c>
      <c r="AT148" s="15">
        <f>INDEX(Coefficients!$X$7:$X$8,MATCH(O148,Coefficients!$W$7:$W$8))</f>
        <v>1</v>
      </c>
      <c r="AU148" s="15">
        <f>INDEX(Coefficients!$X$11:$X$12,MATCH(P148,Coefficients!$W$11:$W$12))</f>
        <v>1</v>
      </c>
      <c r="AV148" s="15">
        <f>INDEX(Coefficients!$X$15:$X$17,MATCH(Q148,Coefficients!$W$15:$W$17))</f>
        <v>1</v>
      </c>
      <c r="AW148" s="15">
        <f t="shared" si="129"/>
        <v>1</v>
      </c>
      <c r="AX148" s="15">
        <f t="shared" si="130"/>
        <v>1</v>
      </c>
      <c r="AY148" s="15">
        <f t="shared" si="131"/>
        <v>1.3</v>
      </c>
      <c r="AZ148" s="14">
        <f t="shared" si="132"/>
        <v>51.955209522964182</v>
      </c>
      <c r="BA148" s="14">
        <f t="shared" si="133"/>
        <v>0</v>
      </c>
      <c r="BB148" s="14">
        <f t="shared" si="134"/>
        <v>2.7016708951941379</v>
      </c>
      <c r="BC148" s="14">
        <f t="shared" si="135"/>
        <v>1.7298329104805861</v>
      </c>
      <c r="BD148" s="14">
        <f t="shared" si="118"/>
        <v>0.38494696073085816</v>
      </c>
      <c r="BE148" s="16">
        <f t="shared" si="119"/>
        <v>179.08848537904805</v>
      </c>
      <c r="BF148" s="16">
        <f t="shared" si="120"/>
        <v>41.823029241903896</v>
      </c>
      <c r="BG148" s="17">
        <f t="shared" si="121"/>
        <v>1</v>
      </c>
      <c r="BH148" s="14">
        <f t="shared" si="122"/>
        <v>393.99466783390574</v>
      </c>
      <c r="BI148" s="14">
        <f t="shared" si="123"/>
        <v>-387.98933566781147</v>
      </c>
      <c r="BJ148" s="14">
        <f t="shared" si="124"/>
        <v>31.726084542815912</v>
      </c>
    </row>
    <row r="149" spans="1:62">
      <c r="B149" s="14" t="s">
        <v>91</v>
      </c>
      <c r="C149" s="81" t="str">
        <f>MostLikely!$B$1</f>
        <v>MRI-CGCM2.3.2</v>
      </c>
      <c r="D149" s="89">
        <v>2067</v>
      </c>
      <c r="E149" s="57">
        <f>'Cooler&amp;Wetter'!AA95</f>
        <v>35.659500000000001</v>
      </c>
      <c r="F149" s="90">
        <f>MostLikely!AC95</f>
        <v>23.377064879999999</v>
      </c>
      <c r="G149" s="35">
        <f t="shared" si="125"/>
        <v>2005</v>
      </c>
      <c r="H149" s="91" t="str">
        <f t="shared" si="105"/>
        <v>Pile 32 @ Berth 201</v>
      </c>
      <c r="I149" s="35" t="str">
        <f t="shared" si="106"/>
        <v>Turpentine Gum</v>
      </c>
      <c r="J149" s="35" t="str">
        <f t="shared" si="107"/>
        <v>HW1</v>
      </c>
      <c r="K149" s="35" t="str">
        <f t="shared" si="126"/>
        <v>SPHU</v>
      </c>
      <c r="L149" s="35">
        <f t="shared" si="108"/>
        <v>400</v>
      </c>
      <c r="M149" s="35">
        <f t="shared" si="109"/>
        <v>20</v>
      </c>
      <c r="N149" s="35">
        <f t="shared" si="110"/>
        <v>200</v>
      </c>
      <c r="O149" s="35" t="str">
        <f t="shared" si="111"/>
        <v>MTN2</v>
      </c>
      <c r="P149" s="35" t="str">
        <f t="shared" si="112"/>
        <v>CNT2</v>
      </c>
      <c r="Q149" s="35" t="str">
        <f t="shared" si="113"/>
        <v>KNT3</v>
      </c>
      <c r="R149" s="35" t="str">
        <f t="shared" si="114"/>
        <v>E</v>
      </c>
      <c r="S149" s="35" t="str">
        <f t="shared" si="115"/>
        <v>EXP1</v>
      </c>
      <c r="T149" s="58"/>
      <c r="U149" s="58"/>
      <c r="V149" s="58"/>
      <c r="W149" s="58"/>
      <c r="X149" s="58"/>
      <c r="Y149" s="58"/>
      <c r="Z149" s="58"/>
      <c r="AA149" s="95">
        <f t="shared" si="104"/>
        <v>1</v>
      </c>
      <c r="AB149" s="96">
        <f t="shared" si="127"/>
        <v>182.59805162602234</v>
      </c>
      <c r="AC149" s="58"/>
      <c r="AD149" s="58"/>
      <c r="AE149" s="58"/>
      <c r="AF149" s="58"/>
      <c r="AG149" s="58"/>
      <c r="AH149" s="58"/>
      <c r="AI149" s="58"/>
      <c r="AJ149" s="58"/>
      <c r="AK149" s="58"/>
      <c r="AL149" s="58"/>
      <c r="AM149" s="89">
        <f t="shared" si="128"/>
        <v>62</v>
      </c>
      <c r="AN149" s="5">
        <f t="shared" si="116"/>
        <v>35.659500000000001</v>
      </c>
      <c r="AO149" s="14">
        <f t="shared" si="117"/>
        <v>2.0884733434977401</v>
      </c>
      <c r="AP149" s="14">
        <f>IF((OR(R149="A",R149="B",R149="C")),INDEX(Coefficients!$S$4:$S$22,MATCH(J149,Coefficients!$R$4:$R$22)),INDEX(Coefficients!$T$4:$T$22,MATCH(J149,Coefficients!$R$4:$R$22)))</f>
        <v>1.3</v>
      </c>
      <c r="AQ149" s="27">
        <f>IF((OR(R149="A",R149="B",R149="C")),INDEX(Coefficients!$S$4:$S$22,MATCH(K149,Coefficients!$R$4:$R$22)),INDEX(Coefficients!$T$4:$T$22,MATCH(K149,Coefficients!$R$4:$R$22)))</f>
        <v>25</v>
      </c>
      <c r="AR149" s="15">
        <f>IF(OR(R149="A",R149="B",R149="C",R149="D"),IF(AN149&gt;=11,IF(AN149&gt;=26,Coefficients!$M$6,Coefficients!$M$5),Coefficients!$M$4),IF(AN149&gt;=11,IF(AN149&gt;=26,Coefficients!$N$6,Coefficients!$N$5),Coefficients!$N$4))</f>
        <v>1</v>
      </c>
      <c r="AS149" s="15">
        <f>INDEX(Coefficients!$X$3:$X$4,MATCH(S149,Coefficients!$W$3:$W$4))</f>
        <v>1</v>
      </c>
      <c r="AT149" s="15">
        <f>INDEX(Coefficients!$X$7:$X$8,MATCH(O149,Coefficients!$W$7:$W$8))</f>
        <v>1</v>
      </c>
      <c r="AU149" s="15">
        <f>INDEX(Coefficients!$X$11:$X$12,MATCH(P149,Coefficients!$W$11:$W$12))</f>
        <v>1</v>
      </c>
      <c r="AV149" s="15">
        <f>INDEX(Coefficients!$X$15:$X$17,MATCH(Q149,Coefficients!$W$15:$W$17))</f>
        <v>1</v>
      </c>
      <c r="AW149" s="15">
        <f t="shared" si="129"/>
        <v>1</v>
      </c>
      <c r="AX149" s="15">
        <f t="shared" si="130"/>
        <v>1</v>
      </c>
      <c r="AY149" s="15">
        <f t="shared" si="131"/>
        <v>1.3</v>
      </c>
      <c r="AZ149" s="14">
        <f t="shared" si="132"/>
        <v>52.2118335874435</v>
      </c>
      <c r="BA149" s="14">
        <f t="shared" si="133"/>
        <v>0</v>
      </c>
      <c r="BB149" s="14">
        <f t="shared" si="134"/>
        <v>2.7150153465470623</v>
      </c>
      <c r="BC149" s="14">
        <f t="shared" si="135"/>
        <v>1.7284984653452937</v>
      </c>
      <c r="BD149" s="14">
        <f t="shared" si="118"/>
        <v>0.38305492502009791</v>
      </c>
      <c r="BE149" s="16">
        <f t="shared" si="119"/>
        <v>182.59805162602234</v>
      </c>
      <c r="BF149" s="16">
        <f t="shared" si="120"/>
        <v>34.803896747955321</v>
      </c>
      <c r="BG149" s="17">
        <f t="shared" si="121"/>
        <v>1</v>
      </c>
      <c r="BH149" s="14">
        <f t="shared" si="122"/>
        <v>401.71571357724918</v>
      </c>
      <c r="BI149" s="14">
        <f t="shared" si="123"/>
        <v>-403.43142715449835</v>
      </c>
      <c r="BJ149" s="14">
        <f t="shared" si="124"/>
        <v>31.577316853449844</v>
      </c>
    </row>
    <row r="150" spans="1:62">
      <c r="B150" s="14" t="s">
        <v>91</v>
      </c>
      <c r="C150" s="81" t="str">
        <f>MostLikely!$B$1</f>
        <v>MRI-CGCM2.3.2</v>
      </c>
      <c r="D150" s="89">
        <v>2068</v>
      </c>
      <c r="E150" s="57">
        <f>'Cooler&amp;Wetter'!AA96</f>
        <v>35.662999999999997</v>
      </c>
      <c r="F150" s="90">
        <f>MostLikely!AC96</f>
        <v>23.414966219999997</v>
      </c>
      <c r="G150" s="35">
        <f t="shared" si="125"/>
        <v>2005</v>
      </c>
      <c r="H150" s="91" t="str">
        <f t="shared" si="105"/>
        <v>Pile 32 @ Berth 201</v>
      </c>
      <c r="I150" s="35" t="str">
        <f t="shared" si="106"/>
        <v>Turpentine Gum</v>
      </c>
      <c r="J150" s="35" t="str">
        <f t="shared" si="107"/>
        <v>HW1</v>
      </c>
      <c r="K150" s="35" t="str">
        <f t="shared" si="126"/>
        <v>SPHU</v>
      </c>
      <c r="L150" s="35">
        <f t="shared" si="108"/>
        <v>400</v>
      </c>
      <c r="M150" s="35">
        <f t="shared" si="109"/>
        <v>20</v>
      </c>
      <c r="N150" s="35">
        <f t="shared" si="110"/>
        <v>200</v>
      </c>
      <c r="O150" s="35" t="str">
        <f t="shared" si="111"/>
        <v>MTN2</v>
      </c>
      <c r="P150" s="35" t="str">
        <f t="shared" si="112"/>
        <v>CNT2</v>
      </c>
      <c r="Q150" s="35" t="str">
        <f t="shared" si="113"/>
        <v>KNT3</v>
      </c>
      <c r="R150" s="35" t="str">
        <f t="shared" si="114"/>
        <v>E</v>
      </c>
      <c r="S150" s="35" t="str">
        <f t="shared" si="115"/>
        <v>EXP1</v>
      </c>
      <c r="T150" s="58"/>
      <c r="U150" s="58"/>
      <c r="V150" s="58"/>
      <c r="W150" s="58"/>
      <c r="X150" s="58"/>
      <c r="Y150" s="58"/>
      <c r="Z150" s="58"/>
      <c r="AA150" s="95">
        <f t="shared" si="104"/>
        <v>1</v>
      </c>
      <c r="AB150" s="96">
        <f t="shared" si="127"/>
        <v>186.13839903148454</v>
      </c>
      <c r="AC150" s="58"/>
      <c r="AD150" s="58"/>
      <c r="AE150" s="58"/>
      <c r="AF150" s="58"/>
      <c r="AG150" s="58"/>
      <c r="AH150" s="58"/>
      <c r="AI150" s="58"/>
      <c r="AJ150" s="58"/>
      <c r="AK150" s="58"/>
      <c r="AL150" s="58"/>
      <c r="AM150" s="89">
        <f t="shared" si="128"/>
        <v>63</v>
      </c>
      <c r="AN150" s="5">
        <f t="shared" si="116"/>
        <v>35.662999999999997</v>
      </c>
      <c r="AO150" s="14">
        <f t="shared" si="117"/>
        <v>2.098789008142075</v>
      </c>
      <c r="AP150" s="14">
        <f>IF((OR(R150="A",R150="B",R150="C")),INDEX(Coefficients!$S$4:$S$22,MATCH(J150,Coefficients!$R$4:$R$22)),INDEX(Coefficients!$T$4:$T$22,MATCH(J150,Coefficients!$R$4:$R$22)))</f>
        <v>1.3</v>
      </c>
      <c r="AQ150" s="27">
        <f>IF((OR(R150="A",R150="B",R150="C")),INDEX(Coefficients!$S$4:$S$22,MATCH(K150,Coefficients!$R$4:$R$22)),INDEX(Coefficients!$T$4:$T$22,MATCH(K150,Coefficients!$R$4:$R$22)))</f>
        <v>25</v>
      </c>
      <c r="AR150" s="15">
        <f>IF(OR(R150="A",R150="B",R150="C",R150="D"),IF(AN150&gt;=11,IF(AN150&gt;=26,Coefficients!$M$6,Coefficients!$M$5),Coefficients!$M$4),IF(AN150&gt;=11,IF(AN150&gt;=26,Coefficients!$N$6,Coefficients!$N$5),Coefficients!$N$4))</f>
        <v>1</v>
      </c>
      <c r="AS150" s="15">
        <f>INDEX(Coefficients!$X$3:$X$4,MATCH(S150,Coefficients!$W$3:$W$4))</f>
        <v>1</v>
      </c>
      <c r="AT150" s="15">
        <f>INDEX(Coefficients!$X$7:$X$8,MATCH(O150,Coefficients!$W$7:$W$8))</f>
        <v>1</v>
      </c>
      <c r="AU150" s="15">
        <f>INDEX(Coefficients!$X$11:$X$12,MATCH(P150,Coefficients!$W$11:$W$12))</f>
        <v>1</v>
      </c>
      <c r="AV150" s="15">
        <f>INDEX(Coefficients!$X$15:$X$17,MATCH(Q150,Coefficients!$W$15:$W$17))</f>
        <v>1</v>
      </c>
      <c r="AW150" s="15">
        <f t="shared" si="129"/>
        <v>1</v>
      </c>
      <c r="AX150" s="15">
        <f t="shared" si="130"/>
        <v>1</v>
      </c>
      <c r="AY150" s="15">
        <f t="shared" si="131"/>
        <v>1.3</v>
      </c>
      <c r="AZ150" s="14">
        <f t="shared" si="132"/>
        <v>52.469725203551874</v>
      </c>
      <c r="BA150" s="14">
        <f t="shared" si="133"/>
        <v>0</v>
      </c>
      <c r="BB150" s="14">
        <f t="shared" si="134"/>
        <v>2.7284257105846978</v>
      </c>
      <c r="BC150" s="14">
        <f t="shared" si="135"/>
        <v>1.7271574289415301</v>
      </c>
      <c r="BD150" s="14">
        <f t="shared" si="118"/>
        <v>0.38117218877003234</v>
      </c>
      <c r="BE150" s="16">
        <f t="shared" si="119"/>
        <v>186.13839903148454</v>
      </c>
      <c r="BF150" s="16">
        <f t="shared" si="120"/>
        <v>27.723201937030922</v>
      </c>
      <c r="BG150" s="17">
        <f t="shared" si="121"/>
        <v>1</v>
      </c>
      <c r="BH150" s="14">
        <f t="shared" si="122"/>
        <v>409.504477869266</v>
      </c>
      <c r="BI150" s="14">
        <f t="shared" si="123"/>
        <v>-419.00895573853199</v>
      </c>
      <c r="BJ150" s="14">
        <f t="shared" si="124"/>
        <v>31.429267215406359</v>
      </c>
    </row>
    <row r="151" spans="1:62">
      <c r="B151" s="14" t="s">
        <v>91</v>
      </c>
      <c r="C151" s="81" t="str">
        <f>MostLikely!$B$1</f>
        <v>MRI-CGCM2.3.2</v>
      </c>
      <c r="D151" s="89">
        <v>2069</v>
      </c>
      <c r="E151" s="57">
        <f>'Cooler&amp;Wetter'!AA97</f>
        <v>35.666499999999999</v>
      </c>
      <c r="F151" s="90">
        <f>MostLikely!AC97</f>
        <v>23.452867559999998</v>
      </c>
      <c r="G151" s="35">
        <f t="shared" si="125"/>
        <v>2005</v>
      </c>
      <c r="H151" s="91" t="str">
        <f t="shared" si="105"/>
        <v>Pile 32 @ Berth 201</v>
      </c>
      <c r="I151" s="35" t="str">
        <f t="shared" si="106"/>
        <v>Turpentine Gum</v>
      </c>
      <c r="J151" s="35" t="str">
        <f t="shared" si="107"/>
        <v>HW1</v>
      </c>
      <c r="K151" s="35" t="str">
        <f t="shared" si="126"/>
        <v>SPHU</v>
      </c>
      <c r="L151" s="35">
        <f t="shared" si="108"/>
        <v>400</v>
      </c>
      <c r="M151" s="35">
        <f t="shared" si="109"/>
        <v>20</v>
      </c>
      <c r="N151" s="35">
        <f t="shared" si="110"/>
        <v>200</v>
      </c>
      <c r="O151" s="35" t="str">
        <f t="shared" si="111"/>
        <v>MTN2</v>
      </c>
      <c r="P151" s="35" t="str">
        <f t="shared" si="112"/>
        <v>CNT2</v>
      </c>
      <c r="Q151" s="35" t="str">
        <f t="shared" si="113"/>
        <v>KNT3</v>
      </c>
      <c r="R151" s="35" t="str">
        <f t="shared" si="114"/>
        <v>E</v>
      </c>
      <c r="S151" s="35" t="str">
        <f t="shared" si="115"/>
        <v>EXP1</v>
      </c>
      <c r="T151" s="58"/>
      <c r="U151" s="58"/>
      <c r="V151" s="58"/>
      <c r="W151" s="58"/>
      <c r="X151" s="58"/>
      <c r="Y151" s="58"/>
      <c r="Z151" s="58"/>
      <c r="AA151" s="95">
        <f t="shared" si="104"/>
        <v>1</v>
      </c>
      <c r="AB151" s="96">
        <f t="shared" si="127"/>
        <v>189.70974622737998</v>
      </c>
      <c r="AC151" s="58"/>
      <c r="AD151" s="58"/>
      <c r="AE151" s="58"/>
      <c r="AF151" s="58"/>
      <c r="AG151" s="58"/>
      <c r="AH151" s="58"/>
      <c r="AI151" s="58"/>
      <c r="AJ151" s="58"/>
      <c r="AK151" s="58"/>
      <c r="AL151" s="58"/>
      <c r="AM151" s="89">
        <f t="shared" si="128"/>
        <v>64</v>
      </c>
      <c r="AN151" s="5">
        <f t="shared" si="116"/>
        <v>35.666499999999999</v>
      </c>
      <c r="AO151" s="14">
        <f t="shared" si="117"/>
        <v>2.1091556252859411</v>
      </c>
      <c r="AP151" s="14">
        <f>IF((OR(R151="A",R151="B",R151="C")),INDEX(Coefficients!$S$4:$S$22,MATCH(J151,Coefficients!$R$4:$R$22)),INDEX(Coefficients!$T$4:$T$22,MATCH(J151,Coefficients!$R$4:$R$22)))</f>
        <v>1.3</v>
      </c>
      <c r="AQ151" s="27">
        <f>IF((OR(R151="A",R151="B",R151="C")),INDEX(Coefficients!$S$4:$S$22,MATCH(K151,Coefficients!$R$4:$R$22)),INDEX(Coefficients!$T$4:$T$22,MATCH(K151,Coefficients!$R$4:$R$22)))</f>
        <v>25</v>
      </c>
      <c r="AR151" s="15">
        <f>IF(OR(R151="A",R151="B",R151="C",R151="D"),IF(AN151&gt;=11,IF(AN151&gt;=26,Coefficients!$M$6,Coefficients!$M$5),Coefficients!$M$4),IF(AN151&gt;=11,IF(AN151&gt;=26,Coefficients!$N$6,Coefficients!$N$5),Coefficients!$N$4))</f>
        <v>1</v>
      </c>
      <c r="AS151" s="15">
        <f>INDEX(Coefficients!$X$3:$X$4,MATCH(S151,Coefficients!$W$3:$W$4))</f>
        <v>1</v>
      </c>
      <c r="AT151" s="15">
        <f>INDEX(Coefficients!$X$7:$X$8,MATCH(O151,Coefficients!$W$7:$W$8))</f>
        <v>1</v>
      </c>
      <c r="AU151" s="15">
        <f>INDEX(Coefficients!$X$11:$X$12,MATCH(P151,Coefficients!$W$11:$W$12))</f>
        <v>1</v>
      </c>
      <c r="AV151" s="15">
        <f>INDEX(Coefficients!$X$15:$X$17,MATCH(Q151,Coefficients!$W$15:$W$17))</f>
        <v>1</v>
      </c>
      <c r="AW151" s="15">
        <f t="shared" si="129"/>
        <v>1</v>
      </c>
      <c r="AX151" s="15">
        <f t="shared" si="130"/>
        <v>1</v>
      </c>
      <c r="AY151" s="15">
        <f t="shared" si="131"/>
        <v>1.3</v>
      </c>
      <c r="AZ151" s="14">
        <f t="shared" si="132"/>
        <v>52.728890632148527</v>
      </c>
      <c r="BA151" s="14">
        <f t="shared" si="133"/>
        <v>0</v>
      </c>
      <c r="BB151" s="14">
        <f t="shared" si="134"/>
        <v>2.7419023128717237</v>
      </c>
      <c r="BC151" s="14">
        <f t="shared" si="135"/>
        <v>1.7258097687128275</v>
      </c>
      <c r="BD151" s="14">
        <f t="shared" si="118"/>
        <v>0.37929870627329498</v>
      </c>
      <c r="BE151" s="16">
        <f t="shared" si="119"/>
        <v>189.70974622737998</v>
      </c>
      <c r="BF151" s="16">
        <f t="shared" si="120"/>
        <v>20.580507545240039</v>
      </c>
      <c r="BG151" s="17">
        <f t="shared" si="121"/>
        <v>1</v>
      </c>
      <c r="BH151" s="14">
        <f t="shared" si="122"/>
        <v>417.36144170023601</v>
      </c>
      <c r="BI151" s="14">
        <f t="shared" si="123"/>
        <v>-434.72288340047203</v>
      </c>
      <c r="BJ151" s="14">
        <f t="shared" si="124"/>
        <v>31.281932034470351</v>
      </c>
    </row>
    <row r="152" spans="1:62">
      <c r="B152" s="14" t="s">
        <v>91</v>
      </c>
      <c r="C152" s="81" t="str">
        <f>MostLikely!$B$1</f>
        <v>MRI-CGCM2.3.2</v>
      </c>
      <c r="D152" s="89">
        <v>2070</v>
      </c>
      <c r="E152" s="57">
        <f>'Cooler&amp;Wetter'!AA98</f>
        <v>35.67</v>
      </c>
      <c r="F152" s="90">
        <f>MostLikely!AC98</f>
        <v>23.490768899999999</v>
      </c>
      <c r="G152" s="35">
        <f t="shared" si="125"/>
        <v>2005</v>
      </c>
      <c r="H152" s="91" t="str">
        <f t="shared" si="105"/>
        <v>Pile 32 @ Berth 201</v>
      </c>
      <c r="I152" s="35" t="str">
        <f t="shared" si="106"/>
        <v>Turpentine Gum</v>
      </c>
      <c r="J152" s="35" t="str">
        <f t="shared" si="107"/>
        <v>HW1</v>
      </c>
      <c r="K152" s="35" t="str">
        <f t="shared" si="126"/>
        <v>SPHU</v>
      </c>
      <c r="L152" s="35">
        <f t="shared" si="108"/>
        <v>400</v>
      </c>
      <c r="M152" s="35">
        <f t="shared" si="109"/>
        <v>20</v>
      </c>
      <c r="N152" s="35">
        <f t="shared" si="110"/>
        <v>200</v>
      </c>
      <c r="O152" s="35" t="str">
        <f t="shared" si="111"/>
        <v>MTN2</v>
      </c>
      <c r="P152" s="35" t="str">
        <f t="shared" si="112"/>
        <v>CNT2</v>
      </c>
      <c r="Q152" s="35" t="str">
        <f t="shared" si="113"/>
        <v>KNT3</v>
      </c>
      <c r="R152" s="35" t="str">
        <f t="shared" si="114"/>
        <v>E</v>
      </c>
      <c r="S152" s="35" t="str">
        <f t="shared" si="115"/>
        <v>EXP1</v>
      </c>
      <c r="T152" s="58"/>
      <c r="U152" s="58"/>
      <c r="V152" s="58"/>
      <c r="W152" s="58"/>
      <c r="X152" s="58"/>
      <c r="Y152" s="58"/>
      <c r="Z152" s="58"/>
      <c r="AA152" s="95">
        <f t="shared" si="104"/>
        <v>1</v>
      </c>
      <c r="AB152" s="96">
        <f t="shared" si="127"/>
        <v>193.31231325624148</v>
      </c>
      <c r="AC152" s="58"/>
      <c r="AD152" s="58"/>
      <c r="AE152" s="58"/>
      <c r="AF152" s="58"/>
      <c r="AG152" s="58"/>
      <c r="AH152" s="58"/>
      <c r="AI152" s="58"/>
      <c r="AJ152" s="58"/>
      <c r="AK152" s="58"/>
      <c r="AL152" s="58"/>
      <c r="AM152" s="89">
        <f t="shared" si="128"/>
        <v>65</v>
      </c>
      <c r="AN152" s="5">
        <f t="shared" si="116"/>
        <v>35.67</v>
      </c>
      <c r="AO152" s="14">
        <f t="shared" si="117"/>
        <v>2.1195734466006848</v>
      </c>
      <c r="AP152" s="14">
        <f>IF((OR(R152="A",R152="B",R152="C")),INDEX(Coefficients!$S$4:$S$22,MATCH(J152,Coefficients!$R$4:$R$22)),INDEX(Coefficients!$T$4:$T$22,MATCH(J152,Coefficients!$R$4:$R$22)))</f>
        <v>1.3</v>
      </c>
      <c r="AQ152" s="27">
        <f>IF((OR(R152="A",R152="B",R152="C")),INDEX(Coefficients!$S$4:$S$22,MATCH(K152,Coefficients!$R$4:$R$22)),INDEX(Coefficients!$T$4:$T$22,MATCH(K152,Coefficients!$R$4:$R$22)))</f>
        <v>25</v>
      </c>
      <c r="AR152" s="15">
        <f>IF(OR(R152="A",R152="B",R152="C",R152="D"),IF(AN152&gt;=11,IF(AN152&gt;=26,Coefficients!$M$6,Coefficients!$M$5),Coefficients!$M$4),IF(AN152&gt;=11,IF(AN152&gt;=26,Coefficients!$N$6,Coefficients!$N$5),Coefficients!$N$4))</f>
        <v>1</v>
      </c>
      <c r="AS152" s="15">
        <f>INDEX(Coefficients!$X$3:$X$4,MATCH(S152,Coefficients!$W$3:$W$4))</f>
        <v>1</v>
      </c>
      <c r="AT152" s="15">
        <f>INDEX(Coefficients!$X$7:$X$8,MATCH(O152,Coefficients!$W$7:$W$8))</f>
        <v>1</v>
      </c>
      <c r="AU152" s="15">
        <f>INDEX(Coefficients!$X$11:$X$12,MATCH(P152,Coefficients!$W$11:$W$12))</f>
        <v>1</v>
      </c>
      <c r="AV152" s="15">
        <f>INDEX(Coefficients!$X$15:$X$17,MATCH(Q152,Coefficients!$W$15:$W$17))</f>
        <v>1</v>
      </c>
      <c r="AW152" s="15">
        <f t="shared" si="129"/>
        <v>1</v>
      </c>
      <c r="AX152" s="15">
        <f t="shared" si="130"/>
        <v>1</v>
      </c>
      <c r="AY152" s="15">
        <f t="shared" si="131"/>
        <v>1.3</v>
      </c>
      <c r="AZ152" s="14">
        <f t="shared" si="132"/>
        <v>52.989336165017122</v>
      </c>
      <c r="BA152" s="14">
        <f t="shared" si="133"/>
        <v>0</v>
      </c>
      <c r="BB152" s="14">
        <f t="shared" si="134"/>
        <v>2.7554454805808906</v>
      </c>
      <c r="BC152" s="14">
        <f t="shared" si="135"/>
        <v>1.7244554519419109</v>
      </c>
      <c r="BD152" s="14">
        <f t="shared" si="118"/>
        <v>0.37743443204717375</v>
      </c>
      <c r="BE152" s="16">
        <f t="shared" si="119"/>
        <v>193.31231325624148</v>
      </c>
      <c r="BF152" s="16">
        <f t="shared" si="120"/>
        <v>13.375373487517038</v>
      </c>
      <c r="BG152" s="17">
        <f t="shared" si="121"/>
        <v>1</v>
      </c>
      <c r="BH152" s="14">
        <f t="shared" si="122"/>
        <v>425.28708916373131</v>
      </c>
      <c r="BI152" s="14">
        <f t="shared" si="123"/>
        <v>-450.57417832746262</v>
      </c>
      <c r="BJ152" s="14">
        <f t="shared" si="124"/>
        <v>31.135307733771675</v>
      </c>
    </row>
    <row r="153" spans="1:62" s="86" customFormat="1">
      <c r="A153" s="86" t="s">
        <v>200</v>
      </c>
      <c r="B153" s="86" t="str">
        <f>B154&amp;" "&amp;C154</f>
        <v>A1FI CSIRO Mk3.5</v>
      </c>
      <c r="H153" s="77"/>
      <c r="AA153" s="97"/>
    </row>
    <row r="154" spans="1:62">
      <c r="B154" s="24" t="s">
        <v>91</v>
      </c>
      <c r="C154" s="24" t="str">
        <f>'Hotter&amp;Drier'!$B$1</f>
        <v>CSIRO Mk3.5</v>
      </c>
      <c r="D154" s="89">
        <v>2000</v>
      </c>
      <c r="E154" s="57">
        <f>'Cooler&amp;Wetter'!AA28</f>
        <v>35.508333333333333</v>
      </c>
      <c r="F154" s="30">
        <f>'Hotter&amp;Drier'!AC28</f>
        <v>21.645</v>
      </c>
      <c r="G154" s="35">
        <f>$G$10</f>
        <v>2005</v>
      </c>
      <c r="H154" s="91" t="str">
        <f t="shared" ref="H154:H217" si="136">$H$10</f>
        <v>Pile 32 @ Berth 201</v>
      </c>
      <c r="I154" s="35" t="str">
        <f t="shared" ref="I154:I217" si="137">$I$10</f>
        <v>Turpentine Gum</v>
      </c>
      <c r="J154" s="35" t="str">
        <f t="shared" ref="J154:J217" si="138">$J$10</f>
        <v>HW1</v>
      </c>
      <c r="K154" s="35" t="str">
        <f>$K$10</f>
        <v>SPHU</v>
      </c>
      <c r="L154" s="35">
        <f t="shared" ref="L154:L217" si="139">$L$10</f>
        <v>400</v>
      </c>
      <c r="M154" s="35">
        <f t="shared" ref="M154:M217" si="140">$M$10</f>
        <v>20</v>
      </c>
      <c r="N154" s="35">
        <f t="shared" ref="N154:N217" si="141">$N$10</f>
        <v>200</v>
      </c>
      <c r="O154" s="35" t="str">
        <f t="shared" ref="O154:O217" si="142">$O$10</f>
        <v>MTN2</v>
      </c>
      <c r="P154" s="35" t="str">
        <f t="shared" ref="P154:P217" si="143">$P$10</f>
        <v>CNT2</v>
      </c>
      <c r="Q154" s="35" t="str">
        <f t="shared" ref="Q154:Q217" si="144">$Q$10</f>
        <v>KNT3</v>
      </c>
      <c r="R154" s="35" t="str">
        <f t="shared" ref="R154:R217" si="145">$R$10</f>
        <v>E</v>
      </c>
      <c r="S154" s="35" t="str">
        <f t="shared" ref="S154:S217" si="146">$S$10</f>
        <v>EXP1</v>
      </c>
      <c r="T154" s="58"/>
      <c r="U154" s="58"/>
      <c r="V154" s="58"/>
      <c r="W154" s="58"/>
      <c r="X154" s="58"/>
      <c r="Y154" s="58"/>
      <c r="Z154" s="58"/>
      <c r="AA154" s="95">
        <f t="shared" si="104"/>
        <v>0</v>
      </c>
      <c r="AB154" s="96">
        <f>BE154</f>
        <v>0</v>
      </c>
      <c r="AC154" s="58"/>
      <c r="AD154" s="58"/>
      <c r="AE154" s="58"/>
      <c r="AF154" s="58"/>
      <c r="AG154" s="58"/>
      <c r="AH154" s="58"/>
      <c r="AI154" s="58"/>
      <c r="AJ154" s="58"/>
      <c r="AK154" s="58"/>
      <c r="AL154" s="58"/>
      <c r="AM154" s="89">
        <f>MAX(0,D154-G154)</f>
        <v>0</v>
      </c>
      <c r="AN154" s="26">
        <f t="shared" ref="AN154:AN185" si="147">E154</f>
        <v>35.508333333333333</v>
      </c>
      <c r="AO154" s="24">
        <f t="shared" ref="AO154:AO185" si="148">0.1*EXP(0.13*F154)</f>
        <v>1.6673989662316264</v>
      </c>
      <c r="AP154" s="24">
        <f>IF((OR(R154="A",R154="B",R154="C")),INDEX(Coefficients!$S$4:$S$22,MATCH(J154,Coefficients!$R$4:$R$22)),INDEX(Coefficients!$T$4:$T$22,MATCH(J154,Coefficients!$R$4:$R$22)))</f>
        <v>1.3</v>
      </c>
      <c r="AQ154" s="27">
        <f>IF((OR(R154="A",R154="B",R154="C")),INDEX(Coefficients!$S$4:$S$22,MATCH(K154,Coefficients!$R$4:$R$22)),INDEX(Coefficients!$T$4:$T$22,MATCH(K154,Coefficients!$R$4:$R$22)))</f>
        <v>25</v>
      </c>
      <c r="AR154" s="27">
        <f>IF(OR(R154="A",R154="B",R154="C",R154="D"),IF(AN154&gt;=11,IF(AN154&gt;=26,Coefficients!$M$6,Coefficients!$M$5),Coefficients!$M$4),IF(AN154&gt;=11,IF(AN154&gt;=26,Coefficients!$N$6,Coefficients!$N$5),Coefficients!$N$4))</f>
        <v>1</v>
      </c>
      <c r="AS154" s="27">
        <f>INDEX(Coefficients!$X$3:$X$4,MATCH(S154,Coefficients!$W$3:$W$4))</f>
        <v>1</v>
      </c>
      <c r="AT154" s="27">
        <f>INDEX(Coefficients!$X$7:$X$8,MATCH(O154,Coefficients!$W$7:$W$8))</f>
        <v>1</v>
      </c>
      <c r="AU154" s="27">
        <f>INDEX(Coefficients!$X$11:$X$12,MATCH(P154,Coefficients!$W$11:$W$12))</f>
        <v>1</v>
      </c>
      <c r="AV154" s="27">
        <f>INDEX(Coefficients!$X$15:$X$17,MATCH(Q154,Coefficients!$W$15:$W$17))</f>
        <v>1</v>
      </c>
      <c r="AW154" s="27">
        <f>AR154*AS154</f>
        <v>1</v>
      </c>
      <c r="AX154" s="27">
        <f>AT154*AU154*AV154</f>
        <v>1</v>
      </c>
      <c r="AY154" s="27">
        <f>AP154*AR154*AS154*AT154*AU154*AV154</f>
        <v>1.3</v>
      </c>
      <c r="AZ154" s="24">
        <f>AO154*AQ154*AW154*AX154</f>
        <v>41.684974155790663</v>
      </c>
      <c r="BA154" s="24">
        <f>IF(AZ154&gt;=20,0,2-0.1*AZ154)</f>
        <v>0</v>
      </c>
      <c r="BB154" s="24">
        <f>AO154*AP154*AR154*AS154*AT154*AU154*AV154</f>
        <v>2.1676186561011144</v>
      </c>
      <c r="BC154" s="24">
        <f>IF(BB154&gt;=20,0,2-0.1*BB154)</f>
        <v>1.7832381343898884</v>
      </c>
      <c r="BD154" s="24">
        <f t="shared" ref="BD154:BD185" si="149">M154/AZ154+BA154</f>
        <v>0.47978919035078021</v>
      </c>
      <c r="BE154" s="16">
        <f t="shared" ref="BE154:BE185" si="150">IF(AM154&lt;=0,0,IF(AM154&gt;(BD154+BC154),M154+(AM154-BD154-BC154)*BB154,M154))</f>
        <v>0</v>
      </c>
      <c r="BF154" s="16">
        <f t="shared" ref="BF154:BF185" si="151">L154-2*BE154</f>
        <v>400</v>
      </c>
      <c r="BG154" s="25">
        <f t="shared" ref="BG154:BG185" si="152">IF(2*BE154&gt;(L154-N154),1,BE154/((L154-N154)/2))</f>
        <v>0</v>
      </c>
      <c r="BH154" s="24">
        <f t="shared" ref="BH154:BH185" si="153">BE154*(1+$BF$1*$BF$2)</f>
        <v>0</v>
      </c>
      <c r="BI154" s="24">
        <f t="shared" ref="BI154:BI185" si="154">L154-2*BH154</f>
        <v>400</v>
      </c>
      <c r="BJ154" s="24">
        <f t="shared" ref="BJ154:BJ185" si="155">($BF$3/2-M154)/BB154+BD154+BC154</f>
        <v>39.169888120954532</v>
      </c>
    </row>
    <row r="155" spans="1:62">
      <c r="B155" s="24" t="s">
        <v>91</v>
      </c>
      <c r="C155" s="82" t="str">
        <f>'Hotter&amp;Drier'!$B$1</f>
        <v>CSIRO Mk3.5</v>
      </c>
      <c r="D155" s="89">
        <v>2001</v>
      </c>
      <c r="E155" s="57">
        <f>'Cooler&amp;Wetter'!AA29</f>
        <v>35.509166666666665</v>
      </c>
      <c r="F155" s="90">
        <f>'Hotter&amp;Drier'!AC29</f>
        <v>21.659500000000001</v>
      </c>
      <c r="G155" s="35">
        <f t="shared" ref="G155:G218" si="156">$G$10</f>
        <v>2005</v>
      </c>
      <c r="H155" s="91" t="str">
        <f t="shared" si="136"/>
        <v>Pile 32 @ Berth 201</v>
      </c>
      <c r="I155" s="35" t="str">
        <f t="shared" si="137"/>
        <v>Turpentine Gum</v>
      </c>
      <c r="J155" s="35" t="str">
        <f t="shared" si="138"/>
        <v>HW1</v>
      </c>
      <c r="K155" s="35" t="str">
        <f t="shared" ref="K155:K218" si="157">$K$10</f>
        <v>SPHU</v>
      </c>
      <c r="L155" s="35">
        <f t="shared" si="139"/>
        <v>400</v>
      </c>
      <c r="M155" s="35">
        <f t="shared" si="140"/>
        <v>20</v>
      </c>
      <c r="N155" s="35">
        <f t="shared" si="141"/>
        <v>200</v>
      </c>
      <c r="O155" s="35" t="str">
        <f t="shared" si="142"/>
        <v>MTN2</v>
      </c>
      <c r="P155" s="35" t="str">
        <f t="shared" si="143"/>
        <v>CNT2</v>
      </c>
      <c r="Q155" s="35" t="str">
        <f t="shared" si="144"/>
        <v>KNT3</v>
      </c>
      <c r="R155" s="35" t="str">
        <f t="shared" si="145"/>
        <v>E</v>
      </c>
      <c r="S155" s="35" t="str">
        <f t="shared" si="146"/>
        <v>EXP1</v>
      </c>
      <c r="T155" s="58"/>
      <c r="U155" s="58"/>
      <c r="V155" s="58"/>
      <c r="W155" s="58"/>
      <c r="X155" s="58"/>
      <c r="Y155" s="58"/>
      <c r="Z155" s="58"/>
      <c r="AA155" s="95">
        <f t="shared" si="104"/>
        <v>0</v>
      </c>
      <c r="AB155" s="96">
        <f t="shared" ref="AB155:AB218" si="158">BE155</f>
        <v>0</v>
      </c>
      <c r="AC155" s="58"/>
      <c r="AD155" s="58"/>
      <c r="AE155" s="58"/>
      <c r="AF155" s="58"/>
      <c r="AG155" s="58"/>
      <c r="AH155" s="58"/>
      <c r="AI155" s="58"/>
      <c r="AJ155" s="58"/>
      <c r="AK155" s="58"/>
      <c r="AL155" s="58"/>
      <c r="AM155" s="89">
        <f t="shared" ref="AM155:AM218" si="159">MAX(0,D155-G155)</f>
        <v>0</v>
      </c>
      <c r="AN155" s="26">
        <f t="shared" si="147"/>
        <v>35.509166666666665</v>
      </c>
      <c r="AO155" s="24">
        <f t="shared" si="148"/>
        <v>1.6705449774670218</v>
      </c>
      <c r="AP155" s="24">
        <f>IF((OR(R155="A",R155="B",R155="C")),INDEX(Coefficients!$S$4:$S$22,MATCH(J155,Coefficients!$R$4:$R$22)),INDEX(Coefficients!$T$4:$T$22,MATCH(J155,Coefficients!$R$4:$R$22)))</f>
        <v>1.3</v>
      </c>
      <c r="AQ155" s="27">
        <f>IF((OR(R155="A",R155="B",R155="C")),INDEX(Coefficients!$S$4:$S$22,MATCH(K155,Coefficients!$R$4:$R$22)),INDEX(Coefficients!$T$4:$T$22,MATCH(K155,Coefficients!$R$4:$R$22)))</f>
        <v>25</v>
      </c>
      <c r="AR155" s="27">
        <f>IF(OR(R155="A",R155="B",R155="C",R155="D"),IF(AN155&gt;=11,IF(AN155&gt;=26,Coefficients!$M$6,Coefficients!$M$5),Coefficients!$M$4),IF(AN155&gt;=11,IF(AN155&gt;=26,Coefficients!$N$6,Coefficients!$N$5),Coefficients!$N$4))</f>
        <v>1</v>
      </c>
      <c r="AS155" s="27">
        <f>INDEX(Coefficients!$X$3:$X$4,MATCH(S155,Coefficients!$W$3:$W$4))</f>
        <v>1</v>
      </c>
      <c r="AT155" s="27">
        <f>INDEX(Coefficients!$X$7:$X$8,MATCH(O155,Coefficients!$W$7:$W$8))</f>
        <v>1</v>
      </c>
      <c r="AU155" s="27">
        <f>INDEX(Coefficients!$X$11:$X$12,MATCH(P155,Coefficients!$W$11:$W$12))</f>
        <v>1</v>
      </c>
      <c r="AV155" s="27">
        <f>INDEX(Coefficients!$X$15:$X$17,MATCH(Q155,Coefficients!$W$15:$W$17))</f>
        <v>1</v>
      </c>
      <c r="AW155" s="27">
        <f t="shared" ref="AW155:AW218" si="160">AR155*AS155</f>
        <v>1</v>
      </c>
      <c r="AX155" s="27">
        <f t="shared" ref="AX155:AX218" si="161">AT155*AU155*AV155</f>
        <v>1</v>
      </c>
      <c r="AY155" s="27">
        <f t="shared" ref="AY155:AY218" si="162">AP155*AR155*AS155*AT155*AU155*AV155</f>
        <v>1.3</v>
      </c>
      <c r="AZ155" s="24">
        <f t="shared" ref="AZ155:AZ218" si="163">AO155*AQ155*AW155*AX155</f>
        <v>41.763624436675542</v>
      </c>
      <c r="BA155" s="24">
        <f t="shared" ref="BA155:BA218" si="164">IF(AZ155&gt;=20,0,2-0.1*AZ155)</f>
        <v>0</v>
      </c>
      <c r="BB155" s="24">
        <f t="shared" ref="BB155:BB218" si="165">AO155*AP155*AR155*AS155*AT155*AU155*AV155</f>
        <v>2.1717084707071286</v>
      </c>
      <c r="BC155" s="24">
        <f t="shared" ref="BC155:BC218" si="166">IF(BB155&gt;=20,0,2-0.1*BB155)</f>
        <v>1.782829152929287</v>
      </c>
      <c r="BD155" s="24">
        <f t="shared" si="149"/>
        <v>0.47888563959110336</v>
      </c>
      <c r="BE155" s="16">
        <f t="shared" si="150"/>
        <v>0</v>
      </c>
      <c r="BF155" s="16">
        <f t="shared" si="151"/>
        <v>400</v>
      </c>
      <c r="BG155" s="25">
        <f t="shared" si="152"/>
        <v>0</v>
      </c>
      <c r="BH155" s="24">
        <f t="shared" si="153"/>
        <v>0</v>
      </c>
      <c r="BI155" s="24">
        <f t="shared" si="154"/>
        <v>400</v>
      </c>
      <c r="BJ155" s="24">
        <f t="shared" si="155"/>
        <v>39.099071684143723</v>
      </c>
    </row>
    <row r="156" spans="1:62">
      <c r="B156" s="24" t="s">
        <v>91</v>
      </c>
      <c r="C156" s="82" t="str">
        <f>'Hotter&amp;Drier'!$B$1</f>
        <v>CSIRO Mk3.5</v>
      </c>
      <c r="D156" s="89">
        <v>2002</v>
      </c>
      <c r="E156" s="57">
        <f>'Cooler&amp;Wetter'!AA30</f>
        <v>35.51</v>
      </c>
      <c r="F156" s="90">
        <f>'Hotter&amp;Drier'!AC30</f>
        <v>21.673999999999999</v>
      </c>
      <c r="G156" s="35">
        <f t="shared" si="156"/>
        <v>2005</v>
      </c>
      <c r="H156" s="91" t="str">
        <f t="shared" si="136"/>
        <v>Pile 32 @ Berth 201</v>
      </c>
      <c r="I156" s="35" t="str">
        <f t="shared" si="137"/>
        <v>Turpentine Gum</v>
      </c>
      <c r="J156" s="35" t="str">
        <f t="shared" si="138"/>
        <v>HW1</v>
      </c>
      <c r="K156" s="35" t="str">
        <f t="shared" si="157"/>
        <v>SPHU</v>
      </c>
      <c r="L156" s="35">
        <f t="shared" si="139"/>
        <v>400</v>
      </c>
      <c r="M156" s="35">
        <f t="shared" si="140"/>
        <v>20</v>
      </c>
      <c r="N156" s="35">
        <f t="shared" si="141"/>
        <v>200</v>
      </c>
      <c r="O156" s="35" t="str">
        <f t="shared" si="142"/>
        <v>MTN2</v>
      </c>
      <c r="P156" s="35" t="str">
        <f t="shared" si="143"/>
        <v>CNT2</v>
      </c>
      <c r="Q156" s="35" t="str">
        <f t="shared" si="144"/>
        <v>KNT3</v>
      </c>
      <c r="R156" s="35" t="str">
        <f t="shared" si="145"/>
        <v>E</v>
      </c>
      <c r="S156" s="35" t="str">
        <f t="shared" si="146"/>
        <v>EXP1</v>
      </c>
      <c r="T156" s="58"/>
      <c r="U156" s="58"/>
      <c r="V156" s="58"/>
      <c r="W156" s="58"/>
      <c r="X156" s="58"/>
      <c r="Y156" s="58"/>
      <c r="Z156" s="58"/>
      <c r="AA156" s="95">
        <f t="shared" si="104"/>
        <v>0</v>
      </c>
      <c r="AB156" s="96">
        <f t="shared" si="158"/>
        <v>0</v>
      </c>
      <c r="AC156" s="58"/>
      <c r="AD156" s="58"/>
      <c r="AE156" s="58"/>
      <c r="AF156" s="58"/>
      <c r="AG156" s="58"/>
      <c r="AH156" s="58"/>
      <c r="AI156" s="58"/>
      <c r="AJ156" s="58"/>
      <c r="AK156" s="58"/>
      <c r="AL156" s="58"/>
      <c r="AM156" s="89">
        <f t="shared" si="159"/>
        <v>0</v>
      </c>
      <c r="AN156" s="26">
        <f t="shared" si="147"/>
        <v>35.51</v>
      </c>
      <c r="AO156" s="24">
        <f t="shared" si="148"/>
        <v>1.6736969245263529</v>
      </c>
      <c r="AP156" s="24">
        <f>IF((OR(R156="A",R156="B",R156="C")),INDEX(Coefficients!$S$4:$S$22,MATCH(J156,Coefficients!$R$4:$R$22)),INDEX(Coefficients!$T$4:$T$22,MATCH(J156,Coefficients!$R$4:$R$22)))</f>
        <v>1.3</v>
      </c>
      <c r="AQ156" s="27">
        <f>IF((OR(R156="A",R156="B",R156="C")),INDEX(Coefficients!$S$4:$S$22,MATCH(K156,Coefficients!$R$4:$R$22)),INDEX(Coefficients!$T$4:$T$22,MATCH(K156,Coefficients!$R$4:$R$22)))</f>
        <v>25</v>
      </c>
      <c r="AR156" s="27">
        <f>IF(OR(R156="A",R156="B",R156="C",R156="D"),IF(AN156&gt;=11,IF(AN156&gt;=26,Coefficients!$M$6,Coefficients!$M$5),Coefficients!$M$4),IF(AN156&gt;=11,IF(AN156&gt;=26,Coefficients!$N$6,Coefficients!$N$5),Coefficients!$N$4))</f>
        <v>1</v>
      </c>
      <c r="AS156" s="27">
        <f>INDEX(Coefficients!$X$3:$X$4,MATCH(S156,Coefficients!$W$3:$W$4))</f>
        <v>1</v>
      </c>
      <c r="AT156" s="27">
        <f>INDEX(Coefficients!$X$7:$X$8,MATCH(O156,Coefficients!$W$7:$W$8))</f>
        <v>1</v>
      </c>
      <c r="AU156" s="27">
        <f>INDEX(Coefficients!$X$11:$X$12,MATCH(P156,Coefficients!$W$11:$W$12))</f>
        <v>1</v>
      </c>
      <c r="AV156" s="27">
        <f>INDEX(Coefficients!$X$15:$X$17,MATCH(Q156,Coefficients!$W$15:$W$17))</f>
        <v>1</v>
      </c>
      <c r="AW156" s="27">
        <f t="shared" si="160"/>
        <v>1</v>
      </c>
      <c r="AX156" s="27">
        <f t="shared" si="161"/>
        <v>1</v>
      </c>
      <c r="AY156" s="27">
        <f t="shared" si="162"/>
        <v>1.3</v>
      </c>
      <c r="AZ156" s="24">
        <f t="shared" si="163"/>
        <v>41.842423113158823</v>
      </c>
      <c r="BA156" s="24">
        <f t="shared" si="164"/>
        <v>0</v>
      </c>
      <c r="BB156" s="24">
        <f t="shared" si="165"/>
        <v>2.1758060018842587</v>
      </c>
      <c r="BC156" s="24">
        <f t="shared" si="166"/>
        <v>1.782419399811574</v>
      </c>
      <c r="BD156" s="24">
        <f t="shared" si="149"/>
        <v>0.47798379042035682</v>
      </c>
      <c r="BE156" s="16">
        <f t="shared" si="150"/>
        <v>0</v>
      </c>
      <c r="BF156" s="16">
        <f t="shared" si="151"/>
        <v>400</v>
      </c>
      <c r="BG156" s="25">
        <f t="shared" si="152"/>
        <v>0</v>
      </c>
      <c r="BH156" s="24">
        <f t="shared" si="153"/>
        <v>0</v>
      </c>
      <c r="BI156" s="24">
        <f t="shared" si="154"/>
        <v>400</v>
      </c>
      <c r="BJ156" s="24">
        <f t="shared" si="155"/>
        <v>39.028387068720917</v>
      </c>
    </row>
    <row r="157" spans="1:62">
      <c r="B157" s="24" t="s">
        <v>91</v>
      </c>
      <c r="C157" s="82" t="str">
        <f>'Hotter&amp;Drier'!$B$1</f>
        <v>CSIRO Mk3.5</v>
      </c>
      <c r="D157" s="89">
        <v>2003</v>
      </c>
      <c r="E157" s="57">
        <f>'Cooler&amp;Wetter'!AA31</f>
        <v>35.510833333333331</v>
      </c>
      <c r="F157" s="90">
        <f>'Hotter&amp;Drier'!AC31</f>
        <v>21.688500000000001</v>
      </c>
      <c r="G157" s="35">
        <f t="shared" si="156"/>
        <v>2005</v>
      </c>
      <c r="H157" s="91" t="str">
        <f t="shared" si="136"/>
        <v>Pile 32 @ Berth 201</v>
      </c>
      <c r="I157" s="35" t="str">
        <f t="shared" si="137"/>
        <v>Turpentine Gum</v>
      </c>
      <c r="J157" s="35" t="str">
        <f t="shared" si="138"/>
        <v>HW1</v>
      </c>
      <c r="K157" s="35" t="str">
        <f t="shared" si="157"/>
        <v>SPHU</v>
      </c>
      <c r="L157" s="35">
        <f t="shared" si="139"/>
        <v>400</v>
      </c>
      <c r="M157" s="35">
        <f t="shared" si="140"/>
        <v>20</v>
      </c>
      <c r="N157" s="35">
        <f t="shared" si="141"/>
        <v>200</v>
      </c>
      <c r="O157" s="35" t="str">
        <f t="shared" si="142"/>
        <v>MTN2</v>
      </c>
      <c r="P157" s="35" t="str">
        <f t="shared" si="143"/>
        <v>CNT2</v>
      </c>
      <c r="Q157" s="35" t="str">
        <f t="shared" si="144"/>
        <v>KNT3</v>
      </c>
      <c r="R157" s="35" t="str">
        <f t="shared" si="145"/>
        <v>E</v>
      </c>
      <c r="S157" s="35" t="str">
        <f t="shared" si="146"/>
        <v>EXP1</v>
      </c>
      <c r="T157" s="58"/>
      <c r="U157" s="58"/>
      <c r="V157" s="58"/>
      <c r="W157" s="58"/>
      <c r="X157" s="58"/>
      <c r="Y157" s="58"/>
      <c r="Z157" s="58"/>
      <c r="AA157" s="95">
        <f t="shared" si="104"/>
        <v>0</v>
      </c>
      <c r="AB157" s="96">
        <f t="shared" si="158"/>
        <v>0</v>
      </c>
      <c r="AC157" s="58"/>
      <c r="AD157" s="58"/>
      <c r="AE157" s="58"/>
      <c r="AF157" s="58"/>
      <c r="AG157" s="58"/>
      <c r="AH157" s="58"/>
      <c r="AI157" s="58"/>
      <c r="AJ157" s="58"/>
      <c r="AK157" s="58"/>
      <c r="AL157" s="58"/>
      <c r="AM157" s="89">
        <f t="shared" si="159"/>
        <v>0</v>
      </c>
      <c r="AN157" s="26">
        <f t="shared" si="147"/>
        <v>35.510833333333331</v>
      </c>
      <c r="AO157" s="24">
        <f t="shared" si="148"/>
        <v>1.6768548186091996</v>
      </c>
      <c r="AP157" s="24">
        <f>IF((OR(R157="A",R157="B",R157="C")),INDEX(Coefficients!$S$4:$S$22,MATCH(J157,Coefficients!$R$4:$R$22)),INDEX(Coefficients!$T$4:$T$22,MATCH(J157,Coefficients!$R$4:$R$22)))</f>
        <v>1.3</v>
      </c>
      <c r="AQ157" s="27">
        <f>IF((OR(R157="A",R157="B",R157="C")),INDEX(Coefficients!$S$4:$S$22,MATCH(K157,Coefficients!$R$4:$R$22)),INDEX(Coefficients!$T$4:$T$22,MATCH(K157,Coefficients!$R$4:$R$22)))</f>
        <v>25</v>
      </c>
      <c r="AR157" s="27">
        <f>IF(OR(R157="A",R157="B",R157="C",R157="D"),IF(AN157&gt;=11,IF(AN157&gt;=26,Coefficients!$M$6,Coefficients!$M$5),Coefficients!$M$4),IF(AN157&gt;=11,IF(AN157&gt;=26,Coefficients!$N$6,Coefficients!$N$5),Coefficients!$N$4))</f>
        <v>1</v>
      </c>
      <c r="AS157" s="27">
        <f>INDEX(Coefficients!$X$3:$X$4,MATCH(S157,Coefficients!$W$3:$W$4))</f>
        <v>1</v>
      </c>
      <c r="AT157" s="27">
        <f>INDEX(Coefficients!$X$7:$X$8,MATCH(O157,Coefficients!$W$7:$W$8))</f>
        <v>1</v>
      </c>
      <c r="AU157" s="27">
        <f>INDEX(Coefficients!$X$11:$X$12,MATCH(P157,Coefficients!$W$11:$W$12))</f>
        <v>1</v>
      </c>
      <c r="AV157" s="27">
        <f>INDEX(Coefficients!$X$15:$X$17,MATCH(Q157,Coefficients!$W$15:$W$17))</f>
        <v>1</v>
      </c>
      <c r="AW157" s="27">
        <f t="shared" si="160"/>
        <v>1</v>
      </c>
      <c r="AX157" s="27">
        <f t="shared" si="161"/>
        <v>1</v>
      </c>
      <c r="AY157" s="27">
        <f t="shared" si="162"/>
        <v>1.3</v>
      </c>
      <c r="AZ157" s="24">
        <f t="shared" si="163"/>
        <v>41.921370465229991</v>
      </c>
      <c r="BA157" s="24">
        <f t="shared" si="164"/>
        <v>0</v>
      </c>
      <c r="BB157" s="24">
        <f t="shared" si="165"/>
        <v>2.1799112641919596</v>
      </c>
      <c r="BC157" s="24">
        <f t="shared" si="166"/>
        <v>1.782008873580804</v>
      </c>
      <c r="BD157" s="24">
        <f t="shared" si="149"/>
        <v>0.47708363963406691</v>
      </c>
      <c r="BE157" s="16">
        <f t="shared" si="150"/>
        <v>0</v>
      </c>
      <c r="BF157" s="16">
        <f t="shared" si="151"/>
        <v>400</v>
      </c>
      <c r="BG157" s="25">
        <f t="shared" si="152"/>
        <v>0</v>
      </c>
      <c r="BH157" s="24">
        <f t="shared" si="153"/>
        <v>0</v>
      </c>
      <c r="BI157" s="24">
        <f t="shared" si="154"/>
        <v>400</v>
      </c>
      <c r="BJ157" s="24">
        <f t="shared" si="155"/>
        <v>38.95783402352771</v>
      </c>
    </row>
    <row r="158" spans="1:62">
      <c r="B158" s="24" t="s">
        <v>91</v>
      </c>
      <c r="C158" s="82" t="str">
        <f>'Hotter&amp;Drier'!$B$1</f>
        <v>CSIRO Mk3.5</v>
      </c>
      <c r="D158" s="89">
        <v>2004</v>
      </c>
      <c r="E158" s="57">
        <f>'Cooler&amp;Wetter'!AA32</f>
        <v>35.511666666666663</v>
      </c>
      <c r="F158" s="90">
        <f>'Hotter&amp;Drier'!AC32</f>
        <v>21.702999999999999</v>
      </c>
      <c r="G158" s="35">
        <f t="shared" si="156"/>
        <v>2005</v>
      </c>
      <c r="H158" s="91" t="str">
        <f t="shared" si="136"/>
        <v>Pile 32 @ Berth 201</v>
      </c>
      <c r="I158" s="35" t="str">
        <f t="shared" si="137"/>
        <v>Turpentine Gum</v>
      </c>
      <c r="J158" s="35" t="str">
        <f t="shared" si="138"/>
        <v>HW1</v>
      </c>
      <c r="K158" s="35" t="str">
        <f t="shared" si="157"/>
        <v>SPHU</v>
      </c>
      <c r="L158" s="35">
        <f t="shared" si="139"/>
        <v>400</v>
      </c>
      <c r="M158" s="35">
        <f t="shared" si="140"/>
        <v>20</v>
      </c>
      <c r="N158" s="35">
        <f t="shared" si="141"/>
        <v>200</v>
      </c>
      <c r="O158" s="35" t="str">
        <f t="shared" si="142"/>
        <v>MTN2</v>
      </c>
      <c r="P158" s="35" t="str">
        <f t="shared" si="143"/>
        <v>CNT2</v>
      </c>
      <c r="Q158" s="35" t="str">
        <f t="shared" si="144"/>
        <v>KNT3</v>
      </c>
      <c r="R158" s="35" t="str">
        <f t="shared" si="145"/>
        <v>E</v>
      </c>
      <c r="S158" s="35" t="str">
        <f t="shared" si="146"/>
        <v>EXP1</v>
      </c>
      <c r="T158" s="58"/>
      <c r="U158" s="58"/>
      <c r="V158" s="58"/>
      <c r="W158" s="58"/>
      <c r="X158" s="58"/>
      <c r="Y158" s="58"/>
      <c r="Z158" s="58"/>
      <c r="AA158" s="95">
        <f t="shared" si="104"/>
        <v>0</v>
      </c>
      <c r="AB158" s="96">
        <f t="shared" si="158"/>
        <v>0</v>
      </c>
      <c r="AC158" s="58"/>
      <c r="AD158" s="58"/>
      <c r="AE158" s="58"/>
      <c r="AF158" s="58"/>
      <c r="AG158" s="58"/>
      <c r="AH158" s="58"/>
      <c r="AI158" s="58"/>
      <c r="AJ158" s="58"/>
      <c r="AK158" s="58"/>
      <c r="AL158" s="58"/>
      <c r="AM158" s="89">
        <f t="shared" si="159"/>
        <v>0</v>
      </c>
      <c r="AN158" s="26">
        <f t="shared" si="147"/>
        <v>35.511666666666663</v>
      </c>
      <c r="AO158" s="24">
        <f t="shared" si="148"/>
        <v>1.6800186709362723</v>
      </c>
      <c r="AP158" s="24">
        <f>IF((OR(R158="A",R158="B",R158="C")),INDEX(Coefficients!$S$4:$S$22,MATCH(J158,Coefficients!$R$4:$R$22)),INDEX(Coefficients!$T$4:$T$22,MATCH(J158,Coefficients!$R$4:$R$22)))</f>
        <v>1.3</v>
      </c>
      <c r="AQ158" s="27">
        <f>IF((OR(R158="A",R158="B",R158="C")),INDEX(Coefficients!$S$4:$S$22,MATCH(K158,Coefficients!$R$4:$R$22)),INDEX(Coefficients!$T$4:$T$22,MATCH(K158,Coefficients!$R$4:$R$22)))</f>
        <v>25</v>
      </c>
      <c r="AR158" s="27">
        <f>IF(OR(R158="A",R158="B",R158="C",R158="D"),IF(AN158&gt;=11,IF(AN158&gt;=26,Coefficients!$M$6,Coefficients!$M$5),Coefficients!$M$4),IF(AN158&gt;=11,IF(AN158&gt;=26,Coefficients!$N$6,Coefficients!$N$5),Coefficients!$N$4))</f>
        <v>1</v>
      </c>
      <c r="AS158" s="27">
        <f>INDEX(Coefficients!$X$3:$X$4,MATCH(S158,Coefficients!$W$3:$W$4))</f>
        <v>1</v>
      </c>
      <c r="AT158" s="27">
        <f>INDEX(Coefficients!$X$7:$X$8,MATCH(O158,Coefficients!$W$7:$W$8))</f>
        <v>1</v>
      </c>
      <c r="AU158" s="27">
        <f>INDEX(Coefficients!$X$11:$X$12,MATCH(P158,Coefficients!$W$11:$W$12))</f>
        <v>1</v>
      </c>
      <c r="AV158" s="27">
        <f>INDEX(Coefficients!$X$15:$X$17,MATCH(Q158,Coefficients!$W$15:$W$17))</f>
        <v>1</v>
      </c>
      <c r="AW158" s="27">
        <f t="shared" si="160"/>
        <v>1</v>
      </c>
      <c r="AX158" s="27">
        <f t="shared" si="161"/>
        <v>1</v>
      </c>
      <c r="AY158" s="27">
        <f t="shared" si="162"/>
        <v>1.3</v>
      </c>
      <c r="AZ158" s="24">
        <f t="shared" si="163"/>
        <v>42.000466773406806</v>
      </c>
      <c r="BA158" s="24">
        <f t="shared" si="164"/>
        <v>0</v>
      </c>
      <c r="BB158" s="24">
        <f t="shared" si="165"/>
        <v>2.1840242722171541</v>
      </c>
      <c r="BC158" s="24">
        <f t="shared" si="166"/>
        <v>1.7815975727782845</v>
      </c>
      <c r="BD158" s="24">
        <f t="shared" si="149"/>
        <v>0.47618518403379473</v>
      </c>
      <c r="BE158" s="16">
        <f t="shared" si="150"/>
        <v>0</v>
      </c>
      <c r="BF158" s="16">
        <f t="shared" si="151"/>
        <v>400</v>
      </c>
      <c r="BG158" s="25">
        <f t="shared" si="152"/>
        <v>0</v>
      </c>
      <c r="BH158" s="24">
        <f t="shared" si="153"/>
        <v>0</v>
      </c>
      <c r="BI158" s="24">
        <f t="shared" si="154"/>
        <v>400</v>
      </c>
      <c r="BJ158" s="24">
        <f t="shared" si="155"/>
        <v>38.887412297873205</v>
      </c>
    </row>
    <row r="159" spans="1:62">
      <c r="B159" s="24" t="s">
        <v>91</v>
      </c>
      <c r="C159" s="82" t="str">
        <f>'Hotter&amp;Drier'!$B$1</f>
        <v>CSIRO Mk3.5</v>
      </c>
      <c r="D159" s="89">
        <v>2005</v>
      </c>
      <c r="E159" s="57">
        <f>'Cooler&amp;Wetter'!AA33</f>
        <v>35.512500000000003</v>
      </c>
      <c r="F159" s="90">
        <f>'Hotter&amp;Drier'!AC33</f>
        <v>21.717500000000001</v>
      </c>
      <c r="G159" s="35">
        <f t="shared" si="156"/>
        <v>2005</v>
      </c>
      <c r="H159" s="91" t="str">
        <f t="shared" si="136"/>
        <v>Pile 32 @ Berth 201</v>
      </c>
      <c r="I159" s="35" t="str">
        <f t="shared" si="137"/>
        <v>Turpentine Gum</v>
      </c>
      <c r="J159" s="35" t="str">
        <f t="shared" si="138"/>
        <v>HW1</v>
      </c>
      <c r="K159" s="35" t="str">
        <f t="shared" si="157"/>
        <v>SPHU</v>
      </c>
      <c r="L159" s="35">
        <f t="shared" si="139"/>
        <v>400</v>
      </c>
      <c r="M159" s="35">
        <f t="shared" si="140"/>
        <v>20</v>
      </c>
      <c r="N159" s="35">
        <f t="shared" si="141"/>
        <v>200</v>
      </c>
      <c r="O159" s="35" t="str">
        <f t="shared" si="142"/>
        <v>MTN2</v>
      </c>
      <c r="P159" s="35" t="str">
        <f t="shared" si="143"/>
        <v>CNT2</v>
      </c>
      <c r="Q159" s="35" t="str">
        <f t="shared" si="144"/>
        <v>KNT3</v>
      </c>
      <c r="R159" s="35" t="str">
        <f t="shared" si="145"/>
        <v>E</v>
      </c>
      <c r="S159" s="35" t="str">
        <f t="shared" si="146"/>
        <v>EXP1</v>
      </c>
      <c r="T159" s="58"/>
      <c r="U159" s="58"/>
      <c r="V159" s="58"/>
      <c r="W159" s="58"/>
      <c r="X159" s="58"/>
      <c r="Y159" s="58"/>
      <c r="Z159" s="58"/>
      <c r="AA159" s="95">
        <f t="shared" si="104"/>
        <v>0</v>
      </c>
      <c r="AB159" s="96">
        <f t="shared" si="158"/>
        <v>0</v>
      </c>
      <c r="AC159" s="58"/>
      <c r="AD159" s="58"/>
      <c r="AE159" s="58"/>
      <c r="AF159" s="58"/>
      <c r="AG159" s="58"/>
      <c r="AH159" s="58"/>
      <c r="AI159" s="58"/>
      <c r="AJ159" s="58"/>
      <c r="AK159" s="58"/>
      <c r="AL159" s="58"/>
      <c r="AM159" s="89">
        <f t="shared" si="159"/>
        <v>0</v>
      </c>
      <c r="AN159" s="26">
        <f t="shared" si="147"/>
        <v>35.512500000000003</v>
      </c>
      <c r="AO159" s="24">
        <f t="shared" si="148"/>
        <v>1.6831884927494558</v>
      </c>
      <c r="AP159" s="24">
        <f>IF((OR(R159="A",R159="B",R159="C")),INDEX(Coefficients!$S$4:$S$22,MATCH(J159,Coefficients!$R$4:$R$22)),INDEX(Coefficients!$T$4:$T$22,MATCH(J159,Coefficients!$R$4:$R$22)))</f>
        <v>1.3</v>
      </c>
      <c r="AQ159" s="27">
        <f>IF((OR(R159="A",R159="B",R159="C")),INDEX(Coefficients!$S$4:$S$22,MATCH(K159,Coefficients!$R$4:$R$22)),INDEX(Coefficients!$T$4:$T$22,MATCH(K159,Coefficients!$R$4:$R$22)))</f>
        <v>25</v>
      </c>
      <c r="AR159" s="27">
        <f>IF(OR(R159="A",R159="B",R159="C",R159="D"),IF(AN159&gt;=11,IF(AN159&gt;=26,Coefficients!$M$6,Coefficients!$M$5),Coefficients!$M$4),IF(AN159&gt;=11,IF(AN159&gt;=26,Coefficients!$N$6,Coefficients!$N$5),Coefficients!$N$4))</f>
        <v>1</v>
      </c>
      <c r="AS159" s="27">
        <f>INDEX(Coefficients!$X$3:$X$4,MATCH(S159,Coefficients!$W$3:$W$4))</f>
        <v>1</v>
      </c>
      <c r="AT159" s="27">
        <f>INDEX(Coefficients!$X$7:$X$8,MATCH(O159,Coefficients!$W$7:$W$8))</f>
        <v>1</v>
      </c>
      <c r="AU159" s="27">
        <f>INDEX(Coefficients!$X$11:$X$12,MATCH(P159,Coefficients!$W$11:$W$12))</f>
        <v>1</v>
      </c>
      <c r="AV159" s="27">
        <f>INDEX(Coefficients!$X$15:$X$17,MATCH(Q159,Coefficients!$W$15:$W$17))</f>
        <v>1</v>
      </c>
      <c r="AW159" s="27">
        <f t="shared" si="160"/>
        <v>1</v>
      </c>
      <c r="AX159" s="27">
        <f t="shared" si="161"/>
        <v>1</v>
      </c>
      <c r="AY159" s="27">
        <f t="shared" si="162"/>
        <v>1.3</v>
      </c>
      <c r="AZ159" s="24">
        <f t="shared" si="163"/>
        <v>42.079712318736398</v>
      </c>
      <c r="BA159" s="24">
        <f t="shared" si="164"/>
        <v>0</v>
      </c>
      <c r="BB159" s="24">
        <f t="shared" si="165"/>
        <v>2.1881450405742928</v>
      </c>
      <c r="BC159" s="24">
        <f t="shared" si="166"/>
        <v>1.7811854959425708</v>
      </c>
      <c r="BD159" s="24">
        <f t="shared" si="149"/>
        <v>0.47528842042712366</v>
      </c>
      <c r="BE159" s="16">
        <f t="shared" si="150"/>
        <v>0</v>
      </c>
      <c r="BF159" s="16">
        <f t="shared" si="151"/>
        <v>400</v>
      </c>
      <c r="BG159" s="25">
        <f t="shared" si="152"/>
        <v>0</v>
      </c>
      <c r="BH159" s="24">
        <f t="shared" si="153"/>
        <v>0</v>
      </c>
      <c r="BI159" s="24">
        <f t="shared" si="154"/>
        <v>400</v>
      </c>
      <c r="BJ159" s="24">
        <f t="shared" si="155"/>
        <v>38.817121641533056</v>
      </c>
    </row>
    <row r="160" spans="1:62">
      <c r="B160" s="24" t="s">
        <v>91</v>
      </c>
      <c r="C160" s="82" t="str">
        <f>'Hotter&amp;Drier'!$B$1</f>
        <v>CSIRO Mk3.5</v>
      </c>
      <c r="D160" s="89">
        <v>2006</v>
      </c>
      <c r="E160" s="57">
        <f>'Cooler&amp;Wetter'!AA34</f>
        <v>35.513333333333335</v>
      </c>
      <c r="F160" s="90">
        <f>'Hotter&amp;Drier'!AC34</f>
        <v>21.731999999999999</v>
      </c>
      <c r="G160" s="35">
        <f t="shared" si="156"/>
        <v>2005</v>
      </c>
      <c r="H160" s="91" t="str">
        <f t="shared" si="136"/>
        <v>Pile 32 @ Berth 201</v>
      </c>
      <c r="I160" s="35" t="str">
        <f t="shared" si="137"/>
        <v>Turpentine Gum</v>
      </c>
      <c r="J160" s="35" t="str">
        <f t="shared" si="138"/>
        <v>HW1</v>
      </c>
      <c r="K160" s="35" t="str">
        <f t="shared" si="157"/>
        <v>SPHU</v>
      </c>
      <c r="L160" s="35">
        <f t="shared" si="139"/>
        <v>400</v>
      </c>
      <c r="M160" s="35">
        <f t="shared" si="140"/>
        <v>20</v>
      </c>
      <c r="N160" s="35">
        <f t="shared" si="141"/>
        <v>200</v>
      </c>
      <c r="O160" s="35" t="str">
        <f t="shared" si="142"/>
        <v>MTN2</v>
      </c>
      <c r="P160" s="35" t="str">
        <f t="shared" si="143"/>
        <v>CNT2</v>
      </c>
      <c r="Q160" s="35" t="str">
        <f t="shared" si="144"/>
        <v>KNT3</v>
      </c>
      <c r="R160" s="35" t="str">
        <f t="shared" si="145"/>
        <v>E</v>
      </c>
      <c r="S160" s="35" t="str">
        <f t="shared" si="146"/>
        <v>EXP1</v>
      </c>
      <c r="T160" s="58"/>
      <c r="U160" s="58"/>
      <c r="V160" s="58"/>
      <c r="W160" s="58"/>
      <c r="X160" s="58"/>
      <c r="Y160" s="58"/>
      <c r="Z160" s="58"/>
      <c r="AA160" s="95">
        <f t="shared" si="104"/>
        <v>0.2</v>
      </c>
      <c r="AB160" s="96">
        <f t="shared" si="158"/>
        <v>20</v>
      </c>
      <c r="AC160" s="58"/>
      <c r="AD160" s="58"/>
      <c r="AE160" s="58"/>
      <c r="AF160" s="58"/>
      <c r="AG160" s="58"/>
      <c r="AH160" s="58"/>
      <c r="AI160" s="58"/>
      <c r="AJ160" s="58"/>
      <c r="AK160" s="58"/>
      <c r="AL160" s="58"/>
      <c r="AM160" s="89">
        <f t="shared" si="159"/>
        <v>1</v>
      </c>
      <c r="AN160" s="26">
        <f t="shared" si="147"/>
        <v>35.513333333333335</v>
      </c>
      <c r="AO160" s="24">
        <f t="shared" si="148"/>
        <v>1.6863642953118412</v>
      </c>
      <c r="AP160" s="24">
        <f>IF((OR(R160="A",R160="B",R160="C")),INDEX(Coefficients!$S$4:$S$22,MATCH(J160,Coefficients!$R$4:$R$22)),INDEX(Coefficients!$T$4:$T$22,MATCH(J160,Coefficients!$R$4:$R$22)))</f>
        <v>1.3</v>
      </c>
      <c r="AQ160" s="27">
        <f>IF((OR(R160="A",R160="B",R160="C")),INDEX(Coefficients!$S$4:$S$22,MATCH(K160,Coefficients!$R$4:$R$22)),INDEX(Coefficients!$T$4:$T$22,MATCH(K160,Coefficients!$R$4:$R$22)))</f>
        <v>25</v>
      </c>
      <c r="AR160" s="27">
        <f>IF(OR(R160="A",R160="B",R160="C",R160="D"),IF(AN160&gt;=11,IF(AN160&gt;=26,Coefficients!$M$6,Coefficients!$M$5),Coefficients!$M$4),IF(AN160&gt;=11,IF(AN160&gt;=26,Coefficients!$N$6,Coefficients!$N$5),Coefficients!$N$4))</f>
        <v>1</v>
      </c>
      <c r="AS160" s="27">
        <f>INDEX(Coefficients!$X$3:$X$4,MATCH(S160,Coefficients!$W$3:$W$4))</f>
        <v>1</v>
      </c>
      <c r="AT160" s="27">
        <f>INDEX(Coefficients!$X$7:$X$8,MATCH(O160,Coefficients!$W$7:$W$8))</f>
        <v>1</v>
      </c>
      <c r="AU160" s="27">
        <f>INDEX(Coefficients!$X$11:$X$12,MATCH(P160,Coefficients!$W$11:$W$12))</f>
        <v>1</v>
      </c>
      <c r="AV160" s="27">
        <f>INDEX(Coefficients!$X$15:$X$17,MATCH(Q160,Coefficients!$W$15:$W$17))</f>
        <v>1</v>
      </c>
      <c r="AW160" s="27">
        <f t="shared" si="160"/>
        <v>1</v>
      </c>
      <c r="AX160" s="27">
        <f t="shared" si="161"/>
        <v>1</v>
      </c>
      <c r="AY160" s="27">
        <f t="shared" si="162"/>
        <v>1.3</v>
      </c>
      <c r="AZ160" s="24">
        <f t="shared" si="163"/>
        <v>42.15910738279603</v>
      </c>
      <c r="BA160" s="24">
        <f t="shared" si="164"/>
        <v>0</v>
      </c>
      <c r="BB160" s="24">
        <f t="shared" si="165"/>
        <v>2.1922735839053935</v>
      </c>
      <c r="BC160" s="24">
        <f t="shared" si="166"/>
        <v>1.7807726416094607</v>
      </c>
      <c r="BD160" s="24">
        <f t="shared" si="149"/>
        <v>0.47439334562765079</v>
      </c>
      <c r="BE160" s="16">
        <f t="shared" si="150"/>
        <v>20</v>
      </c>
      <c r="BF160" s="16">
        <f t="shared" si="151"/>
        <v>360</v>
      </c>
      <c r="BG160" s="25">
        <f t="shared" si="152"/>
        <v>0.2</v>
      </c>
      <c r="BH160" s="24">
        <f t="shared" si="153"/>
        <v>44</v>
      </c>
      <c r="BI160" s="24">
        <f t="shared" si="154"/>
        <v>312</v>
      </c>
      <c r="BJ160" s="24">
        <f t="shared" si="155"/>
        <v>38.746961804748715</v>
      </c>
    </row>
    <row r="161" spans="2:62">
      <c r="B161" s="24" t="s">
        <v>91</v>
      </c>
      <c r="C161" s="82" t="str">
        <f>'Hotter&amp;Drier'!$B$1</f>
        <v>CSIRO Mk3.5</v>
      </c>
      <c r="D161" s="89">
        <v>2007</v>
      </c>
      <c r="E161" s="57">
        <f>'Cooler&amp;Wetter'!AA35</f>
        <v>35.514166666666668</v>
      </c>
      <c r="F161" s="90">
        <f>'Hotter&amp;Drier'!AC35</f>
        <v>21.746500000000001</v>
      </c>
      <c r="G161" s="35">
        <f t="shared" si="156"/>
        <v>2005</v>
      </c>
      <c r="H161" s="91" t="str">
        <f t="shared" si="136"/>
        <v>Pile 32 @ Berth 201</v>
      </c>
      <c r="I161" s="35" t="str">
        <f t="shared" si="137"/>
        <v>Turpentine Gum</v>
      </c>
      <c r="J161" s="35" t="str">
        <f t="shared" si="138"/>
        <v>HW1</v>
      </c>
      <c r="K161" s="35" t="str">
        <f t="shared" si="157"/>
        <v>SPHU</v>
      </c>
      <c r="L161" s="35">
        <f t="shared" si="139"/>
        <v>400</v>
      </c>
      <c r="M161" s="35">
        <f t="shared" si="140"/>
        <v>20</v>
      </c>
      <c r="N161" s="35">
        <f t="shared" si="141"/>
        <v>200</v>
      </c>
      <c r="O161" s="35" t="str">
        <f t="shared" si="142"/>
        <v>MTN2</v>
      </c>
      <c r="P161" s="35" t="str">
        <f t="shared" si="143"/>
        <v>CNT2</v>
      </c>
      <c r="Q161" s="35" t="str">
        <f t="shared" si="144"/>
        <v>KNT3</v>
      </c>
      <c r="R161" s="35" t="str">
        <f t="shared" si="145"/>
        <v>E</v>
      </c>
      <c r="S161" s="35" t="str">
        <f t="shared" si="146"/>
        <v>EXP1</v>
      </c>
      <c r="T161" s="58"/>
      <c r="U161" s="58"/>
      <c r="V161" s="58"/>
      <c r="W161" s="58"/>
      <c r="X161" s="58"/>
      <c r="Y161" s="58"/>
      <c r="Z161" s="58"/>
      <c r="AA161" s="95">
        <f t="shared" si="104"/>
        <v>0.2</v>
      </c>
      <c r="AB161" s="96">
        <f t="shared" si="158"/>
        <v>20</v>
      </c>
      <c r="AC161" s="58"/>
      <c r="AD161" s="58"/>
      <c r="AE161" s="58"/>
      <c r="AF161" s="58"/>
      <c r="AG161" s="58"/>
      <c r="AH161" s="58"/>
      <c r="AI161" s="58"/>
      <c r="AJ161" s="58"/>
      <c r="AK161" s="58"/>
      <c r="AL161" s="58"/>
      <c r="AM161" s="89">
        <f t="shared" si="159"/>
        <v>2</v>
      </c>
      <c r="AN161" s="26">
        <f t="shared" si="147"/>
        <v>35.514166666666668</v>
      </c>
      <c r="AO161" s="24">
        <f t="shared" si="148"/>
        <v>1.6895460899077748</v>
      </c>
      <c r="AP161" s="24">
        <f>IF((OR(R161="A",R161="B",R161="C")),INDEX(Coefficients!$S$4:$S$22,MATCH(J161,Coefficients!$R$4:$R$22)),INDEX(Coefficients!$T$4:$T$22,MATCH(J161,Coefficients!$R$4:$R$22)))</f>
        <v>1.3</v>
      </c>
      <c r="AQ161" s="27">
        <f>IF((OR(R161="A",R161="B",R161="C")),INDEX(Coefficients!$S$4:$S$22,MATCH(K161,Coefficients!$R$4:$R$22)),INDEX(Coefficients!$T$4:$T$22,MATCH(K161,Coefficients!$R$4:$R$22)))</f>
        <v>25</v>
      </c>
      <c r="AR161" s="27">
        <f>IF(OR(R161="A",R161="B",R161="C",R161="D"),IF(AN161&gt;=11,IF(AN161&gt;=26,Coefficients!$M$6,Coefficients!$M$5),Coefficients!$M$4),IF(AN161&gt;=11,IF(AN161&gt;=26,Coefficients!$N$6,Coefficients!$N$5),Coefficients!$N$4))</f>
        <v>1</v>
      </c>
      <c r="AS161" s="27">
        <f>INDEX(Coefficients!$X$3:$X$4,MATCH(S161,Coefficients!$W$3:$W$4))</f>
        <v>1</v>
      </c>
      <c r="AT161" s="27">
        <f>INDEX(Coefficients!$X$7:$X$8,MATCH(O161,Coefficients!$W$7:$W$8))</f>
        <v>1</v>
      </c>
      <c r="AU161" s="27">
        <f>INDEX(Coefficients!$X$11:$X$12,MATCH(P161,Coefficients!$W$11:$W$12))</f>
        <v>1</v>
      </c>
      <c r="AV161" s="27">
        <f>INDEX(Coefficients!$X$15:$X$17,MATCH(Q161,Coefficients!$W$15:$W$17))</f>
        <v>1</v>
      </c>
      <c r="AW161" s="27">
        <f t="shared" si="160"/>
        <v>1</v>
      </c>
      <c r="AX161" s="27">
        <f t="shared" si="161"/>
        <v>1</v>
      </c>
      <c r="AY161" s="27">
        <f t="shared" si="162"/>
        <v>1.3</v>
      </c>
      <c r="AZ161" s="24">
        <f t="shared" si="163"/>
        <v>42.238652247694368</v>
      </c>
      <c r="BA161" s="24">
        <f t="shared" si="164"/>
        <v>0</v>
      </c>
      <c r="BB161" s="24">
        <f t="shared" si="165"/>
        <v>2.1964099168801074</v>
      </c>
      <c r="BC161" s="24">
        <f t="shared" si="166"/>
        <v>1.7803590083119891</v>
      </c>
      <c r="BD161" s="24">
        <f t="shared" si="149"/>
        <v>0.47349995645497228</v>
      </c>
      <c r="BE161" s="16">
        <f t="shared" si="150"/>
        <v>20</v>
      </c>
      <c r="BF161" s="16">
        <f t="shared" si="151"/>
        <v>360</v>
      </c>
      <c r="BG161" s="25">
        <f t="shared" si="152"/>
        <v>0.2</v>
      </c>
      <c r="BH161" s="24">
        <f t="shared" si="153"/>
        <v>44</v>
      </c>
      <c r="BI161" s="24">
        <f t="shared" si="154"/>
        <v>312</v>
      </c>
      <c r="BJ161" s="24">
        <f t="shared" si="155"/>
        <v>38.67693253822636</v>
      </c>
    </row>
    <row r="162" spans="2:62">
      <c r="B162" s="24" t="s">
        <v>91</v>
      </c>
      <c r="C162" s="82" t="str">
        <f>'Hotter&amp;Drier'!$B$1</f>
        <v>CSIRO Mk3.5</v>
      </c>
      <c r="D162" s="89">
        <v>2008</v>
      </c>
      <c r="E162" s="57">
        <f>'Cooler&amp;Wetter'!AA36</f>
        <v>35.515000000000001</v>
      </c>
      <c r="F162" s="90">
        <f>'Hotter&amp;Drier'!AC36</f>
        <v>21.760999999999999</v>
      </c>
      <c r="G162" s="35">
        <f t="shared" si="156"/>
        <v>2005</v>
      </c>
      <c r="H162" s="91" t="str">
        <f t="shared" si="136"/>
        <v>Pile 32 @ Berth 201</v>
      </c>
      <c r="I162" s="35" t="str">
        <f t="shared" si="137"/>
        <v>Turpentine Gum</v>
      </c>
      <c r="J162" s="35" t="str">
        <f t="shared" si="138"/>
        <v>HW1</v>
      </c>
      <c r="K162" s="35" t="str">
        <f t="shared" si="157"/>
        <v>SPHU</v>
      </c>
      <c r="L162" s="35">
        <f t="shared" si="139"/>
        <v>400</v>
      </c>
      <c r="M162" s="35">
        <f t="shared" si="140"/>
        <v>20</v>
      </c>
      <c r="N162" s="35">
        <f t="shared" si="141"/>
        <v>200</v>
      </c>
      <c r="O162" s="35" t="str">
        <f t="shared" si="142"/>
        <v>MTN2</v>
      </c>
      <c r="P162" s="35" t="str">
        <f t="shared" si="143"/>
        <v>CNT2</v>
      </c>
      <c r="Q162" s="35" t="str">
        <f t="shared" si="144"/>
        <v>KNT3</v>
      </c>
      <c r="R162" s="35" t="str">
        <f t="shared" si="145"/>
        <v>E</v>
      </c>
      <c r="S162" s="35" t="str">
        <f t="shared" si="146"/>
        <v>EXP1</v>
      </c>
      <c r="T162" s="58"/>
      <c r="U162" s="58"/>
      <c r="V162" s="58"/>
      <c r="W162" s="58"/>
      <c r="X162" s="58"/>
      <c r="Y162" s="58"/>
      <c r="Z162" s="58"/>
      <c r="AA162" s="95">
        <f t="shared" si="104"/>
        <v>0.21644797868739499</v>
      </c>
      <c r="AB162" s="96">
        <f t="shared" si="158"/>
        <v>21.644797868739499</v>
      </c>
      <c r="AC162" s="58"/>
      <c r="AD162" s="58"/>
      <c r="AE162" s="58"/>
      <c r="AF162" s="58"/>
      <c r="AG162" s="58"/>
      <c r="AH162" s="58"/>
      <c r="AI162" s="58"/>
      <c r="AJ162" s="58"/>
      <c r="AK162" s="58"/>
      <c r="AL162" s="58"/>
      <c r="AM162" s="89">
        <f t="shared" si="159"/>
        <v>3</v>
      </c>
      <c r="AN162" s="26">
        <f t="shared" si="147"/>
        <v>35.515000000000001</v>
      </c>
      <c r="AO162" s="24">
        <f t="shared" si="148"/>
        <v>1.6927338878428917</v>
      </c>
      <c r="AP162" s="24">
        <f>IF((OR(R162="A",R162="B",R162="C")),INDEX(Coefficients!$S$4:$S$22,MATCH(J162,Coefficients!$R$4:$R$22)),INDEX(Coefficients!$T$4:$T$22,MATCH(J162,Coefficients!$R$4:$R$22)))</f>
        <v>1.3</v>
      </c>
      <c r="AQ162" s="27">
        <f>IF((OR(R162="A",R162="B",R162="C")),INDEX(Coefficients!$S$4:$S$22,MATCH(K162,Coefficients!$R$4:$R$22)),INDEX(Coefficients!$T$4:$T$22,MATCH(K162,Coefficients!$R$4:$R$22)))</f>
        <v>25</v>
      </c>
      <c r="AR162" s="27">
        <f>IF(OR(R162="A",R162="B",R162="C",R162="D"),IF(AN162&gt;=11,IF(AN162&gt;=26,Coefficients!$M$6,Coefficients!$M$5),Coefficients!$M$4),IF(AN162&gt;=11,IF(AN162&gt;=26,Coefficients!$N$6,Coefficients!$N$5),Coefficients!$N$4))</f>
        <v>1</v>
      </c>
      <c r="AS162" s="27">
        <f>INDEX(Coefficients!$X$3:$X$4,MATCH(S162,Coefficients!$W$3:$W$4))</f>
        <v>1</v>
      </c>
      <c r="AT162" s="27">
        <f>INDEX(Coefficients!$X$7:$X$8,MATCH(O162,Coefficients!$W$7:$W$8))</f>
        <v>1</v>
      </c>
      <c r="AU162" s="27">
        <f>INDEX(Coefficients!$X$11:$X$12,MATCH(P162,Coefficients!$W$11:$W$12))</f>
        <v>1</v>
      </c>
      <c r="AV162" s="27">
        <f>INDEX(Coefficients!$X$15:$X$17,MATCH(Q162,Coefficients!$W$15:$W$17))</f>
        <v>1</v>
      </c>
      <c r="AW162" s="27">
        <f t="shared" si="160"/>
        <v>1</v>
      </c>
      <c r="AX162" s="27">
        <f t="shared" si="161"/>
        <v>1</v>
      </c>
      <c r="AY162" s="27">
        <f t="shared" si="162"/>
        <v>1.3</v>
      </c>
      <c r="AZ162" s="24">
        <f t="shared" si="163"/>
        <v>42.318347196072295</v>
      </c>
      <c r="BA162" s="24">
        <f t="shared" si="164"/>
        <v>0</v>
      </c>
      <c r="BB162" s="24">
        <f t="shared" si="165"/>
        <v>2.2005540541957593</v>
      </c>
      <c r="BC162" s="24">
        <f t="shared" si="166"/>
        <v>1.779944594580424</v>
      </c>
      <c r="BD162" s="24">
        <f t="shared" si="149"/>
        <v>0.47260824973467458</v>
      </c>
      <c r="BE162" s="16">
        <f t="shared" si="150"/>
        <v>21.644797868739499</v>
      </c>
      <c r="BF162" s="16">
        <f t="shared" si="151"/>
        <v>356.71040426252102</v>
      </c>
      <c r="BG162" s="25">
        <f t="shared" si="152"/>
        <v>0.21644797868739499</v>
      </c>
      <c r="BH162" s="24">
        <f t="shared" si="153"/>
        <v>47.618555311226899</v>
      </c>
      <c r="BI162" s="24">
        <f t="shared" si="154"/>
        <v>304.76288937754623</v>
      </c>
      <c r="BJ162" s="24">
        <f t="shared" si="155"/>
        <v>38.607033593136215</v>
      </c>
    </row>
    <row r="163" spans="2:62">
      <c r="B163" s="24" t="s">
        <v>91</v>
      </c>
      <c r="C163" s="82" t="str">
        <f>'Hotter&amp;Drier'!$B$1</f>
        <v>CSIRO Mk3.5</v>
      </c>
      <c r="D163" s="89">
        <v>2009</v>
      </c>
      <c r="E163" s="57">
        <f>'Cooler&amp;Wetter'!AA37</f>
        <v>35.515833333333333</v>
      </c>
      <c r="F163" s="90">
        <f>'Hotter&amp;Drier'!AC37</f>
        <v>21.775500000000001</v>
      </c>
      <c r="G163" s="35">
        <f t="shared" si="156"/>
        <v>2005</v>
      </c>
      <c r="H163" s="91" t="str">
        <f t="shared" si="136"/>
        <v>Pile 32 @ Berth 201</v>
      </c>
      <c r="I163" s="35" t="str">
        <f t="shared" si="137"/>
        <v>Turpentine Gum</v>
      </c>
      <c r="J163" s="35" t="str">
        <f t="shared" si="138"/>
        <v>HW1</v>
      </c>
      <c r="K163" s="35" t="str">
        <f t="shared" si="157"/>
        <v>SPHU</v>
      </c>
      <c r="L163" s="35">
        <f t="shared" si="139"/>
        <v>400</v>
      </c>
      <c r="M163" s="35">
        <f t="shared" si="140"/>
        <v>20</v>
      </c>
      <c r="N163" s="35">
        <f t="shared" si="141"/>
        <v>200</v>
      </c>
      <c r="O163" s="35" t="str">
        <f t="shared" si="142"/>
        <v>MTN2</v>
      </c>
      <c r="P163" s="35" t="str">
        <f t="shared" si="143"/>
        <v>CNT2</v>
      </c>
      <c r="Q163" s="35" t="str">
        <f t="shared" si="144"/>
        <v>KNT3</v>
      </c>
      <c r="R163" s="35" t="str">
        <f t="shared" si="145"/>
        <v>E</v>
      </c>
      <c r="S163" s="35" t="str">
        <f t="shared" si="146"/>
        <v>EXP1</v>
      </c>
      <c r="T163" s="58"/>
      <c r="U163" s="58"/>
      <c r="V163" s="58"/>
      <c r="W163" s="58"/>
      <c r="X163" s="58"/>
      <c r="Y163" s="58"/>
      <c r="Z163" s="58"/>
      <c r="AA163" s="95">
        <f t="shared" si="104"/>
        <v>0.23855484880462424</v>
      </c>
      <c r="AB163" s="96">
        <f t="shared" si="158"/>
        <v>23.855484880462424</v>
      </c>
      <c r="AC163" s="58"/>
      <c r="AD163" s="58"/>
      <c r="AE163" s="58"/>
      <c r="AF163" s="58"/>
      <c r="AG163" s="58"/>
      <c r="AH163" s="58"/>
      <c r="AI163" s="58"/>
      <c r="AJ163" s="58"/>
      <c r="AK163" s="58"/>
      <c r="AL163" s="58"/>
      <c r="AM163" s="89">
        <f t="shared" si="159"/>
        <v>4</v>
      </c>
      <c r="AN163" s="26">
        <f t="shared" si="147"/>
        <v>35.515833333333333</v>
      </c>
      <c r="AO163" s="24">
        <f t="shared" si="148"/>
        <v>1.695927700444158</v>
      </c>
      <c r="AP163" s="24">
        <f>IF((OR(R163="A",R163="B",R163="C")),INDEX(Coefficients!$S$4:$S$22,MATCH(J163,Coefficients!$R$4:$R$22)),INDEX(Coefficients!$T$4:$T$22,MATCH(J163,Coefficients!$R$4:$R$22)))</f>
        <v>1.3</v>
      </c>
      <c r="AQ163" s="27">
        <f>IF((OR(R163="A",R163="B",R163="C")),INDEX(Coefficients!$S$4:$S$22,MATCH(K163,Coefficients!$R$4:$R$22)),INDEX(Coefficients!$T$4:$T$22,MATCH(K163,Coefficients!$R$4:$R$22)))</f>
        <v>25</v>
      </c>
      <c r="AR163" s="27">
        <f>IF(OR(R163="A",R163="B",R163="C",R163="D"),IF(AN163&gt;=11,IF(AN163&gt;=26,Coefficients!$M$6,Coefficients!$M$5),Coefficients!$M$4),IF(AN163&gt;=11,IF(AN163&gt;=26,Coefficients!$N$6,Coefficients!$N$5),Coefficients!$N$4))</f>
        <v>1</v>
      </c>
      <c r="AS163" s="27">
        <f>INDEX(Coefficients!$X$3:$X$4,MATCH(S163,Coefficients!$W$3:$W$4))</f>
        <v>1</v>
      </c>
      <c r="AT163" s="27">
        <f>INDEX(Coefficients!$X$7:$X$8,MATCH(O163,Coefficients!$W$7:$W$8))</f>
        <v>1</v>
      </c>
      <c r="AU163" s="27">
        <f>INDEX(Coefficients!$X$11:$X$12,MATCH(P163,Coefficients!$W$11:$W$12))</f>
        <v>1</v>
      </c>
      <c r="AV163" s="27">
        <f>INDEX(Coefficients!$X$15:$X$17,MATCH(Q163,Coefficients!$W$15:$W$17))</f>
        <v>1</v>
      </c>
      <c r="AW163" s="27">
        <f t="shared" si="160"/>
        <v>1</v>
      </c>
      <c r="AX163" s="27">
        <f t="shared" si="161"/>
        <v>1</v>
      </c>
      <c r="AY163" s="27">
        <f t="shared" si="162"/>
        <v>1.3</v>
      </c>
      <c r="AZ163" s="24">
        <f t="shared" si="163"/>
        <v>42.39819251110395</v>
      </c>
      <c r="BA163" s="24">
        <f t="shared" si="164"/>
        <v>0</v>
      </c>
      <c r="BB163" s="24">
        <f t="shared" si="165"/>
        <v>2.2047060105774055</v>
      </c>
      <c r="BC163" s="24">
        <f t="shared" si="166"/>
        <v>1.7795293989422594</v>
      </c>
      <c r="BD163" s="24">
        <f t="shared" si="149"/>
        <v>0.47171822229832239</v>
      </c>
      <c r="BE163" s="16">
        <f t="shared" si="150"/>
        <v>23.855484880462424</v>
      </c>
      <c r="BF163" s="16">
        <f t="shared" si="151"/>
        <v>352.28903023907515</v>
      </c>
      <c r="BG163" s="25">
        <f t="shared" si="152"/>
        <v>0.23855484880462424</v>
      </c>
      <c r="BH163" s="24">
        <f t="shared" si="153"/>
        <v>52.482066737017334</v>
      </c>
      <c r="BI163" s="24">
        <f t="shared" si="154"/>
        <v>295.03586652596533</v>
      </c>
      <c r="BJ163" s="24">
        <f t="shared" si="155"/>
        <v>38.537264721111534</v>
      </c>
    </row>
    <row r="164" spans="2:62">
      <c r="B164" s="24" t="s">
        <v>91</v>
      </c>
      <c r="C164" s="82" t="str">
        <f>'Hotter&amp;Drier'!$B$1</f>
        <v>CSIRO Mk3.5</v>
      </c>
      <c r="D164" s="89">
        <v>2010</v>
      </c>
      <c r="E164" s="57">
        <f>'Cooler&amp;Wetter'!AA38</f>
        <v>35.516666666666666</v>
      </c>
      <c r="F164" s="90">
        <f>'Hotter&amp;Drier'!AC38</f>
        <v>21.79</v>
      </c>
      <c r="G164" s="35">
        <f t="shared" si="156"/>
        <v>2005</v>
      </c>
      <c r="H164" s="91" t="str">
        <f t="shared" si="136"/>
        <v>Pile 32 @ Berth 201</v>
      </c>
      <c r="I164" s="35" t="str">
        <f t="shared" si="137"/>
        <v>Turpentine Gum</v>
      </c>
      <c r="J164" s="35" t="str">
        <f t="shared" si="138"/>
        <v>HW1</v>
      </c>
      <c r="K164" s="35" t="str">
        <f t="shared" si="157"/>
        <v>SPHU</v>
      </c>
      <c r="L164" s="35">
        <f t="shared" si="139"/>
        <v>400</v>
      </c>
      <c r="M164" s="35">
        <f t="shared" si="140"/>
        <v>20</v>
      </c>
      <c r="N164" s="35">
        <f t="shared" si="141"/>
        <v>200</v>
      </c>
      <c r="O164" s="35" t="str">
        <f t="shared" si="142"/>
        <v>MTN2</v>
      </c>
      <c r="P164" s="35" t="str">
        <f t="shared" si="143"/>
        <v>CNT2</v>
      </c>
      <c r="Q164" s="35" t="str">
        <f t="shared" si="144"/>
        <v>KNT3</v>
      </c>
      <c r="R164" s="35" t="str">
        <f t="shared" si="145"/>
        <v>E</v>
      </c>
      <c r="S164" s="35" t="str">
        <f t="shared" si="146"/>
        <v>EXP1</v>
      </c>
      <c r="T164" s="58"/>
      <c r="U164" s="58"/>
      <c r="V164" s="58"/>
      <c r="W164" s="58"/>
      <c r="X164" s="58"/>
      <c r="Y164" s="58"/>
      <c r="Z164" s="58"/>
      <c r="AA164" s="95">
        <f t="shared" si="104"/>
        <v>0.26074506214918264</v>
      </c>
      <c r="AB164" s="96">
        <f t="shared" si="158"/>
        <v>26.074506214918266</v>
      </c>
      <c r="AC164" s="58"/>
      <c r="AD164" s="58"/>
      <c r="AE164" s="58"/>
      <c r="AF164" s="58"/>
      <c r="AG164" s="58"/>
      <c r="AH164" s="58"/>
      <c r="AI164" s="58"/>
      <c r="AJ164" s="58"/>
      <c r="AK164" s="58"/>
      <c r="AL164" s="58"/>
      <c r="AM164" s="89">
        <f t="shared" si="159"/>
        <v>5</v>
      </c>
      <c r="AN164" s="26">
        <f t="shared" si="147"/>
        <v>35.516666666666666</v>
      </c>
      <c r="AO164" s="24">
        <f t="shared" si="148"/>
        <v>1.6991275390599112</v>
      </c>
      <c r="AP164" s="24">
        <f>IF((OR(R164="A",R164="B",R164="C")),INDEX(Coefficients!$S$4:$S$22,MATCH(J164,Coefficients!$R$4:$R$22)),INDEX(Coefficients!$T$4:$T$22,MATCH(J164,Coefficients!$R$4:$R$22)))</f>
        <v>1.3</v>
      </c>
      <c r="AQ164" s="27">
        <f>IF((OR(R164="A",R164="B",R164="C")),INDEX(Coefficients!$S$4:$S$22,MATCH(K164,Coefficients!$R$4:$R$22)),INDEX(Coefficients!$T$4:$T$22,MATCH(K164,Coefficients!$R$4:$R$22)))</f>
        <v>25</v>
      </c>
      <c r="AR164" s="27">
        <f>IF(OR(R164="A",R164="B",R164="C",R164="D"),IF(AN164&gt;=11,IF(AN164&gt;=26,Coefficients!$M$6,Coefficients!$M$5),Coefficients!$M$4),IF(AN164&gt;=11,IF(AN164&gt;=26,Coefficients!$N$6,Coefficients!$N$5),Coefficients!$N$4))</f>
        <v>1</v>
      </c>
      <c r="AS164" s="27">
        <f>INDEX(Coefficients!$X$3:$X$4,MATCH(S164,Coefficients!$W$3:$W$4))</f>
        <v>1</v>
      </c>
      <c r="AT164" s="27">
        <f>INDEX(Coefficients!$X$7:$X$8,MATCH(O164,Coefficients!$W$7:$W$8))</f>
        <v>1</v>
      </c>
      <c r="AU164" s="27">
        <f>INDEX(Coefficients!$X$11:$X$12,MATCH(P164,Coefficients!$W$11:$W$12))</f>
        <v>1</v>
      </c>
      <c r="AV164" s="27">
        <f>INDEX(Coefficients!$X$15:$X$17,MATCH(Q164,Coefficients!$W$15:$W$17))</f>
        <v>1</v>
      </c>
      <c r="AW164" s="27">
        <f t="shared" si="160"/>
        <v>1</v>
      </c>
      <c r="AX164" s="27">
        <f t="shared" si="161"/>
        <v>1</v>
      </c>
      <c r="AY164" s="27">
        <f t="shared" si="162"/>
        <v>1.3</v>
      </c>
      <c r="AZ164" s="24">
        <f t="shared" si="163"/>
        <v>42.478188476497778</v>
      </c>
      <c r="BA164" s="24">
        <f t="shared" si="164"/>
        <v>0</v>
      </c>
      <c r="BB164" s="24">
        <f t="shared" si="165"/>
        <v>2.2088658007778847</v>
      </c>
      <c r="BC164" s="24">
        <f t="shared" si="166"/>
        <v>1.7791134199222114</v>
      </c>
      <c r="BD164" s="24">
        <f t="shared" si="149"/>
        <v>0.47082987098344714</v>
      </c>
      <c r="BE164" s="16">
        <f t="shared" si="150"/>
        <v>26.074506214918266</v>
      </c>
      <c r="BF164" s="16">
        <f t="shared" si="151"/>
        <v>347.85098757016345</v>
      </c>
      <c r="BG164" s="25">
        <f t="shared" si="152"/>
        <v>0.26074506214918264</v>
      </c>
      <c r="BH164" s="24">
        <f t="shared" si="153"/>
        <v>57.363913672820189</v>
      </c>
      <c r="BI164" s="24">
        <f t="shared" si="154"/>
        <v>285.27217265435962</v>
      </c>
      <c r="BJ164" s="24">
        <f t="shared" si="155"/>
        <v>38.467625674247735</v>
      </c>
    </row>
    <row r="165" spans="2:62">
      <c r="B165" s="24" t="s">
        <v>91</v>
      </c>
      <c r="C165" s="82" t="str">
        <f>'Hotter&amp;Drier'!$B$1</f>
        <v>CSIRO Mk3.5</v>
      </c>
      <c r="D165" s="89">
        <v>2011</v>
      </c>
      <c r="E165" s="57">
        <f>'Cooler&amp;Wetter'!AA39</f>
        <v>35.518333333333331</v>
      </c>
      <c r="F165" s="90">
        <f>'Hotter&amp;Drier'!AC39</f>
        <v>21.818999999999999</v>
      </c>
      <c r="G165" s="35">
        <f t="shared" si="156"/>
        <v>2005</v>
      </c>
      <c r="H165" s="91" t="str">
        <f t="shared" si="136"/>
        <v>Pile 32 @ Berth 201</v>
      </c>
      <c r="I165" s="35" t="str">
        <f t="shared" si="137"/>
        <v>Turpentine Gum</v>
      </c>
      <c r="J165" s="35" t="str">
        <f t="shared" si="138"/>
        <v>HW1</v>
      </c>
      <c r="K165" s="35" t="str">
        <f t="shared" si="157"/>
        <v>SPHU</v>
      </c>
      <c r="L165" s="35">
        <f t="shared" si="139"/>
        <v>400</v>
      </c>
      <c r="M165" s="35">
        <f t="shared" si="140"/>
        <v>20</v>
      </c>
      <c r="N165" s="35">
        <f t="shared" si="141"/>
        <v>200</v>
      </c>
      <c r="O165" s="35" t="str">
        <f t="shared" si="142"/>
        <v>MTN2</v>
      </c>
      <c r="P165" s="35" t="str">
        <f t="shared" si="143"/>
        <v>CNT2</v>
      </c>
      <c r="Q165" s="35" t="str">
        <f t="shared" si="144"/>
        <v>KNT3</v>
      </c>
      <c r="R165" s="35" t="str">
        <f t="shared" si="145"/>
        <v>E</v>
      </c>
      <c r="S165" s="35" t="str">
        <f t="shared" si="146"/>
        <v>EXP1</v>
      </c>
      <c r="T165" s="58"/>
      <c r="U165" s="58"/>
      <c r="V165" s="58"/>
      <c r="W165" s="58"/>
      <c r="X165" s="58"/>
      <c r="Y165" s="58"/>
      <c r="Z165" s="58"/>
      <c r="AA165" s="95">
        <f t="shared" si="104"/>
        <v>0.28320437316297281</v>
      </c>
      <c r="AB165" s="96">
        <f t="shared" si="158"/>
        <v>28.320437316297284</v>
      </c>
      <c r="AC165" s="58"/>
      <c r="AD165" s="58"/>
      <c r="AE165" s="58"/>
      <c r="AF165" s="58"/>
      <c r="AG165" s="58"/>
      <c r="AH165" s="58"/>
      <c r="AI165" s="58"/>
      <c r="AJ165" s="58"/>
      <c r="AK165" s="58"/>
      <c r="AL165" s="58"/>
      <c r="AM165" s="89">
        <f t="shared" si="159"/>
        <v>6</v>
      </c>
      <c r="AN165" s="26">
        <f t="shared" si="147"/>
        <v>35.518333333333331</v>
      </c>
      <c r="AO165" s="24">
        <f t="shared" si="148"/>
        <v>1.7055453398353333</v>
      </c>
      <c r="AP165" s="24">
        <f>IF((OR(R165="A",R165="B",R165="C")),INDEX(Coefficients!$S$4:$S$22,MATCH(J165,Coefficients!$R$4:$R$22)),INDEX(Coefficients!$T$4:$T$22,MATCH(J165,Coefficients!$R$4:$R$22)))</f>
        <v>1.3</v>
      </c>
      <c r="AQ165" s="27">
        <f>IF((OR(R165="A",R165="B",R165="C")),INDEX(Coefficients!$S$4:$S$22,MATCH(K165,Coefficients!$R$4:$R$22)),INDEX(Coefficients!$T$4:$T$22,MATCH(K165,Coefficients!$R$4:$R$22)))</f>
        <v>25</v>
      </c>
      <c r="AR165" s="27">
        <f>IF(OR(R165="A",R165="B",R165="C",R165="D"),IF(AN165&gt;=11,IF(AN165&gt;=26,Coefficients!$M$6,Coefficients!$M$5),Coefficients!$M$4),IF(AN165&gt;=11,IF(AN165&gt;=26,Coefficients!$N$6,Coefficients!$N$5),Coefficients!$N$4))</f>
        <v>1</v>
      </c>
      <c r="AS165" s="27">
        <f>INDEX(Coefficients!$X$3:$X$4,MATCH(S165,Coefficients!$W$3:$W$4))</f>
        <v>1</v>
      </c>
      <c r="AT165" s="27">
        <f>INDEX(Coefficients!$X$7:$X$8,MATCH(O165,Coefficients!$W$7:$W$8))</f>
        <v>1</v>
      </c>
      <c r="AU165" s="27">
        <f>INDEX(Coefficients!$X$11:$X$12,MATCH(P165,Coefficients!$W$11:$W$12))</f>
        <v>1</v>
      </c>
      <c r="AV165" s="27">
        <f>INDEX(Coefficients!$X$15:$X$17,MATCH(Q165,Coefficients!$W$15:$W$17))</f>
        <v>1</v>
      </c>
      <c r="AW165" s="27">
        <f t="shared" si="160"/>
        <v>1</v>
      </c>
      <c r="AX165" s="27">
        <f t="shared" si="161"/>
        <v>1</v>
      </c>
      <c r="AY165" s="27">
        <f t="shared" si="162"/>
        <v>1.3</v>
      </c>
      <c r="AZ165" s="24">
        <f t="shared" si="163"/>
        <v>42.638633495883333</v>
      </c>
      <c r="BA165" s="24">
        <f t="shared" si="164"/>
        <v>0</v>
      </c>
      <c r="BB165" s="24">
        <f t="shared" si="165"/>
        <v>2.2172089417859335</v>
      </c>
      <c r="BC165" s="24">
        <f t="shared" si="166"/>
        <v>1.7782791058214067</v>
      </c>
      <c r="BD165" s="24">
        <f t="shared" si="149"/>
        <v>0.46905818409801892</v>
      </c>
      <c r="BE165" s="16">
        <f t="shared" si="150"/>
        <v>28.320437316297284</v>
      </c>
      <c r="BF165" s="16">
        <f t="shared" si="151"/>
        <v>343.35912536740545</v>
      </c>
      <c r="BG165" s="25">
        <f t="shared" si="152"/>
        <v>0.28320437316297281</v>
      </c>
      <c r="BH165" s="24">
        <f t="shared" si="153"/>
        <v>62.30496209585403</v>
      </c>
      <c r="BI165" s="24">
        <f t="shared" si="154"/>
        <v>275.39007580829195</v>
      </c>
      <c r="BJ165" s="24">
        <f t="shared" si="155"/>
        <v>38.328736066690105</v>
      </c>
    </row>
    <row r="166" spans="2:62">
      <c r="B166" s="24" t="s">
        <v>91</v>
      </c>
      <c r="C166" s="82" t="str">
        <f>'Hotter&amp;Drier'!$B$1</f>
        <v>CSIRO Mk3.5</v>
      </c>
      <c r="D166" s="89">
        <v>2012</v>
      </c>
      <c r="E166" s="57">
        <f>'Cooler&amp;Wetter'!AA40</f>
        <v>35.520000000000003</v>
      </c>
      <c r="F166" s="90">
        <f>'Hotter&amp;Drier'!AC40</f>
        <v>21.847999999999999</v>
      </c>
      <c r="G166" s="35">
        <f t="shared" si="156"/>
        <v>2005</v>
      </c>
      <c r="H166" s="91" t="str">
        <f t="shared" si="136"/>
        <v>Pile 32 @ Berth 201</v>
      </c>
      <c r="I166" s="35" t="str">
        <f t="shared" si="137"/>
        <v>Turpentine Gum</v>
      </c>
      <c r="J166" s="35" t="str">
        <f t="shared" si="138"/>
        <v>HW1</v>
      </c>
      <c r="K166" s="35" t="str">
        <f t="shared" si="157"/>
        <v>SPHU</v>
      </c>
      <c r="L166" s="35">
        <f t="shared" si="139"/>
        <v>400</v>
      </c>
      <c r="M166" s="35">
        <f t="shared" si="140"/>
        <v>20</v>
      </c>
      <c r="N166" s="35">
        <f t="shared" si="141"/>
        <v>200</v>
      </c>
      <c r="O166" s="35" t="str">
        <f t="shared" si="142"/>
        <v>MTN2</v>
      </c>
      <c r="P166" s="35" t="str">
        <f t="shared" si="143"/>
        <v>CNT2</v>
      </c>
      <c r="Q166" s="35" t="str">
        <f t="shared" si="144"/>
        <v>KNT3</v>
      </c>
      <c r="R166" s="35" t="str">
        <f t="shared" si="145"/>
        <v>E</v>
      </c>
      <c r="S166" s="35" t="str">
        <f t="shared" si="146"/>
        <v>EXP1</v>
      </c>
      <c r="T166" s="58"/>
      <c r="U166" s="58"/>
      <c r="V166" s="58"/>
      <c r="W166" s="58"/>
      <c r="X166" s="58"/>
      <c r="Y166" s="58"/>
      <c r="Z166" s="58"/>
      <c r="AA166" s="95">
        <f t="shared" si="104"/>
        <v>0.3058324021319091</v>
      </c>
      <c r="AB166" s="96">
        <f t="shared" si="158"/>
        <v>30.583240213190912</v>
      </c>
      <c r="AC166" s="58"/>
      <c r="AD166" s="58"/>
      <c r="AE166" s="58"/>
      <c r="AF166" s="58"/>
      <c r="AG166" s="58"/>
      <c r="AH166" s="58"/>
      <c r="AI166" s="58"/>
      <c r="AJ166" s="58"/>
      <c r="AK166" s="58"/>
      <c r="AL166" s="58"/>
      <c r="AM166" s="89">
        <f t="shared" si="159"/>
        <v>7</v>
      </c>
      <c r="AN166" s="26">
        <f t="shared" si="147"/>
        <v>35.520000000000003</v>
      </c>
      <c r="AO166" s="24">
        <f t="shared" si="148"/>
        <v>1.7119873813848281</v>
      </c>
      <c r="AP166" s="24">
        <f>IF((OR(R166="A",R166="B",R166="C")),INDEX(Coefficients!$S$4:$S$22,MATCH(J166,Coefficients!$R$4:$R$22)),INDEX(Coefficients!$T$4:$T$22,MATCH(J166,Coefficients!$R$4:$R$22)))</f>
        <v>1.3</v>
      </c>
      <c r="AQ166" s="27">
        <f>IF((OR(R166="A",R166="B",R166="C")),INDEX(Coefficients!$S$4:$S$22,MATCH(K166,Coefficients!$R$4:$R$22)),INDEX(Coefficients!$T$4:$T$22,MATCH(K166,Coefficients!$R$4:$R$22)))</f>
        <v>25</v>
      </c>
      <c r="AR166" s="27">
        <f>IF(OR(R166="A",R166="B",R166="C",R166="D"),IF(AN166&gt;=11,IF(AN166&gt;=26,Coefficients!$M$6,Coefficients!$M$5),Coefficients!$M$4),IF(AN166&gt;=11,IF(AN166&gt;=26,Coefficients!$N$6,Coefficients!$N$5),Coefficients!$N$4))</f>
        <v>1</v>
      </c>
      <c r="AS166" s="27">
        <f>INDEX(Coefficients!$X$3:$X$4,MATCH(S166,Coefficients!$W$3:$W$4))</f>
        <v>1</v>
      </c>
      <c r="AT166" s="27">
        <f>INDEX(Coefficients!$X$7:$X$8,MATCH(O166,Coefficients!$W$7:$W$8))</f>
        <v>1</v>
      </c>
      <c r="AU166" s="27">
        <f>INDEX(Coefficients!$X$11:$X$12,MATCH(P166,Coefficients!$W$11:$W$12))</f>
        <v>1</v>
      </c>
      <c r="AV166" s="27">
        <f>INDEX(Coefficients!$X$15:$X$17,MATCH(Q166,Coefficients!$W$15:$W$17))</f>
        <v>1</v>
      </c>
      <c r="AW166" s="27">
        <f t="shared" si="160"/>
        <v>1</v>
      </c>
      <c r="AX166" s="27">
        <f t="shared" si="161"/>
        <v>1</v>
      </c>
      <c r="AY166" s="27">
        <f t="shared" si="162"/>
        <v>1.3</v>
      </c>
      <c r="AZ166" s="24">
        <f t="shared" si="163"/>
        <v>42.799684534620702</v>
      </c>
      <c r="BA166" s="24">
        <f t="shared" si="164"/>
        <v>0</v>
      </c>
      <c r="BB166" s="24">
        <f t="shared" si="165"/>
        <v>2.2255835958002765</v>
      </c>
      <c r="BC166" s="24">
        <f t="shared" si="166"/>
        <v>1.7774416404199722</v>
      </c>
      <c r="BD166" s="24">
        <f t="shared" si="149"/>
        <v>0.46729316389755121</v>
      </c>
      <c r="BE166" s="16">
        <f t="shared" si="150"/>
        <v>30.583240213190912</v>
      </c>
      <c r="BF166" s="16">
        <f t="shared" si="151"/>
        <v>338.83351957361816</v>
      </c>
      <c r="BG166" s="25">
        <f t="shared" si="152"/>
        <v>0.3058324021319091</v>
      </c>
      <c r="BH166" s="24">
        <f t="shared" si="153"/>
        <v>67.283128469020014</v>
      </c>
      <c r="BI166" s="24">
        <f t="shared" si="154"/>
        <v>265.43374306195994</v>
      </c>
      <c r="BJ166" s="24">
        <f t="shared" si="155"/>
        <v>38.190362796436851</v>
      </c>
    </row>
    <row r="167" spans="2:62">
      <c r="B167" s="24" t="s">
        <v>91</v>
      </c>
      <c r="C167" s="82" t="str">
        <f>'Hotter&amp;Drier'!$B$1</f>
        <v>CSIRO Mk3.5</v>
      </c>
      <c r="D167" s="89">
        <v>2013</v>
      </c>
      <c r="E167" s="57">
        <f>'Cooler&amp;Wetter'!AA41</f>
        <v>35.521666666666668</v>
      </c>
      <c r="F167" s="90">
        <f>'Hotter&amp;Drier'!AC41</f>
        <v>21.876999999999999</v>
      </c>
      <c r="G167" s="35">
        <f t="shared" si="156"/>
        <v>2005</v>
      </c>
      <c r="H167" s="91" t="str">
        <f t="shared" si="136"/>
        <v>Pile 32 @ Berth 201</v>
      </c>
      <c r="I167" s="35" t="str">
        <f t="shared" si="137"/>
        <v>Turpentine Gum</v>
      </c>
      <c r="J167" s="35" t="str">
        <f t="shared" si="138"/>
        <v>HW1</v>
      </c>
      <c r="K167" s="35" t="str">
        <f t="shared" si="157"/>
        <v>SPHU</v>
      </c>
      <c r="L167" s="35">
        <f t="shared" si="139"/>
        <v>400</v>
      </c>
      <c r="M167" s="35">
        <f t="shared" si="140"/>
        <v>20</v>
      </c>
      <c r="N167" s="35">
        <f t="shared" si="141"/>
        <v>200</v>
      </c>
      <c r="O167" s="35" t="str">
        <f t="shared" si="142"/>
        <v>MTN2</v>
      </c>
      <c r="P167" s="35" t="str">
        <f t="shared" si="143"/>
        <v>CNT2</v>
      </c>
      <c r="Q167" s="35" t="str">
        <f t="shared" si="144"/>
        <v>KNT3</v>
      </c>
      <c r="R167" s="35" t="str">
        <f t="shared" si="145"/>
        <v>E</v>
      </c>
      <c r="S167" s="35" t="str">
        <f t="shared" si="146"/>
        <v>EXP1</v>
      </c>
      <c r="T167" s="58"/>
      <c r="U167" s="58"/>
      <c r="V167" s="58"/>
      <c r="W167" s="58"/>
      <c r="X167" s="58"/>
      <c r="Y167" s="58"/>
      <c r="Z167" s="58"/>
      <c r="AA167" s="95">
        <f t="shared" si="104"/>
        <v>0.32863010370315476</v>
      </c>
      <c r="AB167" s="96">
        <f t="shared" si="158"/>
        <v>32.863010370315479</v>
      </c>
      <c r="AC167" s="58"/>
      <c r="AD167" s="58"/>
      <c r="AE167" s="58"/>
      <c r="AF167" s="58"/>
      <c r="AG167" s="58"/>
      <c r="AH167" s="58"/>
      <c r="AI167" s="58"/>
      <c r="AJ167" s="58"/>
      <c r="AK167" s="58"/>
      <c r="AL167" s="58"/>
      <c r="AM167" s="89">
        <f t="shared" si="159"/>
        <v>8</v>
      </c>
      <c r="AN167" s="26">
        <f t="shared" si="147"/>
        <v>35.521666666666668</v>
      </c>
      <c r="AO167" s="24">
        <f t="shared" si="148"/>
        <v>1.7184537552685939</v>
      </c>
      <c r="AP167" s="24">
        <f>IF((OR(R167="A",R167="B",R167="C")),INDEX(Coefficients!$S$4:$S$22,MATCH(J167,Coefficients!$R$4:$R$22)),INDEX(Coefficients!$T$4:$T$22,MATCH(J167,Coefficients!$R$4:$R$22)))</f>
        <v>1.3</v>
      </c>
      <c r="AQ167" s="27">
        <f>IF((OR(R167="A",R167="B",R167="C")),INDEX(Coefficients!$S$4:$S$22,MATCH(K167,Coefficients!$R$4:$R$22)),INDEX(Coefficients!$T$4:$T$22,MATCH(K167,Coefficients!$R$4:$R$22)))</f>
        <v>25</v>
      </c>
      <c r="AR167" s="27">
        <f>IF(OR(R167="A",R167="B",R167="C",R167="D"),IF(AN167&gt;=11,IF(AN167&gt;=26,Coefficients!$M$6,Coefficients!$M$5),Coefficients!$M$4),IF(AN167&gt;=11,IF(AN167&gt;=26,Coefficients!$N$6,Coefficients!$N$5),Coefficients!$N$4))</f>
        <v>1</v>
      </c>
      <c r="AS167" s="27">
        <f>INDEX(Coefficients!$X$3:$X$4,MATCH(S167,Coefficients!$W$3:$W$4))</f>
        <v>1</v>
      </c>
      <c r="AT167" s="27">
        <f>INDEX(Coefficients!$X$7:$X$8,MATCH(O167,Coefficients!$W$7:$W$8))</f>
        <v>1</v>
      </c>
      <c r="AU167" s="27">
        <f>INDEX(Coefficients!$X$11:$X$12,MATCH(P167,Coefficients!$W$11:$W$12))</f>
        <v>1</v>
      </c>
      <c r="AV167" s="27">
        <f>INDEX(Coefficients!$X$15:$X$17,MATCH(Q167,Coefficients!$W$15:$W$17))</f>
        <v>1</v>
      </c>
      <c r="AW167" s="27">
        <f t="shared" si="160"/>
        <v>1</v>
      </c>
      <c r="AX167" s="27">
        <f t="shared" si="161"/>
        <v>1</v>
      </c>
      <c r="AY167" s="27">
        <f t="shared" si="162"/>
        <v>1.3</v>
      </c>
      <c r="AZ167" s="24">
        <f t="shared" si="163"/>
        <v>42.961343881714846</v>
      </c>
      <c r="BA167" s="24">
        <f t="shared" si="164"/>
        <v>0</v>
      </c>
      <c r="BB167" s="24">
        <f t="shared" si="165"/>
        <v>2.2339898818491721</v>
      </c>
      <c r="BC167" s="24">
        <f t="shared" si="166"/>
        <v>1.7766010118150828</v>
      </c>
      <c r="BD167" s="24">
        <f t="shared" si="149"/>
        <v>0.46553478529595937</v>
      </c>
      <c r="BE167" s="16">
        <f t="shared" si="150"/>
        <v>32.863010370315479</v>
      </c>
      <c r="BF167" s="16">
        <f t="shared" si="151"/>
        <v>334.27397925936907</v>
      </c>
      <c r="BG167" s="25">
        <f t="shared" si="152"/>
        <v>0.32863010370315476</v>
      </c>
      <c r="BH167" s="24">
        <f t="shared" si="153"/>
        <v>72.298622814694056</v>
      </c>
      <c r="BI167" s="24">
        <f t="shared" si="154"/>
        <v>255.40275437061189</v>
      </c>
      <c r="BJ167" s="24">
        <f t="shared" si="155"/>
        <v>38.052503896800225</v>
      </c>
    </row>
    <row r="168" spans="2:62">
      <c r="B168" s="24" t="s">
        <v>91</v>
      </c>
      <c r="C168" s="82" t="str">
        <f>'Hotter&amp;Drier'!$B$1</f>
        <v>CSIRO Mk3.5</v>
      </c>
      <c r="D168" s="89">
        <v>2014</v>
      </c>
      <c r="E168" s="57">
        <f>'Cooler&amp;Wetter'!AA42</f>
        <v>35.523333333333333</v>
      </c>
      <c r="F168" s="90">
        <f>'Hotter&amp;Drier'!AC42</f>
        <v>21.905999999999999</v>
      </c>
      <c r="G168" s="35">
        <f t="shared" si="156"/>
        <v>2005</v>
      </c>
      <c r="H168" s="91" t="str">
        <f t="shared" si="136"/>
        <v>Pile 32 @ Berth 201</v>
      </c>
      <c r="I168" s="35" t="str">
        <f t="shared" si="137"/>
        <v>Turpentine Gum</v>
      </c>
      <c r="J168" s="35" t="str">
        <f t="shared" si="138"/>
        <v>HW1</v>
      </c>
      <c r="K168" s="35" t="str">
        <f t="shared" si="157"/>
        <v>SPHU</v>
      </c>
      <c r="L168" s="35">
        <f t="shared" si="139"/>
        <v>400</v>
      </c>
      <c r="M168" s="35">
        <f t="shared" si="140"/>
        <v>20</v>
      </c>
      <c r="N168" s="35">
        <f t="shared" si="141"/>
        <v>200</v>
      </c>
      <c r="O168" s="35" t="str">
        <f t="shared" si="142"/>
        <v>MTN2</v>
      </c>
      <c r="P168" s="35" t="str">
        <f t="shared" si="143"/>
        <v>CNT2</v>
      </c>
      <c r="Q168" s="35" t="str">
        <f t="shared" si="144"/>
        <v>KNT3</v>
      </c>
      <c r="R168" s="35" t="str">
        <f t="shared" si="145"/>
        <v>E</v>
      </c>
      <c r="S168" s="35" t="str">
        <f t="shared" si="146"/>
        <v>EXP1</v>
      </c>
      <c r="T168" s="58"/>
      <c r="U168" s="58"/>
      <c r="V168" s="58"/>
      <c r="W168" s="58"/>
      <c r="X168" s="58"/>
      <c r="Y168" s="58"/>
      <c r="Z168" s="58"/>
      <c r="AA168" s="95">
        <f t="shared" si="104"/>
        <v>0.35159843733248425</v>
      </c>
      <c r="AB168" s="96">
        <f t="shared" si="158"/>
        <v>35.159843733248422</v>
      </c>
      <c r="AC168" s="58"/>
      <c r="AD168" s="58"/>
      <c r="AE168" s="58"/>
      <c r="AF168" s="58"/>
      <c r="AG168" s="58"/>
      <c r="AH168" s="58"/>
      <c r="AI168" s="58"/>
      <c r="AJ168" s="58"/>
      <c r="AK168" s="58"/>
      <c r="AL168" s="58"/>
      <c r="AM168" s="89">
        <f t="shared" si="159"/>
        <v>9</v>
      </c>
      <c r="AN168" s="26">
        <f t="shared" si="147"/>
        <v>35.523333333333333</v>
      </c>
      <c r="AO168" s="24">
        <f t="shared" si="148"/>
        <v>1.7249445533926668</v>
      </c>
      <c r="AP168" s="24">
        <f>IF((OR(R168="A",R168="B",R168="C")),INDEX(Coefficients!$S$4:$S$22,MATCH(J168,Coefficients!$R$4:$R$22)),INDEX(Coefficients!$T$4:$T$22,MATCH(J168,Coefficients!$R$4:$R$22)))</f>
        <v>1.3</v>
      </c>
      <c r="AQ168" s="27">
        <f>IF((OR(R168="A",R168="B",R168="C")),INDEX(Coefficients!$S$4:$S$22,MATCH(K168,Coefficients!$R$4:$R$22)),INDEX(Coefficients!$T$4:$T$22,MATCH(K168,Coefficients!$R$4:$R$22)))</f>
        <v>25</v>
      </c>
      <c r="AR168" s="27">
        <f>IF(OR(R168="A",R168="B",R168="C",R168="D"),IF(AN168&gt;=11,IF(AN168&gt;=26,Coefficients!$M$6,Coefficients!$M$5),Coefficients!$M$4),IF(AN168&gt;=11,IF(AN168&gt;=26,Coefficients!$N$6,Coefficients!$N$5),Coefficients!$N$4))</f>
        <v>1</v>
      </c>
      <c r="AS168" s="27">
        <f>INDEX(Coefficients!$X$3:$X$4,MATCH(S168,Coefficients!$W$3:$W$4))</f>
        <v>1</v>
      </c>
      <c r="AT168" s="27">
        <f>INDEX(Coefficients!$X$7:$X$8,MATCH(O168,Coefficients!$W$7:$W$8))</f>
        <v>1</v>
      </c>
      <c r="AU168" s="27">
        <f>INDEX(Coefficients!$X$11:$X$12,MATCH(P168,Coefficients!$W$11:$W$12))</f>
        <v>1</v>
      </c>
      <c r="AV168" s="27">
        <f>INDEX(Coefficients!$X$15:$X$17,MATCH(Q168,Coefficients!$W$15:$W$17))</f>
        <v>1</v>
      </c>
      <c r="AW168" s="27">
        <f t="shared" si="160"/>
        <v>1</v>
      </c>
      <c r="AX168" s="27">
        <f t="shared" si="161"/>
        <v>1</v>
      </c>
      <c r="AY168" s="27">
        <f t="shared" si="162"/>
        <v>1.3</v>
      </c>
      <c r="AZ168" s="24">
        <f t="shared" si="163"/>
        <v>43.123613834816673</v>
      </c>
      <c r="BA168" s="24">
        <f t="shared" si="164"/>
        <v>0</v>
      </c>
      <c r="BB168" s="24">
        <f t="shared" si="165"/>
        <v>2.242427919410467</v>
      </c>
      <c r="BC168" s="24">
        <f t="shared" si="166"/>
        <v>1.7757572080589532</v>
      </c>
      <c r="BD168" s="24">
        <f t="shared" si="149"/>
        <v>0.46378302330155408</v>
      </c>
      <c r="BE168" s="16">
        <f t="shared" si="150"/>
        <v>35.159843733248422</v>
      </c>
      <c r="BF168" s="16">
        <f t="shared" si="151"/>
        <v>329.68031253350318</v>
      </c>
      <c r="BG168" s="25">
        <f t="shared" si="152"/>
        <v>0.35159843733248425</v>
      </c>
      <c r="BH168" s="24">
        <f t="shared" si="153"/>
        <v>77.351656213146541</v>
      </c>
      <c r="BI168" s="24">
        <f t="shared" si="154"/>
        <v>245.29668757370692</v>
      </c>
      <c r="BJ168" s="24">
        <f t="shared" si="155"/>
        <v>37.915157408403125</v>
      </c>
    </row>
    <row r="169" spans="2:62">
      <c r="B169" s="24" t="s">
        <v>91</v>
      </c>
      <c r="C169" s="82" t="str">
        <f>'Hotter&amp;Drier'!$B$1</f>
        <v>CSIRO Mk3.5</v>
      </c>
      <c r="D169" s="89">
        <v>2015</v>
      </c>
      <c r="E169" s="57">
        <f>'Cooler&amp;Wetter'!AA43</f>
        <v>35.524999999999999</v>
      </c>
      <c r="F169" s="90">
        <f>'Hotter&amp;Drier'!AC43</f>
        <v>21.934999999999999</v>
      </c>
      <c r="G169" s="35">
        <f t="shared" si="156"/>
        <v>2005</v>
      </c>
      <c r="H169" s="91" t="str">
        <f t="shared" si="136"/>
        <v>Pile 32 @ Berth 201</v>
      </c>
      <c r="I169" s="35" t="str">
        <f t="shared" si="137"/>
        <v>Turpentine Gum</v>
      </c>
      <c r="J169" s="35" t="str">
        <f t="shared" si="138"/>
        <v>HW1</v>
      </c>
      <c r="K169" s="35" t="str">
        <f t="shared" si="157"/>
        <v>SPHU</v>
      </c>
      <c r="L169" s="35">
        <f t="shared" si="139"/>
        <v>400</v>
      </c>
      <c r="M169" s="35">
        <f t="shared" si="140"/>
        <v>20</v>
      </c>
      <c r="N169" s="35">
        <f t="shared" si="141"/>
        <v>200</v>
      </c>
      <c r="O169" s="35" t="str">
        <f t="shared" si="142"/>
        <v>MTN2</v>
      </c>
      <c r="P169" s="35" t="str">
        <f t="shared" si="143"/>
        <v>CNT2</v>
      </c>
      <c r="Q169" s="35" t="str">
        <f t="shared" si="144"/>
        <v>KNT3</v>
      </c>
      <c r="R169" s="35" t="str">
        <f t="shared" si="145"/>
        <v>E</v>
      </c>
      <c r="S169" s="35" t="str">
        <f t="shared" si="146"/>
        <v>EXP1</v>
      </c>
      <c r="T169" s="58"/>
      <c r="U169" s="58"/>
      <c r="V169" s="58"/>
      <c r="W169" s="58"/>
      <c r="X169" s="58"/>
      <c r="Y169" s="58"/>
      <c r="Z169" s="58"/>
      <c r="AA169" s="95">
        <f t="shared" si="104"/>
        <v>0.37473836730701859</v>
      </c>
      <c r="AB169" s="96">
        <f t="shared" si="158"/>
        <v>37.473836730701862</v>
      </c>
      <c r="AC169" s="58"/>
      <c r="AD169" s="58"/>
      <c r="AE169" s="58"/>
      <c r="AF169" s="58"/>
      <c r="AG169" s="58"/>
      <c r="AH169" s="58"/>
      <c r="AI169" s="58"/>
      <c r="AJ169" s="58"/>
      <c r="AK169" s="58"/>
      <c r="AL169" s="58"/>
      <c r="AM169" s="89">
        <f t="shared" si="159"/>
        <v>10</v>
      </c>
      <c r="AN169" s="26">
        <f t="shared" si="147"/>
        <v>35.524999999999999</v>
      </c>
      <c r="AO169" s="24">
        <f t="shared" si="148"/>
        <v>1.7314598680102204</v>
      </c>
      <c r="AP169" s="24">
        <f>IF((OR(R169="A",R169="B",R169="C")),INDEX(Coefficients!$S$4:$S$22,MATCH(J169,Coefficients!$R$4:$R$22)),INDEX(Coefficients!$T$4:$T$22,MATCH(J169,Coefficients!$R$4:$R$22)))</f>
        <v>1.3</v>
      </c>
      <c r="AQ169" s="27">
        <f>IF((OR(R169="A",R169="B",R169="C")),INDEX(Coefficients!$S$4:$S$22,MATCH(K169,Coefficients!$R$4:$R$22)),INDEX(Coefficients!$T$4:$T$22,MATCH(K169,Coefficients!$R$4:$R$22)))</f>
        <v>25</v>
      </c>
      <c r="AR169" s="27">
        <f>IF(OR(R169="A",R169="B",R169="C",R169="D"),IF(AN169&gt;=11,IF(AN169&gt;=26,Coefficients!$M$6,Coefficients!$M$5),Coefficients!$M$4),IF(AN169&gt;=11,IF(AN169&gt;=26,Coefficients!$N$6,Coefficients!$N$5),Coefficients!$N$4))</f>
        <v>1</v>
      </c>
      <c r="AS169" s="27">
        <f>INDEX(Coefficients!$X$3:$X$4,MATCH(S169,Coefficients!$W$3:$W$4))</f>
        <v>1</v>
      </c>
      <c r="AT169" s="27">
        <f>INDEX(Coefficients!$X$7:$X$8,MATCH(O169,Coefficients!$W$7:$W$8))</f>
        <v>1</v>
      </c>
      <c r="AU169" s="27">
        <f>INDEX(Coefficients!$X$11:$X$12,MATCH(P169,Coefficients!$W$11:$W$12))</f>
        <v>1</v>
      </c>
      <c r="AV169" s="27">
        <f>INDEX(Coefficients!$X$15:$X$17,MATCH(Q169,Coefficients!$W$15:$W$17))</f>
        <v>1</v>
      </c>
      <c r="AW169" s="27">
        <f t="shared" si="160"/>
        <v>1</v>
      </c>
      <c r="AX169" s="27">
        <f t="shared" si="161"/>
        <v>1</v>
      </c>
      <c r="AY169" s="27">
        <f t="shared" si="162"/>
        <v>1.3</v>
      </c>
      <c r="AZ169" s="24">
        <f t="shared" si="163"/>
        <v>43.286496700255512</v>
      </c>
      <c r="BA169" s="24">
        <f t="shared" si="164"/>
        <v>0</v>
      </c>
      <c r="BB169" s="24">
        <f t="shared" si="165"/>
        <v>2.2508978284132866</v>
      </c>
      <c r="BC169" s="24">
        <f t="shared" si="166"/>
        <v>1.7749102171586713</v>
      </c>
      <c r="BD169" s="24">
        <f t="shared" si="149"/>
        <v>0.46203785301668787</v>
      </c>
      <c r="BE169" s="16">
        <f t="shared" si="150"/>
        <v>37.473836730701862</v>
      </c>
      <c r="BF169" s="16">
        <f t="shared" si="151"/>
        <v>325.05232653859628</v>
      </c>
      <c r="BG169" s="25">
        <f t="shared" si="152"/>
        <v>0.37473836730701859</v>
      </c>
      <c r="BH169" s="24">
        <f t="shared" si="153"/>
        <v>82.442440807544102</v>
      </c>
      <c r="BI169" s="24">
        <f t="shared" si="154"/>
        <v>235.1151183849118</v>
      </c>
      <c r="BJ169" s="24">
        <f t="shared" si="155"/>
        <v>37.77832137915135</v>
      </c>
    </row>
    <row r="170" spans="2:62">
      <c r="B170" s="24" t="s">
        <v>91</v>
      </c>
      <c r="C170" s="82" t="str">
        <f>'Hotter&amp;Drier'!$B$1</f>
        <v>CSIRO Mk3.5</v>
      </c>
      <c r="D170" s="89">
        <v>2016</v>
      </c>
      <c r="E170" s="57">
        <f>'Cooler&amp;Wetter'!AA44</f>
        <v>35.526666666666664</v>
      </c>
      <c r="F170" s="90">
        <f>'Hotter&amp;Drier'!AC44</f>
        <v>21.963999999999999</v>
      </c>
      <c r="G170" s="35">
        <f t="shared" si="156"/>
        <v>2005</v>
      </c>
      <c r="H170" s="91" t="str">
        <f t="shared" si="136"/>
        <v>Pile 32 @ Berth 201</v>
      </c>
      <c r="I170" s="35" t="str">
        <f t="shared" si="137"/>
        <v>Turpentine Gum</v>
      </c>
      <c r="J170" s="35" t="str">
        <f t="shared" si="138"/>
        <v>HW1</v>
      </c>
      <c r="K170" s="35" t="str">
        <f t="shared" si="157"/>
        <v>SPHU</v>
      </c>
      <c r="L170" s="35">
        <f t="shared" si="139"/>
        <v>400</v>
      </c>
      <c r="M170" s="35">
        <f t="shared" si="140"/>
        <v>20</v>
      </c>
      <c r="N170" s="35">
        <f t="shared" si="141"/>
        <v>200</v>
      </c>
      <c r="O170" s="35" t="str">
        <f t="shared" si="142"/>
        <v>MTN2</v>
      </c>
      <c r="P170" s="35" t="str">
        <f t="shared" si="143"/>
        <v>CNT2</v>
      </c>
      <c r="Q170" s="35" t="str">
        <f t="shared" si="144"/>
        <v>KNT3</v>
      </c>
      <c r="R170" s="35" t="str">
        <f t="shared" si="145"/>
        <v>E</v>
      </c>
      <c r="S170" s="35" t="str">
        <f t="shared" si="146"/>
        <v>EXP1</v>
      </c>
      <c r="T170" s="58"/>
      <c r="U170" s="58"/>
      <c r="V170" s="58"/>
      <c r="W170" s="58"/>
      <c r="X170" s="58"/>
      <c r="Y170" s="58"/>
      <c r="Z170" s="58"/>
      <c r="AA170" s="95">
        <f t="shared" si="104"/>
        <v>0.39805086276806551</v>
      </c>
      <c r="AB170" s="96">
        <f t="shared" si="158"/>
        <v>39.805086276806549</v>
      </c>
      <c r="AC170" s="58"/>
      <c r="AD170" s="58"/>
      <c r="AE170" s="58"/>
      <c r="AF170" s="58"/>
      <c r="AG170" s="58"/>
      <c r="AH170" s="58"/>
      <c r="AI170" s="58"/>
      <c r="AJ170" s="58"/>
      <c r="AK170" s="58"/>
      <c r="AL170" s="58"/>
      <c r="AM170" s="89">
        <f t="shared" si="159"/>
        <v>11</v>
      </c>
      <c r="AN170" s="26">
        <f t="shared" si="147"/>
        <v>35.526666666666664</v>
      </c>
      <c r="AO170" s="24">
        <f t="shared" si="148"/>
        <v>1.7379997917228789</v>
      </c>
      <c r="AP170" s="24">
        <f>IF((OR(R170="A",R170="B",R170="C")),INDEX(Coefficients!$S$4:$S$22,MATCH(J170,Coefficients!$R$4:$R$22)),INDEX(Coefficients!$T$4:$T$22,MATCH(J170,Coefficients!$R$4:$R$22)))</f>
        <v>1.3</v>
      </c>
      <c r="AQ170" s="27">
        <f>IF((OR(R170="A",R170="B",R170="C")),INDEX(Coefficients!$S$4:$S$22,MATCH(K170,Coefficients!$R$4:$R$22)),INDEX(Coefficients!$T$4:$T$22,MATCH(K170,Coefficients!$R$4:$R$22)))</f>
        <v>25</v>
      </c>
      <c r="AR170" s="27">
        <f>IF(OR(R170="A",R170="B",R170="C",R170="D"),IF(AN170&gt;=11,IF(AN170&gt;=26,Coefficients!$M$6,Coefficients!$M$5),Coefficients!$M$4),IF(AN170&gt;=11,IF(AN170&gt;=26,Coefficients!$N$6,Coefficients!$N$5),Coefficients!$N$4))</f>
        <v>1</v>
      </c>
      <c r="AS170" s="27">
        <f>INDEX(Coefficients!$X$3:$X$4,MATCH(S170,Coefficients!$W$3:$W$4))</f>
        <v>1</v>
      </c>
      <c r="AT170" s="27">
        <f>INDEX(Coefficients!$X$7:$X$8,MATCH(O170,Coefficients!$W$7:$W$8))</f>
        <v>1</v>
      </c>
      <c r="AU170" s="27">
        <f>INDEX(Coefficients!$X$11:$X$12,MATCH(P170,Coefficients!$W$11:$W$12))</f>
        <v>1</v>
      </c>
      <c r="AV170" s="27">
        <f>INDEX(Coefficients!$X$15:$X$17,MATCH(Q170,Coefficients!$W$15:$W$17))</f>
        <v>1</v>
      </c>
      <c r="AW170" s="27">
        <f t="shared" si="160"/>
        <v>1</v>
      </c>
      <c r="AX170" s="27">
        <f t="shared" si="161"/>
        <v>1</v>
      </c>
      <c r="AY170" s="27">
        <f t="shared" si="162"/>
        <v>1.3</v>
      </c>
      <c r="AZ170" s="24">
        <f t="shared" si="163"/>
        <v>43.449994793071973</v>
      </c>
      <c r="BA170" s="24">
        <f t="shared" si="164"/>
        <v>0</v>
      </c>
      <c r="BB170" s="24">
        <f t="shared" si="165"/>
        <v>2.2593997292397425</v>
      </c>
      <c r="BC170" s="24">
        <f t="shared" si="166"/>
        <v>1.7740600270760258</v>
      </c>
      <c r="BD170" s="24">
        <f t="shared" si="149"/>
        <v>0.46029924963740076</v>
      </c>
      <c r="BE170" s="16">
        <f t="shared" si="150"/>
        <v>39.805086276806549</v>
      </c>
      <c r="BF170" s="16">
        <f t="shared" si="151"/>
        <v>320.3898274463869</v>
      </c>
      <c r="BG170" s="25">
        <f t="shared" si="152"/>
        <v>0.39805086276806551</v>
      </c>
      <c r="BH170" s="24">
        <f t="shared" si="153"/>
        <v>87.57118980897441</v>
      </c>
      <c r="BI170" s="24">
        <f t="shared" si="154"/>
        <v>224.85762038205118</v>
      </c>
      <c r="BJ170" s="24">
        <f t="shared" si="155"/>
        <v>37.641993864205794</v>
      </c>
    </row>
    <row r="171" spans="2:62">
      <c r="B171" s="24" t="s">
        <v>91</v>
      </c>
      <c r="C171" s="82" t="str">
        <f>'Hotter&amp;Drier'!$B$1</f>
        <v>CSIRO Mk3.5</v>
      </c>
      <c r="D171" s="89">
        <v>2017</v>
      </c>
      <c r="E171" s="57">
        <f>'Cooler&amp;Wetter'!AA45</f>
        <v>35.528333333333336</v>
      </c>
      <c r="F171" s="90">
        <f>'Hotter&amp;Drier'!AC45</f>
        <v>21.992999999999999</v>
      </c>
      <c r="G171" s="35">
        <f t="shared" si="156"/>
        <v>2005</v>
      </c>
      <c r="H171" s="91" t="str">
        <f t="shared" si="136"/>
        <v>Pile 32 @ Berth 201</v>
      </c>
      <c r="I171" s="35" t="str">
        <f t="shared" si="137"/>
        <v>Turpentine Gum</v>
      </c>
      <c r="J171" s="35" t="str">
        <f t="shared" si="138"/>
        <v>HW1</v>
      </c>
      <c r="K171" s="35" t="str">
        <f t="shared" si="157"/>
        <v>SPHU</v>
      </c>
      <c r="L171" s="35">
        <f t="shared" si="139"/>
        <v>400</v>
      </c>
      <c r="M171" s="35">
        <f t="shared" si="140"/>
        <v>20</v>
      </c>
      <c r="N171" s="35">
        <f t="shared" si="141"/>
        <v>200</v>
      </c>
      <c r="O171" s="35" t="str">
        <f t="shared" si="142"/>
        <v>MTN2</v>
      </c>
      <c r="P171" s="35" t="str">
        <f t="shared" si="143"/>
        <v>CNT2</v>
      </c>
      <c r="Q171" s="35" t="str">
        <f t="shared" si="144"/>
        <v>KNT3</v>
      </c>
      <c r="R171" s="35" t="str">
        <f t="shared" si="145"/>
        <v>E</v>
      </c>
      <c r="S171" s="35" t="str">
        <f t="shared" si="146"/>
        <v>EXP1</v>
      </c>
      <c r="T171" s="58"/>
      <c r="U171" s="58"/>
      <c r="V171" s="58"/>
      <c r="W171" s="58"/>
      <c r="X171" s="58"/>
      <c r="Y171" s="58"/>
      <c r="Z171" s="58"/>
      <c r="AA171" s="95">
        <f t="shared" si="104"/>
        <v>0.42153689773406272</v>
      </c>
      <c r="AB171" s="96">
        <f t="shared" si="158"/>
        <v>42.153689773406271</v>
      </c>
      <c r="AC171" s="58"/>
      <c r="AD171" s="58"/>
      <c r="AE171" s="58"/>
      <c r="AF171" s="58"/>
      <c r="AG171" s="58"/>
      <c r="AH171" s="58"/>
      <c r="AI171" s="58"/>
      <c r="AJ171" s="58"/>
      <c r="AK171" s="58"/>
      <c r="AL171" s="58"/>
      <c r="AM171" s="89">
        <f t="shared" si="159"/>
        <v>12</v>
      </c>
      <c r="AN171" s="26">
        <f t="shared" si="147"/>
        <v>35.528333333333336</v>
      </c>
      <c r="AO171" s="24">
        <f t="shared" si="148"/>
        <v>1.7445644174820349</v>
      </c>
      <c r="AP171" s="24">
        <f>IF((OR(R171="A",R171="B",R171="C")),INDEX(Coefficients!$S$4:$S$22,MATCH(J171,Coefficients!$R$4:$R$22)),INDEX(Coefficients!$T$4:$T$22,MATCH(J171,Coefficients!$R$4:$R$22)))</f>
        <v>1.3</v>
      </c>
      <c r="AQ171" s="27">
        <f>IF((OR(R171="A",R171="B",R171="C")),INDEX(Coefficients!$S$4:$S$22,MATCH(K171,Coefficients!$R$4:$R$22)),INDEX(Coefficients!$T$4:$T$22,MATCH(K171,Coefficients!$R$4:$R$22)))</f>
        <v>25</v>
      </c>
      <c r="AR171" s="27">
        <f>IF(OR(R171="A",R171="B",R171="C",R171="D"),IF(AN171&gt;=11,IF(AN171&gt;=26,Coefficients!$M$6,Coefficients!$M$5),Coefficients!$M$4),IF(AN171&gt;=11,IF(AN171&gt;=26,Coefficients!$N$6,Coefficients!$N$5),Coefficients!$N$4))</f>
        <v>1</v>
      </c>
      <c r="AS171" s="27">
        <f>INDEX(Coefficients!$X$3:$X$4,MATCH(S171,Coefficients!$W$3:$W$4))</f>
        <v>1</v>
      </c>
      <c r="AT171" s="27">
        <f>INDEX(Coefficients!$X$7:$X$8,MATCH(O171,Coefficients!$W$7:$W$8))</f>
        <v>1</v>
      </c>
      <c r="AU171" s="27">
        <f>INDEX(Coefficients!$X$11:$X$12,MATCH(P171,Coefficients!$W$11:$W$12))</f>
        <v>1</v>
      </c>
      <c r="AV171" s="27">
        <f>INDEX(Coefficients!$X$15:$X$17,MATCH(Q171,Coefficients!$W$15:$W$17))</f>
        <v>1</v>
      </c>
      <c r="AW171" s="27">
        <f t="shared" si="160"/>
        <v>1</v>
      </c>
      <c r="AX171" s="27">
        <f t="shared" si="161"/>
        <v>1</v>
      </c>
      <c r="AY171" s="27">
        <f t="shared" si="162"/>
        <v>1.3</v>
      </c>
      <c r="AZ171" s="24">
        <f t="shared" si="163"/>
        <v>43.614110437050876</v>
      </c>
      <c r="BA171" s="24">
        <f t="shared" si="164"/>
        <v>0</v>
      </c>
      <c r="BB171" s="24">
        <f t="shared" si="165"/>
        <v>2.2679337427266457</v>
      </c>
      <c r="BC171" s="24">
        <f t="shared" si="166"/>
        <v>1.7732066257273353</v>
      </c>
      <c r="BD171" s="24">
        <f t="shared" si="149"/>
        <v>0.45856718845306732</v>
      </c>
      <c r="BE171" s="16">
        <f t="shared" si="150"/>
        <v>42.153689773406271</v>
      </c>
      <c r="BF171" s="16">
        <f t="shared" si="151"/>
        <v>315.69262045318749</v>
      </c>
      <c r="BG171" s="25">
        <f t="shared" si="152"/>
        <v>0.42153689773406272</v>
      </c>
      <c r="BH171" s="24">
        <f t="shared" si="153"/>
        <v>92.738117501493804</v>
      </c>
      <c r="BI171" s="24">
        <f t="shared" si="154"/>
        <v>214.52376499701239</v>
      </c>
      <c r="BJ171" s="24">
        <f t="shared" si="155"/>
        <v>37.506172925954807</v>
      </c>
    </row>
    <row r="172" spans="2:62">
      <c r="B172" s="24" t="s">
        <v>91</v>
      </c>
      <c r="C172" s="82" t="str">
        <f>'Hotter&amp;Drier'!$B$1</f>
        <v>CSIRO Mk3.5</v>
      </c>
      <c r="D172" s="89">
        <v>2018</v>
      </c>
      <c r="E172" s="57">
        <f>'Cooler&amp;Wetter'!AA46</f>
        <v>35.53</v>
      </c>
      <c r="F172" s="90">
        <f>'Hotter&amp;Drier'!AC46</f>
        <v>22.021999999999998</v>
      </c>
      <c r="G172" s="35">
        <f t="shared" si="156"/>
        <v>2005</v>
      </c>
      <c r="H172" s="91" t="str">
        <f t="shared" si="136"/>
        <v>Pile 32 @ Berth 201</v>
      </c>
      <c r="I172" s="35" t="str">
        <f t="shared" si="137"/>
        <v>Turpentine Gum</v>
      </c>
      <c r="J172" s="35" t="str">
        <f t="shared" si="138"/>
        <v>HW1</v>
      </c>
      <c r="K172" s="35" t="str">
        <f t="shared" si="157"/>
        <v>SPHU</v>
      </c>
      <c r="L172" s="35">
        <f t="shared" si="139"/>
        <v>400</v>
      </c>
      <c r="M172" s="35">
        <f t="shared" si="140"/>
        <v>20</v>
      </c>
      <c r="N172" s="35">
        <f t="shared" si="141"/>
        <v>200</v>
      </c>
      <c r="O172" s="35" t="str">
        <f t="shared" si="142"/>
        <v>MTN2</v>
      </c>
      <c r="P172" s="35" t="str">
        <f t="shared" si="143"/>
        <v>CNT2</v>
      </c>
      <c r="Q172" s="35" t="str">
        <f t="shared" si="144"/>
        <v>KNT3</v>
      </c>
      <c r="R172" s="35" t="str">
        <f t="shared" si="145"/>
        <v>E</v>
      </c>
      <c r="S172" s="35" t="str">
        <f t="shared" si="146"/>
        <v>EXP1</v>
      </c>
      <c r="T172" s="58"/>
      <c r="U172" s="58"/>
      <c r="V172" s="58"/>
      <c r="W172" s="58"/>
      <c r="X172" s="58"/>
      <c r="Y172" s="58"/>
      <c r="Z172" s="58"/>
      <c r="AA172" s="95">
        <f t="shared" si="104"/>
        <v>0.4451974511236253</v>
      </c>
      <c r="AB172" s="96">
        <f t="shared" si="158"/>
        <v>44.519745112362529</v>
      </c>
      <c r="AC172" s="58"/>
      <c r="AD172" s="58"/>
      <c r="AE172" s="58"/>
      <c r="AF172" s="58"/>
      <c r="AG172" s="58"/>
      <c r="AH172" s="58"/>
      <c r="AI172" s="58"/>
      <c r="AJ172" s="58"/>
      <c r="AK172" s="58"/>
      <c r="AL172" s="58"/>
      <c r="AM172" s="89">
        <f t="shared" si="159"/>
        <v>13</v>
      </c>
      <c r="AN172" s="26">
        <f t="shared" si="147"/>
        <v>35.53</v>
      </c>
      <c r="AO172" s="24">
        <f t="shared" si="148"/>
        <v>1.7511538385901675</v>
      </c>
      <c r="AP172" s="24">
        <f>IF((OR(R172="A",R172="B",R172="C")),INDEX(Coefficients!$S$4:$S$22,MATCH(J172,Coefficients!$R$4:$R$22)),INDEX(Coefficients!$T$4:$T$22,MATCH(J172,Coefficients!$R$4:$R$22)))</f>
        <v>1.3</v>
      </c>
      <c r="AQ172" s="27">
        <f>IF((OR(R172="A",R172="B",R172="C")),INDEX(Coefficients!$S$4:$S$22,MATCH(K172,Coefficients!$R$4:$R$22)),INDEX(Coefficients!$T$4:$T$22,MATCH(K172,Coefficients!$R$4:$R$22)))</f>
        <v>25</v>
      </c>
      <c r="AR172" s="27">
        <f>IF(OR(R172="A",R172="B",R172="C",R172="D"),IF(AN172&gt;=11,IF(AN172&gt;=26,Coefficients!$M$6,Coefficients!$M$5),Coefficients!$M$4),IF(AN172&gt;=11,IF(AN172&gt;=26,Coefficients!$N$6,Coefficients!$N$5),Coefficients!$N$4))</f>
        <v>1</v>
      </c>
      <c r="AS172" s="27">
        <f>INDEX(Coefficients!$X$3:$X$4,MATCH(S172,Coefficients!$W$3:$W$4))</f>
        <v>1</v>
      </c>
      <c r="AT172" s="27">
        <f>INDEX(Coefficients!$X$7:$X$8,MATCH(O172,Coefficients!$W$7:$W$8))</f>
        <v>1</v>
      </c>
      <c r="AU172" s="27">
        <f>INDEX(Coefficients!$X$11:$X$12,MATCH(P172,Coefficients!$W$11:$W$12))</f>
        <v>1</v>
      </c>
      <c r="AV172" s="27">
        <f>INDEX(Coefficients!$X$15:$X$17,MATCH(Q172,Coefficients!$W$15:$W$17))</f>
        <v>1</v>
      </c>
      <c r="AW172" s="27">
        <f t="shared" si="160"/>
        <v>1</v>
      </c>
      <c r="AX172" s="27">
        <f t="shared" si="161"/>
        <v>1</v>
      </c>
      <c r="AY172" s="27">
        <f t="shared" si="162"/>
        <v>1.3</v>
      </c>
      <c r="AZ172" s="24">
        <f t="shared" si="163"/>
        <v>43.77884596475419</v>
      </c>
      <c r="BA172" s="24">
        <f t="shared" si="164"/>
        <v>0</v>
      </c>
      <c r="BB172" s="24">
        <f t="shared" si="165"/>
        <v>2.2764999901672178</v>
      </c>
      <c r="BC172" s="24">
        <f t="shared" si="166"/>
        <v>1.7723500009832782</v>
      </c>
      <c r="BD172" s="24">
        <f t="shared" si="149"/>
        <v>0.45684164484604628</v>
      </c>
      <c r="BE172" s="16">
        <f t="shared" si="150"/>
        <v>44.519745112362529</v>
      </c>
      <c r="BF172" s="16">
        <f t="shared" si="151"/>
        <v>310.96050977527494</v>
      </c>
      <c r="BG172" s="25">
        <f t="shared" si="152"/>
        <v>0.4451974511236253</v>
      </c>
      <c r="BH172" s="24">
        <f t="shared" si="153"/>
        <v>97.943439247197574</v>
      </c>
      <c r="BI172" s="24">
        <f t="shared" si="154"/>
        <v>204.11312150560485</v>
      </c>
      <c r="BJ172" s="24">
        <f t="shared" si="155"/>
        <v>37.370856633986733</v>
      </c>
    </row>
    <row r="173" spans="2:62">
      <c r="B173" s="24" t="s">
        <v>91</v>
      </c>
      <c r="C173" s="82" t="str">
        <f>'Hotter&amp;Drier'!$B$1</f>
        <v>CSIRO Mk3.5</v>
      </c>
      <c r="D173" s="89">
        <v>2019</v>
      </c>
      <c r="E173" s="57">
        <f>'Cooler&amp;Wetter'!AA47</f>
        <v>35.531666666666666</v>
      </c>
      <c r="F173" s="90">
        <f>'Hotter&amp;Drier'!AC47</f>
        <v>22.051000000000002</v>
      </c>
      <c r="G173" s="35">
        <f t="shared" si="156"/>
        <v>2005</v>
      </c>
      <c r="H173" s="91" t="str">
        <f t="shared" si="136"/>
        <v>Pile 32 @ Berth 201</v>
      </c>
      <c r="I173" s="35" t="str">
        <f t="shared" si="137"/>
        <v>Turpentine Gum</v>
      </c>
      <c r="J173" s="35" t="str">
        <f t="shared" si="138"/>
        <v>HW1</v>
      </c>
      <c r="K173" s="35" t="str">
        <f t="shared" si="157"/>
        <v>SPHU</v>
      </c>
      <c r="L173" s="35">
        <f t="shared" si="139"/>
        <v>400</v>
      </c>
      <c r="M173" s="35">
        <f t="shared" si="140"/>
        <v>20</v>
      </c>
      <c r="N173" s="35">
        <f t="shared" si="141"/>
        <v>200</v>
      </c>
      <c r="O173" s="35" t="str">
        <f t="shared" si="142"/>
        <v>MTN2</v>
      </c>
      <c r="P173" s="35" t="str">
        <f t="shared" si="143"/>
        <v>CNT2</v>
      </c>
      <c r="Q173" s="35" t="str">
        <f t="shared" si="144"/>
        <v>KNT3</v>
      </c>
      <c r="R173" s="35" t="str">
        <f t="shared" si="145"/>
        <v>E</v>
      </c>
      <c r="S173" s="35" t="str">
        <f t="shared" si="146"/>
        <v>EXP1</v>
      </c>
      <c r="T173" s="58"/>
      <c r="U173" s="58"/>
      <c r="V173" s="58"/>
      <c r="W173" s="58"/>
      <c r="X173" s="58"/>
      <c r="Y173" s="58"/>
      <c r="Z173" s="58"/>
      <c r="AA173" s="95">
        <f t="shared" si="104"/>
        <v>0.46903350677869909</v>
      </c>
      <c r="AB173" s="96">
        <f t="shared" si="158"/>
        <v>46.903350677869909</v>
      </c>
      <c r="AC173" s="58"/>
      <c r="AD173" s="58"/>
      <c r="AE173" s="58"/>
      <c r="AF173" s="58"/>
      <c r="AG173" s="58"/>
      <c r="AH173" s="58"/>
      <c r="AI173" s="58"/>
      <c r="AJ173" s="58"/>
      <c r="AK173" s="58"/>
      <c r="AL173" s="58"/>
      <c r="AM173" s="89">
        <f t="shared" si="159"/>
        <v>14</v>
      </c>
      <c r="AN173" s="26">
        <f t="shared" si="147"/>
        <v>35.531666666666666</v>
      </c>
      <c r="AO173" s="24">
        <f t="shared" si="148"/>
        <v>1.7577681487021719</v>
      </c>
      <c r="AP173" s="24">
        <f>IF((OR(R173="A",R173="B",R173="C")),INDEX(Coefficients!$S$4:$S$22,MATCH(J173,Coefficients!$R$4:$R$22)),INDEX(Coefficients!$T$4:$T$22,MATCH(J173,Coefficients!$R$4:$R$22)))</f>
        <v>1.3</v>
      </c>
      <c r="AQ173" s="27">
        <f>IF((OR(R173="A",R173="B",R173="C")),INDEX(Coefficients!$S$4:$S$22,MATCH(K173,Coefficients!$R$4:$R$22)),INDEX(Coefficients!$T$4:$T$22,MATCH(K173,Coefficients!$R$4:$R$22)))</f>
        <v>25</v>
      </c>
      <c r="AR173" s="27">
        <f>IF(OR(R173="A",R173="B",R173="C",R173="D"),IF(AN173&gt;=11,IF(AN173&gt;=26,Coefficients!$M$6,Coefficients!$M$5),Coefficients!$M$4),IF(AN173&gt;=11,IF(AN173&gt;=26,Coefficients!$N$6,Coefficients!$N$5),Coefficients!$N$4))</f>
        <v>1</v>
      </c>
      <c r="AS173" s="27">
        <f>INDEX(Coefficients!$X$3:$X$4,MATCH(S173,Coefficients!$W$3:$W$4))</f>
        <v>1</v>
      </c>
      <c r="AT173" s="27">
        <f>INDEX(Coefficients!$X$7:$X$8,MATCH(O173,Coefficients!$W$7:$W$8))</f>
        <v>1</v>
      </c>
      <c r="AU173" s="27">
        <f>INDEX(Coefficients!$X$11:$X$12,MATCH(P173,Coefficients!$W$11:$W$12))</f>
        <v>1</v>
      </c>
      <c r="AV173" s="27">
        <f>INDEX(Coefficients!$X$15:$X$17,MATCH(Q173,Coefficients!$W$15:$W$17))</f>
        <v>1</v>
      </c>
      <c r="AW173" s="27">
        <f t="shared" si="160"/>
        <v>1</v>
      </c>
      <c r="AX173" s="27">
        <f t="shared" si="161"/>
        <v>1</v>
      </c>
      <c r="AY173" s="27">
        <f t="shared" si="162"/>
        <v>1.3</v>
      </c>
      <c r="AZ173" s="24">
        <f t="shared" si="163"/>
        <v>43.944203717554295</v>
      </c>
      <c r="BA173" s="24">
        <f t="shared" si="164"/>
        <v>0</v>
      </c>
      <c r="BB173" s="24">
        <f t="shared" si="165"/>
        <v>2.2850985933128234</v>
      </c>
      <c r="BC173" s="24">
        <f t="shared" si="166"/>
        <v>1.7714901406687176</v>
      </c>
      <c r="BD173" s="24">
        <f t="shared" si="149"/>
        <v>0.45512259429132956</v>
      </c>
      <c r="BE173" s="16">
        <f t="shared" si="150"/>
        <v>46.903350677869909</v>
      </c>
      <c r="BF173" s="16">
        <f t="shared" si="151"/>
        <v>306.19329864426015</v>
      </c>
      <c r="BG173" s="25">
        <f t="shared" si="152"/>
        <v>0.46903350677869909</v>
      </c>
      <c r="BH173" s="24">
        <f t="shared" si="153"/>
        <v>103.18737149131381</v>
      </c>
      <c r="BI173" s="24">
        <f t="shared" si="154"/>
        <v>193.62525701737238</v>
      </c>
      <c r="BJ173" s="24">
        <f t="shared" si="155"/>
        <v>37.236043065062326</v>
      </c>
    </row>
    <row r="174" spans="2:62">
      <c r="B174" s="24" t="s">
        <v>91</v>
      </c>
      <c r="C174" s="82" t="str">
        <f>'Hotter&amp;Drier'!$B$1</f>
        <v>CSIRO Mk3.5</v>
      </c>
      <c r="D174" s="89">
        <v>2020</v>
      </c>
      <c r="E174" s="57">
        <f>'Cooler&amp;Wetter'!AA48</f>
        <v>35.533333333333331</v>
      </c>
      <c r="F174" s="90">
        <f>'Hotter&amp;Drier'!AC48</f>
        <v>22.080000000000002</v>
      </c>
      <c r="G174" s="35">
        <f t="shared" si="156"/>
        <v>2005</v>
      </c>
      <c r="H174" s="91" t="str">
        <f t="shared" si="136"/>
        <v>Pile 32 @ Berth 201</v>
      </c>
      <c r="I174" s="35" t="str">
        <f t="shared" si="137"/>
        <v>Turpentine Gum</v>
      </c>
      <c r="J174" s="35" t="str">
        <f t="shared" si="138"/>
        <v>HW1</v>
      </c>
      <c r="K174" s="35" t="str">
        <f t="shared" si="157"/>
        <v>SPHU</v>
      </c>
      <c r="L174" s="35">
        <f t="shared" si="139"/>
        <v>400</v>
      </c>
      <c r="M174" s="35">
        <f t="shared" si="140"/>
        <v>20</v>
      </c>
      <c r="N174" s="35">
        <f t="shared" si="141"/>
        <v>200</v>
      </c>
      <c r="O174" s="35" t="str">
        <f t="shared" si="142"/>
        <v>MTN2</v>
      </c>
      <c r="P174" s="35" t="str">
        <f t="shared" si="143"/>
        <v>CNT2</v>
      </c>
      <c r="Q174" s="35" t="str">
        <f t="shared" si="144"/>
        <v>KNT3</v>
      </c>
      <c r="R174" s="35" t="str">
        <f t="shared" si="145"/>
        <v>E</v>
      </c>
      <c r="S174" s="35" t="str">
        <f t="shared" si="146"/>
        <v>EXP1</v>
      </c>
      <c r="T174" s="58"/>
      <c r="U174" s="58"/>
      <c r="V174" s="58"/>
      <c r="W174" s="58"/>
      <c r="X174" s="58"/>
      <c r="Y174" s="58"/>
      <c r="Z174" s="58"/>
      <c r="AA174" s="95">
        <f t="shared" si="104"/>
        <v>0.49304605348781716</v>
      </c>
      <c r="AB174" s="96">
        <f t="shared" si="158"/>
        <v>49.304605348781713</v>
      </c>
      <c r="AC174" s="58"/>
      <c r="AD174" s="58"/>
      <c r="AE174" s="58"/>
      <c r="AF174" s="58"/>
      <c r="AG174" s="58"/>
      <c r="AH174" s="58"/>
      <c r="AI174" s="58"/>
      <c r="AJ174" s="58"/>
      <c r="AK174" s="58"/>
      <c r="AL174" s="58"/>
      <c r="AM174" s="89">
        <f t="shared" si="159"/>
        <v>15</v>
      </c>
      <c r="AN174" s="26">
        <f t="shared" si="147"/>
        <v>35.533333333333331</v>
      </c>
      <c r="AO174" s="24">
        <f t="shared" si="148"/>
        <v>1.7644074418266869</v>
      </c>
      <c r="AP174" s="24">
        <f>IF((OR(R174="A",R174="B",R174="C")),INDEX(Coefficients!$S$4:$S$22,MATCH(J174,Coefficients!$R$4:$R$22)),INDEX(Coefficients!$T$4:$T$22,MATCH(J174,Coefficients!$R$4:$R$22)))</f>
        <v>1.3</v>
      </c>
      <c r="AQ174" s="27">
        <f>IF((OR(R174="A",R174="B",R174="C")),INDEX(Coefficients!$S$4:$S$22,MATCH(K174,Coefficients!$R$4:$R$22)),INDEX(Coefficients!$T$4:$T$22,MATCH(K174,Coefficients!$R$4:$R$22)))</f>
        <v>25</v>
      </c>
      <c r="AR174" s="27">
        <f>IF(OR(R174="A",R174="B",R174="C",R174="D"),IF(AN174&gt;=11,IF(AN174&gt;=26,Coefficients!$M$6,Coefficients!$M$5),Coefficients!$M$4),IF(AN174&gt;=11,IF(AN174&gt;=26,Coefficients!$N$6,Coefficients!$N$5),Coefficients!$N$4))</f>
        <v>1</v>
      </c>
      <c r="AS174" s="27">
        <f>INDEX(Coefficients!$X$3:$X$4,MATCH(S174,Coefficients!$W$3:$W$4))</f>
        <v>1</v>
      </c>
      <c r="AT174" s="27">
        <f>INDEX(Coefficients!$X$7:$X$8,MATCH(O174,Coefficients!$W$7:$W$8))</f>
        <v>1</v>
      </c>
      <c r="AU174" s="27">
        <f>INDEX(Coefficients!$X$11:$X$12,MATCH(P174,Coefficients!$W$11:$W$12))</f>
        <v>1</v>
      </c>
      <c r="AV174" s="27">
        <f>INDEX(Coefficients!$X$15:$X$17,MATCH(Q174,Coefficients!$W$15:$W$17))</f>
        <v>1</v>
      </c>
      <c r="AW174" s="27">
        <f t="shared" si="160"/>
        <v>1</v>
      </c>
      <c r="AX174" s="27">
        <f t="shared" si="161"/>
        <v>1</v>
      </c>
      <c r="AY174" s="27">
        <f t="shared" si="162"/>
        <v>1.3</v>
      </c>
      <c r="AZ174" s="24">
        <f t="shared" si="163"/>
        <v>44.11018604566717</v>
      </c>
      <c r="BA174" s="24">
        <f t="shared" si="164"/>
        <v>0</v>
      </c>
      <c r="BB174" s="24">
        <f t="shared" si="165"/>
        <v>2.2937296743746929</v>
      </c>
      <c r="BC174" s="24">
        <f t="shared" si="166"/>
        <v>1.7706270325625306</v>
      </c>
      <c r="BD174" s="24">
        <f t="shared" si="149"/>
        <v>0.45341001235619471</v>
      </c>
      <c r="BE174" s="16">
        <f t="shared" si="150"/>
        <v>49.304605348781713</v>
      </c>
      <c r="BF174" s="16">
        <f t="shared" si="151"/>
        <v>301.39078930243659</v>
      </c>
      <c r="BG174" s="25">
        <f t="shared" si="152"/>
        <v>0.49304605348781716</v>
      </c>
      <c r="BH174" s="24">
        <f t="shared" si="153"/>
        <v>108.47013176731978</v>
      </c>
      <c r="BI174" s="24">
        <f t="shared" si="154"/>
        <v>183.05973646536043</v>
      </c>
      <c r="BJ174" s="24">
        <f t="shared" si="155"/>
        <v>37.10173030308755</v>
      </c>
    </row>
    <row r="175" spans="2:62">
      <c r="B175" s="24" t="s">
        <v>91</v>
      </c>
      <c r="C175" s="82" t="str">
        <f>'Hotter&amp;Drier'!$B$1</f>
        <v>CSIRO Mk3.5</v>
      </c>
      <c r="D175" s="89">
        <v>2021</v>
      </c>
      <c r="E175" s="57">
        <f>'Cooler&amp;Wetter'!AA49</f>
        <v>35.534999999999997</v>
      </c>
      <c r="F175" s="90">
        <f>'Hotter&amp;Drier'!AC49</f>
        <v>22.109000000000002</v>
      </c>
      <c r="G175" s="35">
        <f t="shared" si="156"/>
        <v>2005</v>
      </c>
      <c r="H175" s="91" t="str">
        <f t="shared" si="136"/>
        <v>Pile 32 @ Berth 201</v>
      </c>
      <c r="I175" s="35" t="str">
        <f t="shared" si="137"/>
        <v>Turpentine Gum</v>
      </c>
      <c r="J175" s="35" t="str">
        <f t="shared" si="138"/>
        <v>HW1</v>
      </c>
      <c r="K175" s="35" t="str">
        <f t="shared" si="157"/>
        <v>SPHU</v>
      </c>
      <c r="L175" s="35">
        <f t="shared" si="139"/>
        <v>400</v>
      </c>
      <c r="M175" s="35">
        <f t="shared" si="140"/>
        <v>20</v>
      </c>
      <c r="N175" s="35">
        <f t="shared" si="141"/>
        <v>200</v>
      </c>
      <c r="O175" s="35" t="str">
        <f t="shared" si="142"/>
        <v>MTN2</v>
      </c>
      <c r="P175" s="35" t="str">
        <f t="shared" si="143"/>
        <v>CNT2</v>
      </c>
      <c r="Q175" s="35" t="str">
        <f t="shared" si="144"/>
        <v>KNT3</v>
      </c>
      <c r="R175" s="35" t="str">
        <f t="shared" si="145"/>
        <v>E</v>
      </c>
      <c r="S175" s="35" t="str">
        <f t="shared" si="146"/>
        <v>EXP1</v>
      </c>
      <c r="T175" s="58"/>
      <c r="U175" s="58"/>
      <c r="V175" s="58"/>
      <c r="W175" s="58"/>
      <c r="X175" s="58"/>
      <c r="Y175" s="58"/>
      <c r="Z175" s="58"/>
      <c r="AA175" s="95">
        <f t="shared" si="104"/>
        <v>0.51723608500946394</v>
      </c>
      <c r="AB175" s="96">
        <f t="shared" si="158"/>
        <v>51.723608500946398</v>
      </c>
      <c r="AC175" s="58"/>
      <c r="AD175" s="58"/>
      <c r="AE175" s="58"/>
      <c r="AF175" s="58"/>
      <c r="AG175" s="58"/>
      <c r="AH175" s="58"/>
      <c r="AI175" s="58"/>
      <c r="AJ175" s="58"/>
      <c r="AK175" s="58"/>
      <c r="AL175" s="58"/>
      <c r="AM175" s="89">
        <f t="shared" si="159"/>
        <v>16</v>
      </c>
      <c r="AN175" s="26">
        <f t="shared" si="147"/>
        <v>35.534999999999997</v>
      </c>
      <c r="AO175" s="24">
        <f t="shared" si="148"/>
        <v>1.7710718123274329</v>
      </c>
      <c r="AP175" s="24">
        <f>IF((OR(R175="A",R175="B",R175="C")),INDEX(Coefficients!$S$4:$S$22,MATCH(J175,Coefficients!$R$4:$R$22)),INDEX(Coefficients!$T$4:$T$22,MATCH(J175,Coefficients!$R$4:$R$22)))</f>
        <v>1.3</v>
      </c>
      <c r="AQ175" s="27">
        <f>IF((OR(R175="A",R175="B",R175="C")),INDEX(Coefficients!$S$4:$S$22,MATCH(K175,Coefficients!$R$4:$R$22)),INDEX(Coefficients!$T$4:$T$22,MATCH(K175,Coefficients!$R$4:$R$22)))</f>
        <v>25</v>
      </c>
      <c r="AR175" s="27">
        <f>IF(OR(R175="A",R175="B",R175="C",R175="D"),IF(AN175&gt;=11,IF(AN175&gt;=26,Coefficients!$M$6,Coefficients!$M$5),Coefficients!$M$4),IF(AN175&gt;=11,IF(AN175&gt;=26,Coefficients!$N$6,Coefficients!$N$5),Coefficients!$N$4))</f>
        <v>1</v>
      </c>
      <c r="AS175" s="27">
        <f>INDEX(Coefficients!$X$3:$X$4,MATCH(S175,Coefficients!$W$3:$W$4))</f>
        <v>1</v>
      </c>
      <c r="AT175" s="27">
        <f>INDEX(Coefficients!$X$7:$X$8,MATCH(O175,Coefficients!$W$7:$W$8))</f>
        <v>1</v>
      </c>
      <c r="AU175" s="27">
        <f>INDEX(Coefficients!$X$11:$X$12,MATCH(P175,Coefficients!$W$11:$W$12))</f>
        <v>1</v>
      </c>
      <c r="AV175" s="27">
        <f>INDEX(Coefficients!$X$15:$X$17,MATCH(Q175,Coefficients!$W$15:$W$17))</f>
        <v>1</v>
      </c>
      <c r="AW175" s="27">
        <f t="shared" si="160"/>
        <v>1</v>
      </c>
      <c r="AX175" s="27">
        <f t="shared" si="161"/>
        <v>1</v>
      </c>
      <c r="AY175" s="27">
        <f t="shared" si="162"/>
        <v>1.3</v>
      </c>
      <c r="AZ175" s="24">
        <f t="shared" si="163"/>
        <v>44.276795308185825</v>
      </c>
      <c r="BA175" s="24">
        <f t="shared" si="164"/>
        <v>0</v>
      </c>
      <c r="BB175" s="24">
        <f t="shared" si="165"/>
        <v>2.3023933560256631</v>
      </c>
      <c r="BC175" s="24">
        <f t="shared" si="166"/>
        <v>1.7697606643974337</v>
      </c>
      <c r="BD175" s="24">
        <f t="shared" si="149"/>
        <v>0.45170387469985729</v>
      </c>
      <c r="BE175" s="16">
        <f t="shared" si="150"/>
        <v>51.723608500946398</v>
      </c>
      <c r="BF175" s="16">
        <f t="shared" si="151"/>
        <v>296.5527829981072</v>
      </c>
      <c r="BG175" s="25">
        <f t="shared" si="152"/>
        <v>0.51723608500946394</v>
      </c>
      <c r="BH175" s="24">
        <f t="shared" si="153"/>
        <v>113.79193870208208</v>
      </c>
      <c r="BI175" s="24">
        <f t="shared" si="154"/>
        <v>172.41612259583584</v>
      </c>
      <c r="BJ175" s="24">
        <f t="shared" si="155"/>
        <v>36.967916439086309</v>
      </c>
    </row>
    <row r="176" spans="2:62">
      <c r="B176" s="24" t="s">
        <v>91</v>
      </c>
      <c r="C176" s="82" t="str">
        <f>'Hotter&amp;Drier'!$B$1</f>
        <v>CSIRO Mk3.5</v>
      </c>
      <c r="D176" s="89">
        <v>2022</v>
      </c>
      <c r="E176" s="57">
        <f>'Cooler&amp;Wetter'!AA50</f>
        <v>35.536666666666669</v>
      </c>
      <c r="F176" s="90">
        <f>'Hotter&amp;Drier'!AC50</f>
        <v>22.138000000000002</v>
      </c>
      <c r="G176" s="35">
        <f t="shared" si="156"/>
        <v>2005</v>
      </c>
      <c r="H176" s="91" t="str">
        <f t="shared" si="136"/>
        <v>Pile 32 @ Berth 201</v>
      </c>
      <c r="I176" s="35" t="str">
        <f t="shared" si="137"/>
        <v>Turpentine Gum</v>
      </c>
      <c r="J176" s="35" t="str">
        <f t="shared" si="138"/>
        <v>HW1</v>
      </c>
      <c r="K176" s="35" t="str">
        <f t="shared" si="157"/>
        <v>SPHU</v>
      </c>
      <c r="L176" s="35">
        <f t="shared" si="139"/>
        <v>400</v>
      </c>
      <c r="M176" s="35">
        <f t="shared" si="140"/>
        <v>20</v>
      </c>
      <c r="N176" s="35">
        <f t="shared" si="141"/>
        <v>200</v>
      </c>
      <c r="O176" s="35" t="str">
        <f t="shared" si="142"/>
        <v>MTN2</v>
      </c>
      <c r="P176" s="35" t="str">
        <f t="shared" si="143"/>
        <v>CNT2</v>
      </c>
      <c r="Q176" s="35" t="str">
        <f t="shared" si="144"/>
        <v>KNT3</v>
      </c>
      <c r="R176" s="35" t="str">
        <f t="shared" si="145"/>
        <v>E</v>
      </c>
      <c r="S176" s="35" t="str">
        <f t="shared" si="146"/>
        <v>EXP1</v>
      </c>
      <c r="T176" s="58"/>
      <c r="U176" s="58"/>
      <c r="V176" s="58"/>
      <c r="W176" s="58"/>
      <c r="X176" s="58"/>
      <c r="Y176" s="58"/>
      <c r="Z176" s="58"/>
      <c r="AA176" s="95">
        <f t="shared" si="104"/>
        <v>0.5416046000955449</v>
      </c>
      <c r="AB176" s="96">
        <f t="shared" si="158"/>
        <v>54.160460009554491</v>
      </c>
      <c r="AC176" s="58"/>
      <c r="AD176" s="58"/>
      <c r="AE176" s="58"/>
      <c r="AF176" s="58"/>
      <c r="AG176" s="58"/>
      <c r="AH176" s="58"/>
      <c r="AI176" s="58"/>
      <c r="AJ176" s="58"/>
      <c r="AK176" s="58"/>
      <c r="AL176" s="58"/>
      <c r="AM176" s="89">
        <f t="shared" si="159"/>
        <v>17</v>
      </c>
      <c r="AN176" s="26">
        <f t="shared" si="147"/>
        <v>35.536666666666669</v>
      </c>
      <c r="AO176" s="24">
        <f t="shared" si="148"/>
        <v>1.7777613549245546</v>
      </c>
      <c r="AP176" s="24">
        <f>IF((OR(R176="A",R176="B",R176="C")),INDEX(Coefficients!$S$4:$S$22,MATCH(J176,Coefficients!$R$4:$R$22)),INDEX(Coefficients!$T$4:$T$22,MATCH(J176,Coefficients!$R$4:$R$22)))</f>
        <v>1.3</v>
      </c>
      <c r="AQ176" s="27">
        <f>IF((OR(R176="A",R176="B",R176="C")),INDEX(Coefficients!$S$4:$S$22,MATCH(K176,Coefficients!$R$4:$R$22)),INDEX(Coefficients!$T$4:$T$22,MATCH(K176,Coefficients!$R$4:$R$22)))</f>
        <v>25</v>
      </c>
      <c r="AR176" s="27">
        <f>IF(OR(R176="A",R176="B",R176="C",R176="D"),IF(AN176&gt;=11,IF(AN176&gt;=26,Coefficients!$M$6,Coefficients!$M$5),Coefficients!$M$4),IF(AN176&gt;=11,IF(AN176&gt;=26,Coefficients!$N$6,Coefficients!$N$5),Coefficients!$N$4))</f>
        <v>1</v>
      </c>
      <c r="AS176" s="27">
        <f>INDEX(Coefficients!$X$3:$X$4,MATCH(S176,Coefficients!$W$3:$W$4))</f>
        <v>1</v>
      </c>
      <c r="AT176" s="27">
        <f>INDEX(Coefficients!$X$7:$X$8,MATCH(O176,Coefficients!$W$7:$W$8))</f>
        <v>1</v>
      </c>
      <c r="AU176" s="27">
        <f>INDEX(Coefficients!$X$11:$X$12,MATCH(P176,Coefficients!$W$11:$W$12))</f>
        <v>1</v>
      </c>
      <c r="AV176" s="27">
        <f>INDEX(Coefficients!$X$15:$X$17,MATCH(Q176,Coefficients!$W$15:$W$17))</f>
        <v>1</v>
      </c>
      <c r="AW176" s="27">
        <f t="shared" si="160"/>
        <v>1</v>
      </c>
      <c r="AX176" s="27">
        <f t="shared" si="161"/>
        <v>1</v>
      </c>
      <c r="AY176" s="27">
        <f t="shared" si="162"/>
        <v>1.3</v>
      </c>
      <c r="AZ176" s="24">
        <f t="shared" si="163"/>
        <v>44.444033873113867</v>
      </c>
      <c r="BA176" s="24">
        <f t="shared" si="164"/>
        <v>0</v>
      </c>
      <c r="BB176" s="24">
        <f t="shared" si="165"/>
        <v>2.311089761401921</v>
      </c>
      <c r="BC176" s="24">
        <f t="shared" si="166"/>
        <v>1.7688910238598079</v>
      </c>
      <c r="BD176" s="24">
        <f t="shared" si="149"/>
        <v>0.45000415707312452</v>
      </c>
      <c r="BE176" s="16">
        <f t="shared" si="150"/>
        <v>54.160460009554491</v>
      </c>
      <c r="BF176" s="16">
        <f t="shared" si="151"/>
        <v>291.679079980891</v>
      </c>
      <c r="BG176" s="25">
        <f t="shared" si="152"/>
        <v>0.5416046000955449</v>
      </c>
      <c r="BH176" s="24">
        <f t="shared" si="153"/>
        <v>119.15301202101989</v>
      </c>
      <c r="BI176" s="24">
        <f t="shared" si="154"/>
        <v>161.69397595796022</v>
      </c>
      <c r="BJ176" s="24">
        <f t="shared" si="155"/>
        <v>36.834599571173285</v>
      </c>
    </row>
    <row r="177" spans="2:62">
      <c r="B177" s="24" t="s">
        <v>91</v>
      </c>
      <c r="C177" s="82" t="str">
        <f>'Hotter&amp;Drier'!$B$1</f>
        <v>CSIRO Mk3.5</v>
      </c>
      <c r="D177" s="89">
        <v>2023</v>
      </c>
      <c r="E177" s="57">
        <f>'Cooler&amp;Wetter'!AA51</f>
        <v>35.538333333333334</v>
      </c>
      <c r="F177" s="90">
        <f>'Hotter&amp;Drier'!AC51</f>
        <v>22.167000000000002</v>
      </c>
      <c r="G177" s="35">
        <f t="shared" si="156"/>
        <v>2005</v>
      </c>
      <c r="H177" s="91" t="str">
        <f t="shared" si="136"/>
        <v>Pile 32 @ Berth 201</v>
      </c>
      <c r="I177" s="35" t="str">
        <f t="shared" si="137"/>
        <v>Turpentine Gum</v>
      </c>
      <c r="J177" s="35" t="str">
        <f t="shared" si="138"/>
        <v>HW1</v>
      </c>
      <c r="K177" s="35" t="str">
        <f t="shared" si="157"/>
        <v>SPHU</v>
      </c>
      <c r="L177" s="35">
        <f t="shared" si="139"/>
        <v>400</v>
      </c>
      <c r="M177" s="35">
        <f t="shared" si="140"/>
        <v>20</v>
      </c>
      <c r="N177" s="35">
        <f t="shared" si="141"/>
        <v>200</v>
      </c>
      <c r="O177" s="35" t="str">
        <f t="shared" si="142"/>
        <v>MTN2</v>
      </c>
      <c r="P177" s="35" t="str">
        <f t="shared" si="143"/>
        <v>CNT2</v>
      </c>
      <c r="Q177" s="35" t="str">
        <f t="shared" si="144"/>
        <v>KNT3</v>
      </c>
      <c r="R177" s="35" t="str">
        <f t="shared" si="145"/>
        <v>E</v>
      </c>
      <c r="S177" s="35" t="str">
        <f t="shared" si="146"/>
        <v>EXP1</v>
      </c>
      <c r="T177" s="58"/>
      <c r="U177" s="58"/>
      <c r="V177" s="58"/>
      <c r="W177" s="58"/>
      <c r="X177" s="58"/>
      <c r="Y177" s="58"/>
      <c r="Z177" s="58"/>
      <c r="AA177" s="95">
        <f t="shared" si="104"/>
        <v>0.56615260251496269</v>
      </c>
      <c r="AB177" s="96">
        <f t="shared" si="158"/>
        <v>56.615260251496267</v>
      </c>
      <c r="AC177" s="58"/>
      <c r="AD177" s="58"/>
      <c r="AE177" s="58"/>
      <c r="AF177" s="58"/>
      <c r="AG177" s="58"/>
      <c r="AH177" s="58"/>
      <c r="AI177" s="58"/>
      <c r="AJ177" s="58"/>
      <c r="AK177" s="58"/>
      <c r="AL177" s="58"/>
      <c r="AM177" s="89">
        <f t="shared" si="159"/>
        <v>18</v>
      </c>
      <c r="AN177" s="26">
        <f t="shared" si="147"/>
        <v>35.538333333333334</v>
      </c>
      <c r="AO177" s="24">
        <f t="shared" si="148"/>
        <v>1.7844761646959648</v>
      </c>
      <c r="AP177" s="24">
        <f>IF((OR(R177="A",R177="B",R177="C")),INDEX(Coefficients!$S$4:$S$22,MATCH(J177,Coefficients!$R$4:$R$22)),INDEX(Coefficients!$T$4:$T$22,MATCH(J177,Coefficients!$R$4:$R$22)))</f>
        <v>1.3</v>
      </c>
      <c r="AQ177" s="27">
        <f>IF((OR(R177="A",R177="B",R177="C")),INDEX(Coefficients!$S$4:$S$22,MATCH(K177,Coefficients!$R$4:$R$22)),INDEX(Coefficients!$T$4:$T$22,MATCH(K177,Coefficients!$R$4:$R$22)))</f>
        <v>25</v>
      </c>
      <c r="AR177" s="27">
        <f>IF(OR(R177="A",R177="B",R177="C",R177="D"),IF(AN177&gt;=11,IF(AN177&gt;=26,Coefficients!$M$6,Coefficients!$M$5),Coefficients!$M$4),IF(AN177&gt;=11,IF(AN177&gt;=26,Coefficients!$N$6,Coefficients!$N$5),Coefficients!$N$4))</f>
        <v>1</v>
      </c>
      <c r="AS177" s="27">
        <f>INDEX(Coefficients!$X$3:$X$4,MATCH(S177,Coefficients!$W$3:$W$4))</f>
        <v>1</v>
      </c>
      <c r="AT177" s="27">
        <f>INDEX(Coefficients!$X$7:$X$8,MATCH(O177,Coefficients!$W$7:$W$8))</f>
        <v>1</v>
      </c>
      <c r="AU177" s="27">
        <f>INDEX(Coefficients!$X$11:$X$12,MATCH(P177,Coefficients!$W$11:$W$12))</f>
        <v>1</v>
      </c>
      <c r="AV177" s="27">
        <f>INDEX(Coefficients!$X$15:$X$17,MATCH(Q177,Coefficients!$W$15:$W$17))</f>
        <v>1</v>
      </c>
      <c r="AW177" s="27">
        <f t="shared" si="160"/>
        <v>1</v>
      </c>
      <c r="AX177" s="27">
        <f t="shared" si="161"/>
        <v>1</v>
      </c>
      <c r="AY177" s="27">
        <f t="shared" si="162"/>
        <v>1.3</v>
      </c>
      <c r="AZ177" s="24">
        <f t="shared" si="163"/>
        <v>44.611904117399121</v>
      </c>
      <c r="BA177" s="24">
        <f t="shared" si="164"/>
        <v>0</v>
      </c>
      <c r="BB177" s="24">
        <f t="shared" si="165"/>
        <v>2.3198190141047546</v>
      </c>
      <c r="BC177" s="24">
        <f t="shared" si="166"/>
        <v>1.7680180985895246</v>
      </c>
      <c r="BD177" s="24">
        <f t="shared" si="149"/>
        <v>0.44831083531805105</v>
      </c>
      <c r="BE177" s="16">
        <f t="shared" si="150"/>
        <v>56.615260251496267</v>
      </c>
      <c r="BF177" s="16">
        <f t="shared" si="151"/>
        <v>286.76947949700747</v>
      </c>
      <c r="BG177" s="25">
        <f t="shared" si="152"/>
        <v>0.56615260251496269</v>
      </c>
      <c r="BH177" s="24">
        <f t="shared" si="153"/>
        <v>124.5535725532918</v>
      </c>
      <c r="BI177" s="24">
        <f t="shared" si="154"/>
        <v>150.8928548934164</v>
      </c>
      <c r="BJ177" s="24">
        <f t="shared" si="155"/>
        <v>36.701777804526884</v>
      </c>
    </row>
    <row r="178" spans="2:62">
      <c r="B178" s="24" t="s">
        <v>91</v>
      </c>
      <c r="C178" s="82" t="str">
        <f>'Hotter&amp;Drier'!$B$1</f>
        <v>CSIRO Mk3.5</v>
      </c>
      <c r="D178" s="89">
        <v>2024</v>
      </c>
      <c r="E178" s="57">
        <f>'Cooler&amp;Wetter'!AA52</f>
        <v>35.54</v>
      </c>
      <c r="F178" s="90">
        <f>'Hotter&amp;Drier'!AC52</f>
        <v>22.196000000000002</v>
      </c>
      <c r="G178" s="35">
        <f t="shared" si="156"/>
        <v>2005</v>
      </c>
      <c r="H178" s="91" t="str">
        <f t="shared" si="136"/>
        <v>Pile 32 @ Berth 201</v>
      </c>
      <c r="I178" s="35" t="str">
        <f t="shared" si="137"/>
        <v>Turpentine Gum</v>
      </c>
      <c r="J178" s="35" t="str">
        <f t="shared" si="138"/>
        <v>HW1</v>
      </c>
      <c r="K178" s="35" t="str">
        <f t="shared" si="157"/>
        <v>SPHU</v>
      </c>
      <c r="L178" s="35">
        <f t="shared" si="139"/>
        <v>400</v>
      </c>
      <c r="M178" s="35">
        <f t="shared" si="140"/>
        <v>20</v>
      </c>
      <c r="N178" s="35">
        <f t="shared" si="141"/>
        <v>200</v>
      </c>
      <c r="O178" s="35" t="str">
        <f t="shared" si="142"/>
        <v>MTN2</v>
      </c>
      <c r="P178" s="35" t="str">
        <f t="shared" si="143"/>
        <v>CNT2</v>
      </c>
      <c r="Q178" s="35" t="str">
        <f t="shared" si="144"/>
        <v>KNT3</v>
      </c>
      <c r="R178" s="35" t="str">
        <f t="shared" si="145"/>
        <v>E</v>
      </c>
      <c r="S178" s="35" t="str">
        <f t="shared" si="146"/>
        <v>EXP1</v>
      </c>
      <c r="T178" s="58"/>
      <c r="U178" s="58"/>
      <c r="V178" s="58"/>
      <c r="W178" s="58"/>
      <c r="X178" s="58"/>
      <c r="Y178" s="58"/>
      <c r="Z178" s="58"/>
      <c r="AA178" s="95">
        <f t="shared" si="104"/>
        <v>0.59088110107729941</v>
      </c>
      <c r="AB178" s="96">
        <f t="shared" si="158"/>
        <v>59.088110107729939</v>
      </c>
      <c r="AC178" s="58"/>
      <c r="AD178" s="58"/>
      <c r="AE178" s="58"/>
      <c r="AF178" s="58"/>
      <c r="AG178" s="58"/>
      <c r="AH178" s="58"/>
      <c r="AI178" s="58"/>
      <c r="AJ178" s="58"/>
      <c r="AK178" s="58"/>
      <c r="AL178" s="58"/>
      <c r="AM178" s="89">
        <f t="shared" si="159"/>
        <v>19</v>
      </c>
      <c r="AN178" s="26">
        <f t="shared" si="147"/>
        <v>35.54</v>
      </c>
      <c r="AO178" s="24">
        <f t="shared" si="148"/>
        <v>1.7912163370786953</v>
      </c>
      <c r="AP178" s="24">
        <f>IF((OR(R178="A",R178="B",R178="C")),INDEX(Coefficients!$S$4:$S$22,MATCH(J178,Coefficients!$R$4:$R$22)),INDEX(Coefficients!$T$4:$T$22,MATCH(J178,Coefficients!$R$4:$R$22)))</f>
        <v>1.3</v>
      </c>
      <c r="AQ178" s="27">
        <f>IF((OR(R178="A",R178="B",R178="C")),INDEX(Coefficients!$S$4:$S$22,MATCH(K178,Coefficients!$R$4:$R$22)),INDEX(Coefficients!$T$4:$T$22,MATCH(K178,Coefficients!$R$4:$R$22)))</f>
        <v>25</v>
      </c>
      <c r="AR178" s="27">
        <f>IF(OR(R178="A",R178="B",R178="C",R178="D"),IF(AN178&gt;=11,IF(AN178&gt;=26,Coefficients!$M$6,Coefficients!$M$5),Coefficients!$M$4),IF(AN178&gt;=11,IF(AN178&gt;=26,Coefficients!$N$6,Coefficients!$N$5),Coefficients!$N$4))</f>
        <v>1</v>
      </c>
      <c r="AS178" s="27">
        <f>INDEX(Coefficients!$X$3:$X$4,MATCH(S178,Coefficients!$W$3:$W$4))</f>
        <v>1</v>
      </c>
      <c r="AT178" s="27">
        <f>INDEX(Coefficients!$X$7:$X$8,MATCH(O178,Coefficients!$W$7:$W$8))</f>
        <v>1</v>
      </c>
      <c r="AU178" s="27">
        <f>INDEX(Coefficients!$X$11:$X$12,MATCH(P178,Coefficients!$W$11:$W$12))</f>
        <v>1</v>
      </c>
      <c r="AV178" s="27">
        <f>INDEX(Coefficients!$X$15:$X$17,MATCH(Q178,Coefficients!$W$15:$W$17))</f>
        <v>1</v>
      </c>
      <c r="AW178" s="27">
        <f t="shared" si="160"/>
        <v>1</v>
      </c>
      <c r="AX178" s="27">
        <f t="shared" si="161"/>
        <v>1</v>
      </c>
      <c r="AY178" s="27">
        <f t="shared" si="162"/>
        <v>1.3</v>
      </c>
      <c r="AZ178" s="24">
        <f t="shared" si="163"/>
        <v>44.780408426967384</v>
      </c>
      <c r="BA178" s="24">
        <f t="shared" si="164"/>
        <v>0</v>
      </c>
      <c r="BB178" s="24">
        <f t="shared" si="165"/>
        <v>2.3285812382023039</v>
      </c>
      <c r="BC178" s="24">
        <f t="shared" si="166"/>
        <v>1.7671418761797697</v>
      </c>
      <c r="BD178" s="24">
        <f t="shared" si="149"/>
        <v>0.44662388536759579</v>
      </c>
      <c r="BE178" s="16">
        <f t="shared" si="150"/>
        <v>59.088110107729939</v>
      </c>
      <c r="BF178" s="16">
        <f t="shared" si="151"/>
        <v>281.82377978454014</v>
      </c>
      <c r="BG178" s="25">
        <f t="shared" si="152"/>
        <v>0.59088110107729941</v>
      </c>
      <c r="BH178" s="24">
        <f t="shared" si="153"/>
        <v>129.99384223700588</v>
      </c>
      <c r="BI178" s="24">
        <f t="shared" si="154"/>
        <v>140.01231552598824</v>
      </c>
      <c r="BJ178" s="24">
        <f t="shared" si="155"/>
        <v>36.569449251362421</v>
      </c>
    </row>
    <row r="179" spans="2:62">
      <c r="B179" s="24" t="s">
        <v>91</v>
      </c>
      <c r="C179" s="82" t="str">
        <f>'Hotter&amp;Drier'!$B$1</f>
        <v>CSIRO Mk3.5</v>
      </c>
      <c r="D179" s="89">
        <v>2025</v>
      </c>
      <c r="E179" s="57">
        <f>'Cooler&amp;Wetter'!AA53</f>
        <v>35.541666666666664</v>
      </c>
      <c r="F179" s="90">
        <f>'Hotter&amp;Drier'!AC53</f>
        <v>22.225000000000001</v>
      </c>
      <c r="G179" s="35">
        <f t="shared" si="156"/>
        <v>2005</v>
      </c>
      <c r="H179" s="91" t="str">
        <f t="shared" si="136"/>
        <v>Pile 32 @ Berth 201</v>
      </c>
      <c r="I179" s="35" t="str">
        <f t="shared" si="137"/>
        <v>Turpentine Gum</v>
      </c>
      <c r="J179" s="35" t="str">
        <f t="shared" si="138"/>
        <v>HW1</v>
      </c>
      <c r="K179" s="35" t="str">
        <f t="shared" si="157"/>
        <v>SPHU</v>
      </c>
      <c r="L179" s="35">
        <f t="shared" si="139"/>
        <v>400</v>
      </c>
      <c r="M179" s="35">
        <f t="shared" si="140"/>
        <v>20</v>
      </c>
      <c r="N179" s="35">
        <f t="shared" si="141"/>
        <v>200</v>
      </c>
      <c r="O179" s="35" t="str">
        <f t="shared" si="142"/>
        <v>MTN2</v>
      </c>
      <c r="P179" s="35" t="str">
        <f t="shared" si="143"/>
        <v>CNT2</v>
      </c>
      <c r="Q179" s="35" t="str">
        <f t="shared" si="144"/>
        <v>KNT3</v>
      </c>
      <c r="R179" s="35" t="str">
        <f t="shared" si="145"/>
        <v>E</v>
      </c>
      <c r="S179" s="35" t="str">
        <f t="shared" si="146"/>
        <v>EXP1</v>
      </c>
      <c r="T179" s="58"/>
      <c r="U179" s="58"/>
      <c r="V179" s="58"/>
      <c r="W179" s="58"/>
      <c r="X179" s="58"/>
      <c r="Y179" s="58"/>
      <c r="Z179" s="58"/>
      <c r="AA179" s="95">
        <f t="shared" si="104"/>
        <v>0.61579110965660933</v>
      </c>
      <c r="AB179" s="96">
        <f t="shared" si="158"/>
        <v>61.579110965660931</v>
      </c>
      <c r="AC179" s="58"/>
      <c r="AD179" s="58"/>
      <c r="AE179" s="58"/>
      <c r="AF179" s="58"/>
      <c r="AG179" s="58"/>
      <c r="AH179" s="58"/>
      <c r="AI179" s="58"/>
      <c r="AJ179" s="58"/>
      <c r="AK179" s="58"/>
      <c r="AL179" s="58"/>
      <c r="AM179" s="89">
        <f t="shared" si="159"/>
        <v>20</v>
      </c>
      <c r="AN179" s="26">
        <f t="shared" si="147"/>
        <v>35.541666666666664</v>
      </c>
      <c r="AO179" s="24">
        <f t="shared" si="148"/>
        <v>1.7979819678702562</v>
      </c>
      <c r="AP179" s="24">
        <f>IF((OR(R179="A",R179="B",R179="C")),INDEX(Coefficients!$S$4:$S$22,MATCH(J179,Coefficients!$R$4:$R$22)),INDEX(Coefficients!$T$4:$T$22,MATCH(J179,Coefficients!$R$4:$R$22)))</f>
        <v>1.3</v>
      </c>
      <c r="AQ179" s="27">
        <f>IF((OR(R179="A",R179="B",R179="C")),INDEX(Coefficients!$S$4:$S$22,MATCH(K179,Coefficients!$R$4:$R$22)),INDEX(Coefficients!$T$4:$T$22,MATCH(K179,Coefficients!$R$4:$R$22)))</f>
        <v>25</v>
      </c>
      <c r="AR179" s="27">
        <f>IF(OR(R179="A",R179="B",R179="C",R179="D"),IF(AN179&gt;=11,IF(AN179&gt;=26,Coefficients!$M$6,Coefficients!$M$5),Coefficients!$M$4),IF(AN179&gt;=11,IF(AN179&gt;=26,Coefficients!$N$6,Coefficients!$N$5),Coefficients!$N$4))</f>
        <v>1</v>
      </c>
      <c r="AS179" s="27">
        <f>INDEX(Coefficients!$X$3:$X$4,MATCH(S179,Coefficients!$W$3:$W$4))</f>
        <v>1</v>
      </c>
      <c r="AT179" s="27">
        <f>INDEX(Coefficients!$X$7:$X$8,MATCH(O179,Coefficients!$W$7:$W$8))</f>
        <v>1</v>
      </c>
      <c r="AU179" s="27">
        <f>INDEX(Coefficients!$X$11:$X$12,MATCH(P179,Coefficients!$W$11:$W$12))</f>
        <v>1</v>
      </c>
      <c r="AV179" s="27">
        <f>INDEX(Coefficients!$X$15:$X$17,MATCH(Q179,Coefficients!$W$15:$W$17))</f>
        <v>1</v>
      </c>
      <c r="AW179" s="27">
        <f t="shared" si="160"/>
        <v>1</v>
      </c>
      <c r="AX179" s="27">
        <f t="shared" si="161"/>
        <v>1</v>
      </c>
      <c r="AY179" s="27">
        <f t="shared" si="162"/>
        <v>1.3</v>
      </c>
      <c r="AZ179" s="24">
        <f t="shared" si="163"/>
        <v>44.949549196756408</v>
      </c>
      <c r="BA179" s="24">
        <f t="shared" si="164"/>
        <v>0</v>
      </c>
      <c r="BB179" s="24">
        <f t="shared" si="165"/>
        <v>2.3373765582313331</v>
      </c>
      <c r="BC179" s="24">
        <f t="shared" si="166"/>
        <v>1.7662623441768668</v>
      </c>
      <c r="BD179" s="24">
        <f t="shared" si="149"/>
        <v>0.44494328324527921</v>
      </c>
      <c r="BE179" s="16">
        <f t="shared" si="150"/>
        <v>61.579110965660931</v>
      </c>
      <c r="BF179" s="16">
        <f t="shared" si="151"/>
        <v>276.84177806867814</v>
      </c>
      <c r="BG179" s="25">
        <f t="shared" si="152"/>
        <v>0.61579110965660933</v>
      </c>
      <c r="BH179" s="24">
        <f t="shared" si="153"/>
        <v>135.47404412445405</v>
      </c>
      <c r="BI179" s="24">
        <f t="shared" si="154"/>
        <v>129.05191175109189</v>
      </c>
      <c r="BJ179" s="24">
        <f t="shared" si="155"/>
        <v>36.437612030905164</v>
      </c>
    </row>
    <row r="180" spans="2:62">
      <c r="B180" s="24" t="s">
        <v>91</v>
      </c>
      <c r="C180" s="82" t="str">
        <f>'Hotter&amp;Drier'!$B$1</f>
        <v>CSIRO Mk3.5</v>
      </c>
      <c r="D180" s="89">
        <v>2026</v>
      </c>
      <c r="E180" s="57">
        <f>'Cooler&amp;Wetter'!AA54</f>
        <v>35.543333333333337</v>
      </c>
      <c r="F180" s="90">
        <f>'Hotter&amp;Drier'!AC54</f>
        <v>22.254000000000001</v>
      </c>
      <c r="G180" s="35">
        <f t="shared" si="156"/>
        <v>2005</v>
      </c>
      <c r="H180" s="91" t="str">
        <f t="shared" si="136"/>
        <v>Pile 32 @ Berth 201</v>
      </c>
      <c r="I180" s="35" t="str">
        <f t="shared" si="137"/>
        <v>Turpentine Gum</v>
      </c>
      <c r="J180" s="35" t="str">
        <f t="shared" si="138"/>
        <v>HW1</v>
      </c>
      <c r="K180" s="35" t="str">
        <f t="shared" si="157"/>
        <v>SPHU</v>
      </c>
      <c r="L180" s="35">
        <f t="shared" si="139"/>
        <v>400</v>
      </c>
      <c r="M180" s="35">
        <f t="shared" si="140"/>
        <v>20</v>
      </c>
      <c r="N180" s="35">
        <f t="shared" si="141"/>
        <v>200</v>
      </c>
      <c r="O180" s="35" t="str">
        <f t="shared" si="142"/>
        <v>MTN2</v>
      </c>
      <c r="P180" s="35" t="str">
        <f t="shared" si="143"/>
        <v>CNT2</v>
      </c>
      <c r="Q180" s="35" t="str">
        <f t="shared" si="144"/>
        <v>KNT3</v>
      </c>
      <c r="R180" s="35" t="str">
        <f t="shared" si="145"/>
        <v>E</v>
      </c>
      <c r="S180" s="35" t="str">
        <f t="shared" si="146"/>
        <v>EXP1</v>
      </c>
      <c r="T180" s="58"/>
      <c r="U180" s="58"/>
      <c r="V180" s="58"/>
      <c r="W180" s="58"/>
      <c r="X180" s="58"/>
      <c r="Y180" s="58"/>
      <c r="Z180" s="58"/>
      <c r="AA180" s="95">
        <f t="shared" si="104"/>
        <v>0.64088364721531632</v>
      </c>
      <c r="AB180" s="96">
        <f t="shared" si="158"/>
        <v>64.088364721531633</v>
      </c>
      <c r="AC180" s="58"/>
      <c r="AD180" s="58"/>
      <c r="AE180" s="58"/>
      <c r="AF180" s="58"/>
      <c r="AG180" s="58"/>
      <c r="AH180" s="58"/>
      <c r="AI180" s="58"/>
      <c r="AJ180" s="58"/>
      <c r="AK180" s="58"/>
      <c r="AL180" s="58"/>
      <c r="AM180" s="89">
        <f t="shared" si="159"/>
        <v>21</v>
      </c>
      <c r="AN180" s="26">
        <f t="shared" si="147"/>
        <v>35.543333333333337</v>
      </c>
      <c r="AO180" s="24">
        <f t="shared" si="148"/>
        <v>1.804773153229996</v>
      </c>
      <c r="AP180" s="24">
        <f>IF((OR(R180="A",R180="B",R180="C")),INDEX(Coefficients!$S$4:$S$22,MATCH(J180,Coefficients!$R$4:$R$22)),INDEX(Coefficients!$T$4:$T$22,MATCH(J180,Coefficients!$R$4:$R$22)))</f>
        <v>1.3</v>
      </c>
      <c r="AQ180" s="27">
        <f>IF((OR(R180="A",R180="B",R180="C")),INDEX(Coefficients!$S$4:$S$22,MATCH(K180,Coefficients!$R$4:$R$22)),INDEX(Coefficients!$T$4:$T$22,MATCH(K180,Coefficients!$R$4:$R$22)))</f>
        <v>25</v>
      </c>
      <c r="AR180" s="27">
        <f>IF(OR(R180="A",R180="B",R180="C",R180="D"),IF(AN180&gt;=11,IF(AN180&gt;=26,Coefficients!$M$6,Coefficients!$M$5),Coefficients!$M$4),IF(AN180&gt;=11,IF(AN180&gt;=26,Coefficients!$N$6,Coefficients!$N$5),Coefficients!$N$4))</f>
        <v>1</v>
      </c>
      <c r="AS180" s="27">
        <f>INDEX(Coefficients!$X$3:$X$4,MATCH(S180,Coefficients!$W$3:$W$4))</f>
        <v>1</v>
      </c>
      <c r="AT180" s="27">
        <f>INDEX(Coefficients!$X$7:$X$8,MATCH(O180,Coefficients!$W$7:$W$8))</f>
        <v>1</v>
      </c>
      <c r="AU180" s="27">
        <f>INDEX(Coefficients!$X$11:$X$12,MATCH(P180,Coefficients!$W$11:$W$12))</f>
        <v>1</v>
      </c>
      <c r="AV180" s="27">
        <f>INDEX(Coefficients!$X$15:$X$17,MATCH(Q180,Coefficients!$W$15:$W$17))</f>
        <v>1</v>
      </c>
      <c r="AW180" s="27">
        <f t="shared" si="160"/>
        <v>1</v>
      </c>
      <c r="AX180" s="27">
        <f t="shared" si="161"/>
        <v>1</v>
      </c>
      <c r="AY180" s="27">
        <f t="shared" si="162"/>
        <v>1.3</v>
      </c>
      <c r="AZ180" s="24">
        <f t="shared" si="163"/>
        <v>45.1193288307499</v>
      </c>
      <c r="BA180" s="24">
        <f t="shared" si="164"/>
        <v>0</v>
      </c>
      <c r="BB180" s="24">
        <f t="shared" si="165"/>
        <v>2.3462050991989947</v>
      </c>
      <c r="BC180" s="24">
        <f t="shared" si="166"/>
        <v>1.7653794900801005</v>
      </c>
      <c r="BD180" s="24">
        <f t="shared" si="149"/>
        <v>0.44326900506484312</v>
      </c>
      <c r="BE180" s="16">
        <f t="shared" si="150"/>
        <v>64.088364721531633</v>
      </c>
      <c r="BF180" s="16">
        <f t="shared" si="151"/>
        <v>271.82327055693673</v>
      </c>
      <c r="BG180" s="25">
        <f t="shared" si="152"/>
        <v>0.64088364721531632</v>
      </c>
      <c r="BH180" s="24">
        <f t="shared" si="153"/>
        <v>140.9944023873696</v>
      </c>
      <c r="BI180" s="24">
        <f t="shared" si="154"/>
        <v>118.01119522526079</v>
      </c>
      <c r="BJ180" s="24">
        <f t="shared" si="155"/>
        <v>36.306264269363645</v>
      </c>
    </row>
    <row r="181" spans="2:62">
      <c r="B181" s="24" t="s">
        <v>91</v>
      </c>
      <c r="C181" s="82" t="str">
        <f>'Hotter&amp;Drier'!$B$1</f>
        <v>CSIRO Mk3.5</v>
      </c>
      <c r="D181" s="89">
        <v>2027</v>
      </c>
      <c r="E181" s="57">
        <f>'Cooler&amp;Wetter'!AA55</f>
        <v>35.545000000000002</v>
      </c>
      <c r="F181" s="90">
        <f>'Hotter&amp;Drier'!AC55</f>
        <v>22.283000000000001</v>
      </c>
      <c r="G181" s="35">
        <f t="shared" si="156"/>
        <v>2005</v>
      </c>
      <c r="H181" s="91" t="str">
        <f t="shared" si="136"/>
        <v>Pile 32 @ Berth 201</v>
      </c>
      <c r="I181" s="35" t="str">
        <f t="shared" si="137"/>
        <v>Turpentine Gum</v>
      </c>
      <c r="J181" s="35" t="str">
        <f t="shared" si="138"/>
        <v>HW1</v>
      </c>
      <c r="K181" s="35" t="str">
        <f t="shared" si="157"/>
        <v>SPHU</v>
      </c>
      <c r="L181" s="35">
        <f t="shared" si="139"/>
        <v>400</v>
      </c>
      <c r="M181" s="35">
        <f t="shared" si="140"/>
        <v>20</v>
      </c>
      <c r="N181" s="35">
        <f t="shared" si="141"/>
        <v>200</v>
      </c>
      <c r="O181" s="35" t="str">
        <f t="shared" si="142"/>
        <v>MTN2</v>
      </c>
      <c r="P181" s="35" t="str">
        <f t="shared" si="143"/>
        <v>CNT2</v>
      </c>
      <c r="Q181" s="35" t="str">
        <f t="shared" si="144"/>
        <v>KNT3</v>
      </c>
      <c r="R181" s="35" t="str">
        <f t="shared" si="145"/>
        <v>E</v>
      </c>
      <c r="S181" s="35" t="str">
        <f t="shared" si="146"/>
        <v>EXP1</v>
      </c>
      <c r="T181" s="58"/>
      <c r="U181" s="58"/>
      <c r="V181" s="58"/>
      <c r="W181" s="58"/>
      <c r="X181" s="58"/>
      <c r="Y181" s="58"/>
      <c r="Z181" s="58"/>
      <c r="AA181" s="95">
        <f t="shared" si="104"/>
        <v>0.6661597378282218</v>
      </c>
      <c r="AB181" s="96">
        <f t="shared" si="158"/>
        <v>66.615973782822181</v>
      </c>
      <c r="AC181" s="58"/>
      <c r="AD181" s="58"/>
      <c r="AE181" s="58"/>
      <c r="AF181" s="58"/>
      <c r="AG181" s="58"/>
      <c r="AH181" s="58"/>
      <c r="AI181" s="58"/>
      <c r="AJ181" s="58"/>
      <c r="AK181" s="58"/>
      <c r="AL181" s="58"/>
      <c r="AM181" s="89">
        <f t="shared" si="159"/>
        <v>22</v>
      </c>
      <c r="AN181" s="26">
        <f t="shared" si="147"/>
        <v>35.545000000000002</v>
      </c>
      <c r="AO181" s="24">
        <f t="shared" si="148"/>
        <v>1.8115899896804661</v>
      </c>
      <c r="AP181" s="24">
        <f>IF((OR(R181="A",R181="B",R181="C")),INDEX(Coefficients!$S$4:$S$22,MATCH(J181,Coefficients!$R$4:$R$22)),INDEX(Coefficients!$T$4:$T$22,MATCH(J181,Coefficients!$R$4:$R$22)))</f>
        <v>1.3</v>
      </c>
      <c r="AQ181" s="27">
        <f>IF((OR(R181="A",R181="B",R181="C")),INDEX(Coefficients!$S$4:$S$22,MATCH(K181,Coefficients!$R$4:$R$22)),INDEX(Coefficients!$T$4:$T$22,MATCH(K181,Coefficients!$R$4:$R$22)))</f>
        <v>25</v>
      </c>
      <c r="AR181" s="27">
        <f>IF(OR(R181="A",R181="B",R181="C",R181="D"),IF(AN181&gt;=11,IF(AN181&gt;=26,Coefficients!$M$6,Coefficients!$M$5),Coefficients!$M$4),IF(AN181&gt;=11,IF(AN181&gt;=26,Coefficients!$N$6,Coefficients!$N$5),Coefficients!$N$4))</f>
        <v>1</v>
      </c>
      <c r="AS181" s="27">
        <f>INDEX(Coefficients!$X$3:$X$4,MATCH(S181,Coefficients!$W$3:$W$4))</f>
        <v>1</v>
      </c>
      <c r="AT181" s="27">
        <f>INDEX(Coefficients!$X$7:$X$8,MATCH(O181,Coefficients!$W$7:$W$8))</f>
        <v>1</v>
      </c>
      <c r="AU181" s="27">
        <f>INDEX(Coefficients!$X$11:$X$12,MATCH(P181,Coefficients!$W$11:$W$12))</f>
        <v>1</v>
      </c>
      <c r="AV181" s="27">
        <f>INDEX(Coefficients!$X$15:$X$17,MATCH(Q181,Coefficients!$W$15:$W$17))</f>
        <v>1</v>
      </c>
      <c r="AW181" s="27">
        <f t="shared" si="160"/>
        <v>1</v>
      </c>
      <c r="AX181" s="27">
        <f t="shared" si="161"/>
        <v>1</v>
      </c>
      <c r="AY181" s="27">
        <f t="shared" si="162"/>
        <v>1.3</v>
      </c>
      <c r="AZ181" s="24">
        <f t="shared" si="163"/>
        <v>45.289749742011651</v>
      </c>
      <c r="BA181" s="24">
        <f t="shared" si="164"/>
        <v>0</v>
      </c>
      <c r="BB181" s="24">
        <f t="shared" si="165"/>
        <v>2.3550669865846059</v>
      </c>
      <c r="BC181" s="24">
        <f t="shared" si="166"/>
        <v>1.7644933013415394</v>
      </c>
      <c r="BD181" s="24">
        <f t="shared" si="149"/>
        <v>0.44160102702991116</v>
      </c>
      <c r="BE181" s="16">
        <f t="shared" si="150"/>
        <v>66.615973782822181</v>
      </c>
      <c r="BF181" s="16">
        <f t="shared" si="151"/>
        <v>266.76805243435564</v>
      </c>
      <c r="BG181" s="25">
        <f t="shared" si="152"/>
        <v>0.6661597378282218</v>
      </c>
      <c r="BH181" s="24">
        <f t="shared" si="153"/>
        <v>146.55514232220881</v>
      </c>
      <c r="BI181" s="24">
        <f t="shared" si="154"/>
        <v>106.88971535558238</v>
      </c>
      <c r="BJ181" s="24">
        <f t="shared" si="155"/>
        <v>36.175404099903076</v>
      </c>
    </row>
    <row r="182" spans="2:62">
      <c r="B182" s="24" t="s">
        <v>91</v>
      </c>
      <c r="C182" s="82" t="str">
        <f>'Hotter&amp;Drier'!$B$1</f>
        <v>CSIRO Mk3.5</v>
      </c>
      <c r="D182" s="89">
        <v>2028</v>
      </c>
      <c r="E182" s="57">
        <f>'Cooler&amp;Wetter'!AA56</f>
        <v>35.546666666666667</v>
      </c>
      <c r="F182" s="90">
        <f>'Hotter&amp;Drier'!AC56</f>
        <v>22.312000000000001</v>
      </c>
      <c r="G182" s="35">
        <f t="shared" si="156"/>
        <v>2005</v>
      </c>
      <c r="H182" s="91" t="str">
        <f t="shared" si="136"/>
        <v>Pile 32 @ Berth 201</v>
      </c>
      <c r="I182" s="35" t="str">
        <f t="shared" si="137"/>
        <v>Turpentine Gum</v>
      </c>
      <c r="J182" s="35" t="str">
        <f t="shared" si="138"/>
        <v>HW1</v>
      </c>
      <c r="K182" s="35" t="str">
        <f t="shared" si="157"/>
        <v>SPHU</v>
      </c>
      <c r="L182" s="35">
        <f t="shared" si="139"/>
        <v>400</v>
      </c>
      <c r="M182" s="35">
        <f t="shared" si="140"/>
        <v>20</v>
      </c>
      <c r="N182" s="35">
        <f t="shared" si="141"/>
        <v>200</v>
      </c>
      <c r="O182" s="35" t="str">
        <f t="shared" si="142"/>
        <v>MTN2</v>
      </c>
      <c r="P182" s="35" t="str">
        <f t="shared" si="143"/>
        <v>CNT2</v>
      </c>
      <c r="Q182" s="35" t="str">
        <f t="shared" si="144"/>
        <v>KNT3</v>
      </c>
      <c r="R182" s="35" t="str">
        <f t="shared" si="145"/>
        <v>E</v>
      </c>
      <c r="S182" s="35" t="str">
        <f t="shared" si="146"/>
        <v>EXP1</v>
      </c>
      <c r="T182" s="58"/>
      <c r="U182" s="58"/>
      <c r="V182" s="58"/>
      <c r="W182" s="58"/>
      <c r="X182" s="58"/>
      <c r="Y182" s="58"/>
      <c r="Z182" s="58"/>
      <c r="AA182" s="95">
        <f t="shared" si="104"/>
        <v>0.69162041070662184</v>
      </c>
      <c r="AB182" s="96">
        <f t="shared" si="158"/>
        <v>69.162041070662184</v>
      </c>
      <c r="AC182" s="58"/>
      <c r="AD182" s="58"/>
      <c r="AE182" s="58"/>
      <c r="AF182" s="58"/>
      <c r="AG182" s="58"/>
      <c r="AH182" s="58"/>
      <c r="AI182" s="58"/>
      <c r="AJ182" s="58"/>
      <c r="AK182" s="58"/>
      <c r="AL182" s="58"/>
      <c r="AM182" s="89">
        <f t="shared" si="159"/>
        <v>23</v>
      </c>
      <c r="AN182" s="26">
        <f t="shared" si="147"/>
        <v>35.546666666666667</v>
      </c>
      <c r="AO182" s="24">
        <f t="shared" si="148"/>
        <v>1.8184325741087972</v>
      </c>
      <c r="AP182" s="24">
        <f>IF((OR(R182="A",R182="B",R182="C")),INDEX(Coefficients!$S$4:$S$22,MATCH(J182,Coefficients!$R$4:$R$22)),INDEX(Coefficients!$T$4:$T$22,MATCH(J182,Coefficients!$R$4:$R$22)))</f>
        <v>1.3</v>
      </c>
      <c r="AQ182" s="27">
        <f>IF((OR(R182="A",R182="B",R182="C")),INDEX(Coefficients!$S$4:$S$22,MATCH(K182,Coefficients!$R$4:$R$22)),INDEX(Coefficients!$T$4:$T$22,MATCH(K182,Coefficients!$R$4:$R$22)))</f>
        <v>25</v>
      </c>
      <c r="AR182" s="27">
        <f>IF(OR(R182="A",R182="B",R182="C",R182="D"),IF(AN182&gt;=11,IF(AN182&gt;=26,Coefficients!$M$6,Coefficients!$M$5),Coefficients!$M$4),IF(AN182&gt;=11,IF(AN182&gt;=26,Coefficients!$N$6,Coefficients!$N$5),Coefficients!$N$4))</f>
        <v>1</v>
      </c>
      <c r="AS182" s="27">
        <f>INDEX(Coefficients!$X$3:$X$4,MATCH(S182,Coefficients!$W$3:$W$4))</f>
        <v>1</v>
      </c>
      <c r="AT182" s="27">
        <f>INDEX(Coefficients!$X$7:$X$8,MATCH(O182,Coefficients!$W$7:$W$8))</f>
        <v>1</v>
      </c>
      <c r="AU182" s="27">
        <f>INDEX(Coefficients!$X$11:$X$12,MATCH(P182,Coefficients!$W$11:$W$12))</f>
        <v>1</v>
      </c>
      <c r="AV182" s="27">
        <f>INDEX(Coefficients!$X$15:$X$17,MATCH(Q182,Coefficients!$W$15:$W$17))</f>
        <v>1</v>
      </c>
      <c r="AW182" s="27">
        <f t="shared" si="160"/>
        <v>1</v>
      </c>
      <c r="AX182" s="27">
        <f t="shared" si="161"/>
        <v>1</v>
      </c>
      <c r="AY182" s="27">
        <f t="shared" si="162"/>
        <v>1.3</v>
      </c>
      <c r="AZ182" s="24">
        <f t="shared" si="163"/>
        <v>45.460814352719929</v>
      </c>
      <c r="BA182" s="24">
        <f t="shared" si="164"/>
        <v>0</v>
      </c>
      <c r="BB182" s="24">
        <f t="shared" si="165"/>
        <v>2.3639623463414363</v>
      </c>
      <c r="BC182" s="24">
        <f t="shared" si="166"/>
        <v>1.7636037653658563</v>
      </c>
      <c r="BD182" s="24">
        <f t="shared" si="149"/>
        <v>0.43993932543365</v>
      </c>
      <c r="BE182" s="16">
        <f t="shared" si="150"/>
        <v>69.162041070662184</v>
      </c>
      <c r="BF182" s="16">
        <f t="shared" si="151"/>
        <v>261.67591785867563</v>
      </c>
      <c r="BG182" s="25">
        <f t="shared" si="152"/>
        <v>0.69162041070662184</v>
      </c>
      <c r="BH182" s="24">
        <f t="shared" si="153"/>
        <v>152.15649035545681</v>
      </c>
      <c r="BI182" s="24">
        <f t="shared" si="154"/>
        <v>95.687019289086379</v>
      </c>
      <c r="BJ182" s="24">
        <f t="shared" si="155"/>
        <v>36.045029662618738</v>
      </c>
    </row>
    <row r="183" spans="2:62">
      <c r="B183" s="24" t="s">
        <v>91</v>
      </c>
      <c r="C183" s="82" t="str">
        <f>'Hotter&amp;Drier'!$B$1</f>
        <v>CSIRO Mk3.5</v>
      </c>
      <c r="D183" s="89">
        <v>2029</v>
      </c>
      <c r="E183" s="57">
        <f>'Cooler&amp;Wetter'!AA57</f>
        <v>35.548333333333332</v>
      </c>
      <c r="F183" s="90">
        <f>'Hotter&amp;Drier'!AC57</f>
        <v>22.341000000000001</v>
      </c>
      <c r="G183" s="35">
        <f t="shared" si="156"/>
        <v>2005</v>
      </c>
      <c r="H183" s="91" t="str">
        <f t="shared" si="136"/>
        <v>Pile 32 @ Berth 201</v>
      </c>
      <c r="I183" s="35" t="str">
        <f t="shared" si="137"/>
        <v>Turpentine Gum</v>
      </c>
      <c r="J183" s="35" t="str">
        <f t="shared" si="138"/>
        <v>HW1</v>
      </c>
      <c r="K183" s="35" t="str">
        <f t="shared" si="157"/>
        <v>SPHU</v>
      </c>
      <c r="L183" s="35">
        <f t="shared" si="139"/>
        <v>400</v>
      </c>
      <c r="M183" s="35">
        <f t="shared" si="140"/>
        <v>20</v>
      </c>
      <c r="N183" s="35">
        <f t="shared" si="141"/>
        <v>200</v>
      </c>
      <c r="O183" s="35" t="str">
        <f t="shared" si="142"/>
        <v>MTN2</v>
      </c>
      <c r="P183" s="35" t="str">
        <f t="shared" si="143"/>
        <v>CNT2</v>
      </c>
      <c r="Q183" s="35" t="str">
        <f t="shared" si="144"/>
        <v>KNT3</v>
      </c>
      <c r="R183" s="35" t="str">
        <f t="shared" si="145"/>
        <v>E</v>
      </c>
      <c r="S183" s="35" t="str">
        <f t="shared" si="146"/>
        <v>EXP1</v>
      </c>
      <c r="T183" s="58"/>
      <c r="U183" s="58"/>
      <c r="V183" s="58"/>
      <c r="W183" s="58"/>
      <c r="X183" s="58"/>
      <c r="Y183" s="58"/>
      <c r="Z183" s="58"/>
      <c r="AA183" s="95">
        <f t="shared" si="104"/>
        <v>0.71726670022253136</v>
      </c>
      <c r="AB183" s="96">
        <f t="shared" si="158"/>
        <v>71.726670022253131</v>
      </c>
      <c r="AC183" s="58"/>
      <c r="AD183" s="58"/>
      <c r="AE183" s="58"/>
      <c r="AF183" s="58"/>
      <c r="AG183" s="58"/>
      <c r="AH183" s="58"/>
      <c r="AI183" s="58"/>
      <c r="AJ183" s="58"/>
      <c r="AK183" s="58"/>
      <c r="AL183" s="58"/>
      <c r="AM183" s="89">
        <f t="shared" si="159"/>
        <v>24</v>
      </c>
      <c r="AN183" s="26">
        <f t="shared" si="147"/>
        <v>35.548333333333332</v>
      </c>
      <c r="AO183" s="24">
        <f t="shared" si="148"/>
        <v>1.8253010037680715</v>
      </c>
      <c r="AP183" s="24">
        <f>IF((OR(R183="A",R183="B",R183="C")),INDEX(Coefficients!$S$4:$S$22,MATCH(J183,Coefficients!$R$4:$R$22)),INDEX(Coefficients!$T$4:$T$22,MATCH(J183,Coefficients!$R$4:$R$22)))</f>
        <v>1.3</v>
      </c>
      <c r="AQ183" s="27">
        <f>IF((OR(R183="A",R183="B",R183="C")),INDEX(Coefficients!$S$4:$S$22,MATCH(K183,Coefficients!$R$4:$R$22)),INDEX(Coefficients!$T$4:$T$22,MATCH(K183,Coefficients!$R$4:$R$22)))</f>
        <v>25</v>
      </c>
      <c r="AR183" s="27">
        <f>IF(OR(R183="A",R183="B",R183="C",R183="D"),IF(AN183&gt;=11,IF(AN183&gt;=26,Coefficients!$M$6,Coefficients!$M$5),Coefficients!$M$4),IF(AN183&gt;=11,IF(AN183&gt;=26,Coefficients!$N$6,Coefficients!$N$5),Coefficients!$N$4))</f>
        <v>1</v>
      </c>
      <c r="AS183" s="27">
        <f>INDEX(Coefficients!$X$3:$X$4,MATCH(S183,Coefficients!$W$3:$W$4))</f>
        <v>1</v>
      </c>
      <c r="AT183" s="27">
        <f>INDEX(Coefficients!$X$7:$X$8,MATCH(O183,Coefficients!$W$7:$W$8))</f>
        <v>1</v>
      </c>
      <c r="AU183" s="27">
        <f>INDEX(Coefficients!$X$11:$X$12,MATCH(P183,Coefficients!$W$11:$W$12))</f>
        <v>1</v>
      </c>
      <c r="AV183" s="27">
        <f>INDEX(Coefficients!$X$15:$X$17,MATCH(Q183,Coefficients!$W$15:$W$17))</f>
        <v>1</v>
      </c>
      <c r="AW183" s="27">
        <f t="shared" si="160"/>
        <v>1</v>
      </c>
      <c r="AX183" s="27">
        <f t="shared" si="161"/>
        <v>1</v>
      </c>
      <c r="AY183" s="27">
        <f t="shared" si="162"/>
        <v>1.3</v>
      </c>
      <c r="AZ183" s="24">
        <f t="shared" si="163"/>
        <v>45.632525094201789</v>
      </c>
      <c r="BA183" s="24">
        <f t="shared" si="164"/>
        <v>0</v>
      </c>
      <c r="BB183" s="24">
        <f t="shared" si="165"/>
        <v>2.3728913048984932</v>
      </c>
      <c r="BC183" s="24">
        <f t="shared" si="166"/>
        <v>1.7627108695101508</v>
      </c>
      <c r="BD183" s="24">
        <f t="shared" si="149"/>
        <v>0.43828387665843332</v>
      </c>
      <c r="BE183" s="16">
        <f t="shared" si="150"/>
        <v>71.726670022253131</v>
      </c>
      <c r="BF183" s="16">
        <f t="shared" si="151"/>
        <v>256.54665995549374</v>
      </c>
      <c r="BG183" s="25">
        <f t="shared" si="152"/>
        <v>0.71726670022253136</v>
      </c>
      <c r="BH183" s="24">
        <f t="shared" si="153"/>
        <v>157.79867404895691</v>
      </c>
      <c r="BI183" s="24">
        <f t="shared" si="154"/>
        <v>84.402651902086177</v>
      </c>
      <c r="BJ183" s="24">
        <f t="shared" si="155"/>
        <v>35.915139104509606</v>
      </c>
    </row>
    <row r="184" spans="2:62">
      <c r="B184" s="24" t="s">
        <v>91</v>
      </c>
      <c r="C184" s="82" t="str">
        <f>'Hotter&amp;Drier'!$B$1</f>
        <v>CSIRO Mk3.5</v>
      </c>
      <c r="D184" s="89">
        <v>2030</v>
      </c>
      <c r="E184" s="57">
        <f>'Cooler&amp;Wetter'!AA58</f>
        <v>35.549999999999997</v>
      </c>
      <c r="F184" s="90">
        <f>'Hotter&amp;Drier'!AC58</f>
        <v>22.37</v>
      </c>
      <c r="G184" s="35">
        <f t="shared" si="156"/>
        <v>2005</v>
      </c>
      <c r="H184" s="91" t="str">
        <f t="shared" si="136"/>
        <v>Pile 32 @ Berth 201</v>
      </c>
      <c r="I184" s="35" t="str">
        <f t="shared" si="137"/>
        <v>Turpentine Gum</v>
      </c>
      <c r="J184" s="35" t="str">
        <f t="shared" si="138"/>
        <v>HW1</v>
      </c>
      <c r="K184" s="35" t="str">
        <f t="shared" si="157"/>
        <v>SPHU</v>
      </c>
      <c r="L184" s="35">
        <f t="shared" si="139"/>
        <v>400</v>
      </c>
      <c r="M184" s="35">
        <f t="shared" si="140"/>
        <v>20</v>
      </c>
      <c r="N184" s="35">
        <f t="shared" si="141"/>
        <v>200</v>
      </c>
      <c r="O184" s="35" t="str">
        <f t="shared" si="142"/>
        <v>MTN2</v>
      </c>
      <c r="P184" s="35" t="str">
        <f t="shared" si="143"/>
        <v>CNT2</v>
      </c>
      <c r="Q184" s="35" t="str">
        <f t="shared" si="144"/>
        <v>KNT3</v>
      </c>
      <c r="R184" s="35" t="str">
        <f t="shared" si="145"/>
        <v>E</v>
      </c>
      <c r="S184" s="35" t="str">
        <f t="shared" si="146"/>
        <v>EXP1</v>
      </c>
      <c r="T184" s="58"/>
      <c r="U184" s="58"/>
      <c r="V184" s="58"/>
      <c r="W184" s="58"/>
      <c r="X184" s="58"/>
      <c r="Y184" s="58"/>
      <c r="Z184" s="58"/>
      <c r="AA184" s="95">
        <f t="shared" si="104"/>
        <v>0.74309964593302258</v>
      </c>
      <c r="AB184" s="96">
        <f t="shared" si="158"/>
        <v>74.309964593302254</v>
      </c>
      <c r="AC184" s="58"/>
      <c r="AD184" s="58"/>
      <c r="AE184" s="58"/>
      <c r="AF184" s="58"/>
      <c r="AG184" s="58"/>
      <c r="AH184" s="58"/>
      <c r="AI184" s="58"/>
      <c r="AJ184" s="58"/>
      <c r="AK184" s="58"/>
      <c r="AL184" s="58"/>
      <c r="AM184" s="89">
        <f t="shared" si="159"/>
        <v>25</v>
      </c>
      <c r="AN184" s="26">
        <f t="shared" si="147"/>
        <v>35.549999999999997</v>
      </c>
      <c r="AO184" s="24">
        <f t="shared" si="148"/>
        <v>1.8321953762787091</v>
      </c>
      <c r="AP184" s="24">
        <f>IF((OR(R184="A",R184="B",R184="C")),INDEX(Coefficients!$S$4:$S$22,MATCH(J184,Coefficients!$R$4:$R$22)),INDEX(Coefficients!$T$4:$T$22,MATCH(J184,Coefficients!$R$4:$R$22)))</f>
        <v>1.3</v>
      </c>
      <c r="AQ184" s="27">
        <f>IF((OR(R184="A",R184="B",R184="C")),INDEX(Coefficients!$S$4:$S$22,MATCH(K184,Coefficients!$R$4:$R$22)),INDEX(Coefficients!$T$4:$T$22,MATCH(K184,Coefficients!$R$4:$R$22)))</f>
        <v>25</v>
      </c>
      <c r="AR184" s="27">
        <f>IF(OR(R184="A",R184="B",R184="C",R184="D"),IF(AN184&gt;=11,IF(AN184&gt;=26,Coefficients!$M$6,Coefficients!$M$5),Coefficients!$M$4),IF(AN184&gt;=11,IF(AN184&gt;=26,Coefficients!$N$6,Coefficients!$N$5),Coefficients!$N$4))</f>
        <v>1</v>
      </c>
      <c r="AS184" s="27">
        <f>INDEX(Coefficients!$X$3:$X$4,MATCH(S184,Coefficients!$W$3:$W$4))</f>
        <v>1</v>
      </c>
      <c r="AT184" s="27">
        <f>INDEX(Coefficients!$X$7:$X$8,MATCH(O184,Coefficients!$W$7:$W$8))</f>
        <v>1</v>
      </c>
      <c r="AU184" s="27">
        <f>INDEX(Coefficients!$X$11:$X$12,MATCH(P184,Coefficients!$W$11:$W$12))</f>
        <v>1</v>
      </c>
      <c r="AV184" s="27">
        <f>INDEX(Coefficients!$X$15:$X$17,MATCH(Q184,Coefficients!$W$15:$W$17))</f>
        <v>1</v>
      </c>
      <c r="AW184" s="27">
        <f t="shared" si="160"/>
        <v>1</v>
      </c>
      <c r="AX184" s="27">
        <f t="shared" si="161"/>
        <v>1</v>
      </c>
      <c r="AY184" s="27">
        <f t="shared" si="162"/>
        <v>1.3</v>
      </c>
      <c r="AZ184" s="24">
        <f t="shared" si="163"/>
        <v>45.80488440696773</v>
      </c>
      <c r="BA184" s="24">
        <f t="shared" si="164"/>
        <v>0</v>
      </c>
      <c r="BB184" s="24">
        <f t="shared" si="165"/>
        <v>2.3818539891623218</v>
      </c>
      <c r="BC184" s="24">
        <f t="shared" si="166"/>
        <v>1.7618146010837679</v>
      </c>
      <c r="BD184" s="24">
        <f t="shared" si="149"/>
        <v>0.4366346571755052</v>
      </c>
      <c r="BE184" s="16">
        <f t="shared" si="150"/>
        <v>74.309964593302254</v>
      </c>
      <c r="BF184" s="16">
        <f t="shared" si="151"/>
        <v>251.38007081339549</v>
      </c>
      <c r="BG184" s="25">
        <f t="shared" si="152"/>
        <v>0.74309964593302258</v>
      </c>
      <c r="BH184" s="24">
        <f t="shared" si="153"/>
        <v>163.48192210526497</v>
      </c>
      <c r="BI184" s="24">
        <f t="shared" si="154"/>
        <v>73.036155789470058</v>
      </c>
      <c r="BJ184" s="24">
        <f t="shared" si="155"/>
        <v>35.785730579451986</v>
      </c>
    </row>
    <row r="185" spans="2:62">
      <c r="B185" s="24" t="s">
        <v>91</v>
      </c>
      <c r="C185" s="82" t="str">
        <f>'Hotter&amp;Drier'!$B$1</f>
        <v>CSIRO Mk3.5</v>
      </c>
      <c r="D185" s="89">
        <v>2031</v>
      </c>
      <c r="E185" s="57">
        <f>'Cooler&amp;Wetter'!AA59</f>
        <v>35.552500000000002</v>
      </c>
      <c r="F185" s="90">
        <f>'Hotter&amp;Drier'!AC59</f>
        <v>22.4175</v>
      </c>
      <c r="G185" s="35">
        <f t="shared" si="156"/>
        <v>2005</v>
      </c>
      <c r="H185" s="91" t="str">
        <f t="shared" si="136"/>
        <v>Pile 32 @ Berth 201</v>
      </c>
      <c r="I185" s="35" t="str">
        <f t="shared" si="137"/>
        <v>Turpentine Gum</v>
      </c>
      <c r="J185" s="35" t="str">
        <f t="shared" si="138"/>
        <v>HW1</v>
      </c>
      <c r="K185" s="35" t="str">
        <f t="shared" si="157"/>
        <v>SPHU</v>
      </c>
      <c r="L185" s="35">
        <f t="shared" si="139"/>
        <v>400</v>
      </c>
      <c r="M185" s="35">
        <f t="shared" si="140"/>
        <v>20</v>
      </c>
      <c r="N185" s="35">
        <f t="shared" si="141"/>
        <v>200</v>
      </c>
      <c r="O185" s="35" t="str">
        <f t="shared" si="142"/>
        <v>MTN2</v>
      </c>
      <c r="P185" s="35" t="str">
        <f t="shared" si="143"/>
        <v>CNT2</v>
      </c>
      <c r="Q185" s="35" t="str">
        <f t="shared" si="144"/>
        <v>KNT3</v>
      </c>
      <c r="R185" s="35" t="str">
        <f t="shared" si="145"/>
        <v>E</v>
      </c>
      <c r="S185" s="35" t="str">
        <f t="shared" si="146"/>
        <v>EXP1</v>
      </c>
      <c r="T185" s="58"/>
      <c r="U185" s="58"/>
      <c r="V185" s="58"/>
      <c r="W185" s="58"/>
      <c r="X185" s="58"/>
      <c r="Y185" s="58"/>
      <c r="Z185" s="58"/>
      <c r="AA185" s="95">
        <f t="shared" si="104"/>
        <v>0.77052951329906705</v>
      </c>
      <c r="AB185" s="96">
        <f t="shared" si="158"/>
        <v>77.052951329906705</v>
      </c>
      <c r="AC185" s="58"/>
      <c r="AD185" s="58"/>
      <c r="AE185" s="58"/>
      <c r="AF185" s="58"/>
      <c r="AG185" s="58"/>
      <c r="AH185" s="58"/>
      <c r="AI185" s="58"/>
      <c r="AJ185" s="58"/>
      <c r="AK185" s="58"/>
      <c r="AL185" s="58"/>
      <c r="AM185" s="89">
        <f t="shared" si="159"/>
        <v>26</v>
      </c>
      <c r="AN185" s="26">
        <f t="shared" si="147"/>
        <v>35.552500000000002</v>
      </c>
      <c r="AO185" s="24">
        <f t="shared" si="148"/>
        <v>1.8435441861161914</v>
      </c>
      <c r="AP185" s="24">
        <f>IF((OR(R185="A",R185="B",R185="C")),INDEX(Coefficients!$S$4:$S$22,MATCH(J185,Coefficients!$R$4:$R$22)),INDEX(Coefficients!$T$4:$T$22,MATCH(J185,Coefficients!$R$4:$R$22)))</f>
        <v>1.3</v>
      </c>
      <c r="AQ185" s="27">
        <f>IF((OR(R185="A",R185="B",R185="C")),INDEX(Coefficients!$S$4:$S$22,MATCH(K185,Coefficients!$R$4:$R$22)),INDEX(Coefficients!$T$4:$T$22,MATCH(K185,Coefficients!$R$4:$R$22)))</f>
        <v>25</v>
      </c>
      <c r="AR185" s="27">
        <f>IF(OR(R185="A",R185="B",R185="C",R185="D"),IF(AN185&gt;=11,IF(AN185&gt;=26,Coefficients!$M$6,Coefficients!$M$5),Coefficients!$M$4),IF(AN185&gt;=11,IF(AN185&gt;=26,Coefficients!$N$6,Coefficients!$N$5),Coefficients!$N$4))</f>
        <v>1</v>
      </c>
      <c r="AS185" s="27">
        <f>INDEX(Coefficients!$X$3:$X$4,MATCH(S185,Coefficients!$W$3:$W$4))</f>
        <v>1</v>
      </c>
      <c r="AT185" s="27">
        <f>INDEX(Coefficients!$X$7:$X$8,MATCH(O185,Coefficients!$W$7:$W$8))</f>
        <v>1</v>
      </c>
      <c r="AU185" s="27">
        <f>INDEX(Coefficients!$X$11:$X$12,MATCH(P185,Coefficients!$W$11:$W$12))</f>
        <v>1</v>
      </c>
      <c r="AV185" s="27">
        <f>INDEX(Coefficients!$X$15:$X$17,MATCH(Q185,Coefficients!$W$15:$W$17))</f>
        <v>1</v>
      </c>
      <c r="AW185" s="27">
        <f t="shared" si="160"/>
        <v>1</v>
      </c>
      <c r="AX185" s="27">
        <f t="shared" si="161"/>
        <v>1</v>
      </c>
      <c r="AY185" s="27">
        <f t="shared" si="162"/>
        <v>1.3</v>
      </c>
      <c r="AZ185" s="24">
        <f t="shared" si="163"/>
        <v>46.088604652904785</v>
      </c>
      <c r="BA185" s="24">
        <f t="shared" si="164"/>
        <v>0</v>
      </c>
      <c r="BB185" s="24">
        <f t="shared" si="165"/>
        <v>2.396607441951049</v>
      </c>
      <c r="BC185" s="24">
        <f t="shared" si="166"/>
        <v>1.7603392558048951</v>
      </c>
      <c r="BD185" s="24">
        <f t="shared" si="149"/>
        <v>0.4339467456353005</v>
      </c>
      <c r="BE185" s="16">
        <f t="shared" si="150"/>
        <v>77.052951329906705</v>
      </c>
      <c r="BF185" s="16">
        <f t="shared" si="151"/>
        <v>245.89409734018659</v>
      </c>
      <c r="BG185" s="25">
        <f t="shared" si="152"/>
        <v>0.77052951329906705</v>
      </c>
      <c r="BH185" s="24">
        <f t="shared" si="153"/>
        <v>169.51649292579475</v>
      </c>
      <c r="BI185" s="24">
        <f t="shared" si="154"/>
        <v>60.967014148410499</v>
      </c>
      <c r="BJ185" s="24">
        <f t="shared" si="155"/>
        <v>35.574804896463313</v>
      </c>
    </row>
    <row r="186" spans="2:62">
      <c r="B186" s="24" t="s">
        <v>91</v>
      </c>
      <c r="C186" s="82" t="str">
        <f>'Hotter&amp;Drier'!$B$1</f>
        <v>CSIRO Mk3.5</v>
      </c>
      <c r="D186" s="89">
        <v>2032</v>
      </c>
      <c r="E186" s="57">
        <f>'Cooler&amp;Wetter'!AA60</f>
        <v>35.555</v>
      </c>
      <c r="F186" s="90">
        <f>'Hotter&amp;Drier'!AC60</f>
        <v>22.465</v>
      </c>
      <c r="G186" s="35">
        <f t="shared" si="156"/>
        <v>2005</v>
      </c>
      <c r="H186" s="91" t="str">
        <f t="shared" si="136"/>
        <v>Pile 32 @ Berth 201</v>
      </c>
      <c r="I186" s="35" t="str">
        <f t="shared" si="137"/>
        <v>Turpentine Gum</v>
      </c>
      <c r="J186" s="35" t="str">
        <f t="shared" si="138"/>
        <v>HW1</v>
      </c>
      <c r="K186" s="35" t="str">
        <f t="shared" si="157"/>
        <v>SPHU</v>
      </c>
      <c r="L186" s="35">
        <f t="shared" si="139"/>
        <v>400</v>
      </c>
      <c r="M186" s="35">
        <f t="shared" si="140"/>
        <v>20</v>
      </c>
      <c r="N186" s="35">
        <f t="shared" si="141"/>
        <v>200</v>
      </c>
      <c r="O186" s="35" t="str">
        <f t="shared" si="142"/>
        <v>MTN2</v>
      </c>
      <c r="P186" s="35" t="str">
        <f t="shared" si="143"/>
        <v>CNT2</v>
      </c>
      <c r="Q186" s="35" t="str">
        <f t="shared" si="144"/>
        <v>KNT3</v>
      </c>
      <c r="R186" s="35" t="str">
        <f t="shared" si="145"/>
        <v>E</v>
      </c>
      <c r="S186" s="35" t="str">
        <f t="shared" si="146"/>
        <v>EXP1</v>
      </c>
      <c r="T186" s="58"/>
      <c r="U186" s="58"/>
      <c r="V186" s="58"/>
      <c r="W186" s="58"/>
      <c r="X186" s="58"/>
      <c r="Y186" s="58"/>
      <c r="Z186" s="58"/>
      <c r="AA186" s="95">
        <f t="shared" si="104"/>
        <v>0.79827817188716244</v>
      </c>
      <c r="AB186" s="96">
        <f t="shared" si="158"/>
        <v>79.827817188716239</v>
      </c>
      <c r="AC186" s="58"/>
      <c r="AD186" s="58"/>
      <c r="AE186" s="58"/>
      <c r="AF186" s="58"/>
      <c r="AG186" s="58"/>
      <c r="AH186" s="58"/>
      <c r="AI186" s="58"/>
      <c r="AJ186" s="58"/>
      <c r="AK186" s="58"/>
      <c r="AL186" s="58"/>
      <c r="AM186" s="89">
        <f t="shared" si="159"/>
        <v>27</v>
      </c>
      <c r="AN186" s="26">
        <f t="shared" ref="AN186:AN217" si="167">E186</f>
        <v>35.555</v>
      </c>
      <c r="AO186" s="24">
        <f t="shared" ref="AO186:AO217" si="168">0.1*EXP(0.13*F186)</f>
        <v>1.8549632916690744</v>
      </c>
      <c r="AP186" s="24">
        <f>IF((OR(R186="A",R186="B",R186="C")),INDEX(Coefficients!$S$4:$S$22,MATCH(J186,Coefficients!$R$4:$R$22)),INDEX(Coefficients!$T$4:$T$22,MATCH(J186,Coefficients!$R$4:$R$22)))</f>
        <v>1.3</v>
      </c>
      <c r="AQ186" s="27">
        <f>IF((OR(R186="A",R186="B",R186="C")),INDEX(Coefficients!$S$4:$S$22,MATCH(K186,Coefficients!$R$4:$R$22)),INDEX(Coefficients!$T$4:$T$22,MATCH(K186,Coefficients!$R$4:$R$22)))</f>
        <v>25</v>
      </c>
      <c r="AR186" s="27">
        <f>IF(OR(R186="A",R186="B",R186="C",R186="D"),IF(AN186&gt;=11,IF(AN186&gt;=26,Coefficients!$M$6,Coefficients!$M$5),Coefficients!$M$4),IF(AN186&gt;=11,IF(AN186&gt;=26,Coefficients!$N$6,Coefficients!$N$5),Coefficients!$N$4))</f>
        <v>1</v>
      </c>
      <c r="AS186" s="27">
        <f>INDEX(Coefficients!$X$3:$X$4,MATCH(S186,Coefficients!$W$3:$W$4))</f>
        <v>1</v>
      </c>
      <c r="AT186" s="27">
        <f>INDEX(Coefficients!$X$7:$X$8,MATCH(O186,Coefficients!$W$7:$W$8))</f>
        <v>1</v>
      </c>
      <c r="AU186" s="27">
        <f>INDEX(Coefficients!$X$11:$X$12,MATCH(P186,Coefficients!$W$11:$W$12))</f>
        <v>1</v>
      </c>
      <c r="AV186" s="27">
        <f>INDEX(Coefficients!$X$15:$X$17,MATCH(Q186,Coefficients!$W$15:$W$17))</f>
        <v>1</v>
      </c>
      <c r="AW186" s="27">
        <f t="shared" si="160"/>
        <v>1</v>
      </c>
      <c r="AX186" s="27">
        <f t="shared" si="161"/>
        <v>1</v>
      </c>
      <c r="AY186" s="27">
        <f t="shared" si="162"/>
        <v>1.3</v>
      </c>
      <c r="AZ186" s="24">
        <f t="shared" si="163"/>
        <v>46.374082291726857</v>
      </c>
      <c r="BA186" s="24">
        <f t="shared" si="164"/>
        <v>0</v>
      </c>
      <c r="BB186" s="24">
        <f t="shared" si="165"/>
        <v>2.4114522791697968</v>
      </c>
      <c r="BC186" s="24">
        <f t="shared" si="166"/>
        <v>1.7588547720830203</v>
      </c>
      <c r="BD186" s="24">
        <f t="shared" ref="BD186:BD217" si="169">M186/AZ186+BA186</f>
        <v>0.43127538080830125</v>
      </c>
      <c r="BE186" s="16">
        <f t="shared" ref="BE186:BE217" si="170">IF(AM186&lt;=0,0,IF(AM186&gt;(BD186+BC186),M186+(AM186-BD186-BC186)*BB186,M186))</f>
        <v>79.827817188716239</v>
      </c>
      <c r="BF186" s="16">
        <f t="shared" ref="BF186:BF217" si="171">L186-2*BE186</f>
        <v>240.34436562256752</v>
      </c>
      <c r="BG186" s="25">
        <f t="shared" ref="BG186:BG217" si="172">IF(2*BE186&gt;(L186-N186),1,BE186/((L186-N186)/2))</f>
        <v>0.79827817188716244</v>
      </c>
      <c r="BH186" s="24">
        <f t="shared" ref="BH186:BH217" si="173">BE186*(1+$BF$1*$BF$2)</f>
        <v>175.62119781517575</v>
      </c>
      <c r="BI186" s="24">
        <f t="shared" ref="BI186:BI217" si="174">L186-2*BH186</f>
        <v>48.757604369648504</v>
      </c>
      <c r="BJ186" s="24">
        <f t="shared" ref="BJ186:BJ217" si="175">($BF$3/2-M186)/BB186+BD186+BC186</f>
        <v>35.36515944583757</v>
      </c>
    </row>
    <row r="187" spans="2:62">
      <c r="B187" s="24" t="s">
        <v>91</v>
      </c>
      <c r="C187" s="82" t="str">
        <f>'Hotter&amp;Drier'!$B$1</f>
        <v>CSIRO Mk3.5</v>
      </c>
      <c r="D187" s="89">
        <v>2033</v>
      </c>
      <c r="E187" s="57">
        <f>'Cooler&amp;Wetter'!AA61</f>
        <v>35.557499999999997</v>
      </c>
      <c r="F187" s="90">
        <f>'Hotter&amp;Drier'!AC61</f>
        <v>22.512499999999999</v>
      </c>
      <c r="G187" s="35">
        <f t="shared" si="156"/>
        <v>2005</v>
      </c>
      <c r="H187" s="91" t="str">
        <f t="shared" si="136"/>
        <v>Pile 32 @ Berth 201</v>
      </c>
      <c r="I187" s="35" t="str">
        <f t="shared" si="137"/>
        <v>Turpentine Gum</v>
      </c>
      <c r="J187" s="35" t="str">
        <f t="shared" si="138"/>
        <v>HW1</v>
      </c>
      <c r="K187" s="35" t="str">
        <f t="shared" si="157"/>
        <v>SPHU</v>
      </c>
      <c r="L187" s="35">
        <f t="shared" si="139"/>
        <v>400</v>
      </c>
      <c r="M187" s="35">
        <f t="shared" si="140"/>
        <v>20</v>
      </c>
      <c r="N187" s="35">
        <f t="shared" si="141"/>
        <v>200</v>
      </c>
      <c r="O187" s="35" t="str">
        <f t="shared" si="142"/>
        <v>MTN2</v>
      </c>
      <c r="P187" s="35" t="str">
        <f t="shared" si="143"/>
        <v>CNT2</v>
      </c>
      <c r="Q187" s="35" t="str">
        <f t="shared" si="144"/>
        <v>KNT3</v>
      </c>
      <c r="R187" s="35" t="str">
        <f t="shared" si="145"/>
        <v>E</v>
      </c>
      <c r="S187" s="35" t="str">
        <f t="shared" si="146"/>
        <v>EXP1</v>
      </c>
      <c r="T187" s="58"/>
      <c r="U187" s="58"/>
      <c r="V187" s="58"/>
      <c r="W187" s="58"/>
      <c r="X187" s="58"/>
      <c r="Y187" s="58"/>
      <c r="Z187" s="58"/>
      <c r="AA187" s="95">
        <f t="shared" si="104"/>
        <v>0.82634852128824721</v>
      </c>
      <c r="AB187" s="96">
        <f t="shared" si="158"/>
        <v>82.634852128824718</v>
      </c>
      <c r="AC187" s="58"/>
      <c r="AD187" s="58"/>
      <c r="AE187" s="58"/>
      <c r="AF187" s="58"/>
      <c r="AG187" s="58"/>
      <c r="AH187" s="58"/>
      <c r="AI187" s="58"/>
      <c r="AJ187" s="58"/>
      <c r="AK187" s="58"/>
      <c r="AL187" s="58"/>
      <c r="AM187" s="89">
        <f t="shared" si="159"/>
        <v>28</v>
      </c>
      <c r="AN187" s="26">
        <f t="shared" si="167"/>
        <v>35.557499999999997</v>
      </c>
      <c r="AO187" s="24">
        <f t="shared" si="168"/>
        <v>1.8664531283563712</v>
      </c>
      <c r="AP187" s="24">
        <f>IF((OR(R187="A",R187="B",R187="C")),INDEX(Coefficients!$S$4:$S$22,MATCH(J187,Coefficients!$R$4:$R$22)),INDEX(Coefficients!$T$4:$T$22,MATCH(J187,Coefficients!$R$4:$R$22)))</f>
        <v>1.3</v>
      </c>
      <c r="AQ187" s="27">
        <f>IF((OR(R187="A",R187="B",R187="C")),INDEX(Coefficients!$S$4:$S$22,MATCH(K187,Coefficients!$R$4:$R$22)),INDEX(Coefficients!$T$4:$T$22,MATCH(K187,Coefficients!$R$4:$R$22)))</f>
        <v>25</v>
      </c>
      <c r="AR187" s="27">
        <f>IF(OR(R187="A",R187="B",R187="C",R187="D"),IF(AN187&gt;=11,IF(AN187&gt;=26,Coefficients!$M$6,Coefficients!$M$5),Coefficients!$M$4),IF(AN187&gt;=11,IF(AN187&gt;=26,Coefficients!$N$6,Coefficients!$N$5),Coefficients!$N$4))</f>
        <v>1</v>
      </c>
      <c r="AS187" s="27">
        <f>INDEX(Coefficients!$X$3:$X$4,MATCH(S187,Coefficients!$W$3:$W$4))</f>
        <v>1</v>
      </c>
      <c r="AT187" s="27">
        <f>INDEX(Coefficients!$X$7:$X$8,MATCH(O187,Coefficients!$W$7:$W$8))</f>
        <v>1</v>
      </c>
      <c r="AU187" s="27">
        <f>INDEX(Coefficients!$X$11:$X$12,MATCH(P187,Coefficients!$W$11:$W$12))</f>
        <v>1</v>
      </c>
      <c r="AV187" s="27">
        <f>INDEX(Coefficients!$X$15:$X$17,MATCH(Q187,Coefficients!$W$15:$W$17))</f>
        <v>1</v>
      </c>
      <c r="AW187" s="27">
        <f t="shared" si="160"/>
        <v>1</v>
      </c>
      <c r="AX187" s="27">
        <f t="shared" si="161"/>
        <v>1</v>
      </c>
      <c r="AY187" s="27">
        <f t="shared" si="162"/>
        <v>1.3</v>
      </c>
      <c r="AZ187" s="24">
        <f t="shared" si="163"/>
        <v>46.661328208909282</v>
      </c>
      <c r="BA187" s="24">
        <f t="shared" si="164"/>
        <v>0</v>
      </c>
      <c r="BB187" s="24">
        <f t="shared" si="165"/>
        <v>2.4263890668632828</v>
      </c>
      <c r="BC187" s="24">
        <f t="shared" si="166"/>
        <v>1.7573610933136716</v>
      </c>
      <c r="BD187" s="24">
        <f t="shared" si="169"/>
        <v>0.4286204608333738</v>
      </c>
      <c r="BE187" s="16">
        <f t="shared" si="170"/>
        <v>82.634852128824718</v>
      </c>
      <c r="BF187" s="16">
        <f t="shared" si="171"/>
        <v>234.73029574235056</v>
      </c>
      <c r="BG187" s="25">
        <f t="shared" si="172"/>
        <v>0.82634852128824721</v>
      </c>
      <c r="BH187" s="24">
        <f t="shared" si="173"/>
        <v>181.79667468341441</v>
      </c>
      <c r="BI187" s="24">
        <f t="shared" si="174"/>
        <v>36.406650633171182</v>
      </c>
      <c r="BJ187" s="24">
        <f t="shared" si="175"/>
        <v>35.156786233637327</v>
      </c>
    </row>
    <row r="188" spans="2:62">
      <c r="B188" s="24" t="s">
        <v>91</v>
      </c>
      <c r="C188" s="82" t="str">
        <f>'Hotter&amp;Drier'!$B$1</f>
        <v>CSIRO Mk3.5</v>
      </c>
      <c r="D188" s="89">
        <v>2034</v>
      </c>
      <c r="E188" s="57">
        <f>'Cooler&amp;Wetter'!AA62</f>
        <v>35.56</v>
      </c>
      <c r="F188" s="90">
        <f>'Hotter&amp;Drier'!AC62</f>
        <v>22.56</v>
      </c>
      <c r="G188" s="35">
        <f t="shared" si="156"/>
        <v>2005</v>
      </c>
      <c r="H188" s="91" t="str">
        <f t="shared" si="136"/>
        <v>Pile 32 @ Berth 201</v>
      </c>
      <c r="I188" s="35" t="str">
        <f t="shared" si="137"/>
        <v>Turpentine Gum</v>
      </c>
      <c r="J188" s="35" t="str">
        <f t="shared" si="138"/>
        <v>HW1</v>
      </c>
      <c r="K188" s="35" t="str">
        <f t="shared" si="157"/>
        <v>SPHU</v>
      </c>
      <c r="L188" s="35">
        <f t="shared" si="139"/>
        <v>400</v>
      </c>
      <c r="M188" s="35">
        <f t="shared" si="140"/>
        <v>20</v>
      </c>
      <c r="N188" s="35">
        <f t="shared" si="141"/>
        <v>200</v>
      </c>
      <c r="O188" s="35" t="str">
        <f t="shared" si="142"/>
        <v>MTN2</v>
      </c>
      <c r="P188" s="35" t="str">
        <f t="shared" si="143"/>
        <v>CNT2</v>
      </c>
      <c r="Q188" s="35" t="str">
        <f t="shared" si="144"/>
        <v>KNT3</v>
      </c>
      <c r="R188" s="35" t="str">
        <f t="shared" si="145"/>
        <v>E</v>
      </c>
      <c r="S188" s="35" t="str">
        <f t="shared" si="146"/>
        <v>EXP1</v>
      </c>
      <c r="T188" s="58"/>
      <c r="U188" s="58"/>
      <c r="V188" s="58"/>
      <c r="W188" s="58"/>
      <c r="X188" s="58"/>
      <c r="Y188" s="58"/>
      <c r="Z188" s="58"/>
      <c r="AA188" s="95">
        <f t="shared" si="104"/>
        <v>0.8547434848169877</v>
      </c>
      <c r="AB188" s="96">
        <f t="shared" si="158"/>
        <v>85.474348481698769</v>
      </c>
      <c r="AC188" s="58"/>
      <c r="AD188" s="58"/>
      <c r="AE188" s="58"/>
      <c r="AF188" s="58"/>
      <c r="AG188" s="58"/>
      <c r="AH188" s="58"/>
      <c r="AI188" s="58"/>
      <c r="AJ188" s="58"/>
      <c r="AK188" s="58"/>
      <c r="AL188" s="58"/>
      <c r="AM188" s="89">
        <f t="shared" si="159"/>
        <v>29</v>
      </c>
      <c r="AN188" s="26">
        <f t="shared" si="167"/>
        <v>35.56</v>
      </c>
      <c r="AO188" s="24">
        <f t="shared" si="168"/>
        <v>1.8780141342941292</v>
      </c>
      <c r="AP188" s="24">
        <f>IF((OR(R188="A",R188="B",R188="C")),INDEX(Coefficients!$S$4:$S$22,MATCH(J188,Coefficients!$R$4:$R$22)),INDEX(Coefficients!$T$4:$T$22,MATCH(J188,Coefficients!$R$4:$R$22)))</f>
        <v>1.3</v>
      </c>
      <c r="AQ188" s="27">
        <f>IF((OR(R188="A",R188="B",R188="C")),INDEX(Coefficients!$S$4:$S$22,MATCH(K188,Coefficients!$R$4:$R$22)),INDEX(Coefficients!$T$4:$T$22,MATCH(K188,Coefficients!$R$4:$R$22)))</f>
        <v>25</v>
      </c>
      <c r="AR188" s="27">
        <f>IF(OR(R188="A",R188="B",R188="C",R188="D"),IF(AN188&gt;=11,IF(AN188&gt;=26,Coefficients!$M$6,Coefficients!$M$5),Coefficients!$M$4),IF(AN188&gt;=11,IF(AN188&gt;=26,Coefficients!$N$6,Coefficients!$N$5),Coefficients!$N$4))</f>
        <v>1</v>
      </c>
      <c r="AS188" s="27">
        <f>INDEX(Coefficients!$X$3:$X$4,MATCH(S188,Coefficients!$W$3:$W$4))</f>
        <v>1</v>
      </c>
      <c r="AT188" s="27">
        <f>INDEX(Coefficients!$X$7:$X$8,MATCH(O188,Coefficients!$W$7:$W$8))</f>
        <v>1</v>
      </c>
      <c r="AU188" s="27">
        <f>INDEX(Coefficients!$X$11:$X$12,MATCH(P188,Coefficients!$W$11:$W$12))</f>
        <v>1</v>
      </c>
      <c r="AV188" s="27">
        <f>INDEX(Coefficients!$X$15:$X$17,MATCH(Q188,Coefficients!$W$15:$W$17))</f>
        <v>1</v>
      </c>
      <c r="AW188" s="27">
        <f t="shared" si="160"/>
        <v>1</v>
      </c>
      <c r="AX188" s="27">
        <f t="shared" si="161"/>
        <v>1</v>
      </c>
      <c r="AY188" s="27">
        <f t="shared" si="162"/>
        <v>1.3</v>
      </c>
      <c r="AZ188" s="24">
        <f t="shared" si="163"/>
        <v>46.950353357353229</v>
      </c>
      <c r="BA188" s="24">
        <f t="shared" si="164"/>
        <v>0</v>
      </c>
      <c r="BB188" s="24">
        <f t="shared" si="165"/>
        <v>2.4414183745823679</v>
      </c>
      <c r="BC188" s="24">
        <f t="shared" si="166"/>
        <v>1.7558581625417631</v>
      </c>
      <c r="BD188" s="24">
        <f t="shared" si="169"/>
        <v>0.42598188447643831</v>
      </c>
      <c r="BE188" s="16">
        <f t="shared" si="170"/>
        <v>85.474348481698769</v>
      </c>
      <c r="BF188" s="16">
        <f t="shared" si="171"/>
        <v>229.05130303660246</v>
      </c>
      <c r="BG188" s="25">
        <f t="shared" si="172"/>
        <v>0.8547434848169877</v>
      </c>
      <c r="BH188" s="24">
        <f t="shared" si="173"/>
        <v>188.04356665973731</v>
      </c>
      <c r="BI188" s="24">
        <f t="shared" si="174"/>
        <v>23.912866680525383</v>
      </c>
      <c r="BJ188" s="24">
        <f t="shared" si="175"/>
        <v>34.949677314436528</v>
      </c>
    </row>
    <row r="189" spans="2:62">
      <c r="B189" s="24" t="s">
        <v>91</v>
      </c>
      <c r="C189" s="82" t="str">
        <f>'Hotter&amp;Drier'!$B$1</f>
        <v>CSIRO Mk3.5</v>
      </c>
      <c r="D189" s="89">
        <v>2035</v>
      </c>
      <c r="E189" s="57">
        <f>'Cooler&amp;Wetter'!AA63</f>
        <v>35.5625</v>
      </c>
      <c r="F189" s="90">
        <f>'Hotter&amp;Drier'!AC63</f>
        <v>22.607500000000002</v>
      </c>
      <c r="G189" s="35">
        <f t="shared" si="156"/>
        <v>2005</v>
      </c>
      <c r="H189" s="91" t="str">
        <f t="shared" si="136"/>
        <v>Pile 32 @ Berth 201</v>
      </c>
      <c r="I189" s="35" t="str">
        <f t="shared" si="137"/>
        <v>Turpentine Gum</v>
      </c>
      <c r="J189" s="35" t="str">
        <f t="shared" si="138"/>
        <v>HW1</v>
      </c>
      <c r="K189" s="35" t="str">
        <f t="shared" si="157"/>
        <v>SPHU</v>
      </c>
      <c r="L189" s="35">
        <f t="shared" si="139"/>
        <v>400</v>
      </c>
      <c r="M189" s="35">
        <f t="shared" si="140"/>
        <v>20</v>
      </c>
      <c r="N189" s="35">
        <f t="shared" si="141"/>
        <v>200</v>
      </c>
      <c r="O189" s="35" t="str">
        <f t="shared" si="142"/>
        <v>MTN2</v>
      </c>
      <c r="P189" s="35" t="str">
        <f t="shared" si="143"/>
        <v>CNT2</v>
      </c>
      <c r="Q189" s="35" t="str">
        <f t="shared" si="144"/>
        <v>KNT3</v>
      </c>
      <c r="R189" s="35" t="str">
        <f t="shared" si="145"/>
        <v>E</v>
      </c>
      <c r="S189" s="35" t="str">
        <f t="shared" si="146"/>
        <v>EXP1</v>
      </c>
      <c r="T189" s="58"/>
      <c r="U189" s="58"/>
      <c r="V189" s="58"/>
      <c r="W189" s="58"/>
      <c r="X189" s="58"/>
      <c r="Y189" s="58"/>
      <c r="Z189" s="58"/>
      <c r="AA189" s="95">
        <f t="shared" si="104"/>
        <v>0.88346600969484723</v>
      </c>
      <c r="AB189" s="96">
        <f t="shared" si="158"/>
        <v>88.346600969484726</v>
      </c>
      <c r="AC189" s="58"/>
      <c r="AD189" s="58"/>
      <c r="AE189" s="58"/>
      <c r="AF189" s="58"/>
      <c r="AG189" s="58"/>
      <c r="AH189" s="58"/>
      <c r="AI189" s="58"/>
      <c r="AJ189" s="58"/>
      <c r="AK189" s="58"/>
      <c r="AL189" s="58"/>
      <c r="AM189" s="89">
        <f t="shared" si="159"/>
        <v>30</v>
      </c>
      <c r="AN189" s="26">
        <f t="shared" si="167"/>
        <v>35.5625</v>
      </c>
      <c r="AO189" s="24">
        <f t="shared" si="168"/>
        <v>1.8896467503121319</v>
      </c>
      <c r="AP189" s="24">
        <f>IF((OR(R189="A",R189="B",R189="C")),INDEX(Coefficients!$S$4:$S$22,MATCH(J189,Coefficients!$R$4:$R$22)),INDEX(Coefficients!$T$4:$T$22,MATCH(J189,Coefficients!$R$4:$R$22)))</f>
        <v>1.3</v>
      </c>
      <c r="AQ189" s="27">
        <f>IF((OR(R189="A",R189="B",R189="C")),INDEX(Coefficients!$S$4:$S$22,MATCH(K189,Coefficients!$R$4:$R$22)),INDEX(Coefficients!$T$4:$T$22,MATCH(K189,Coefficients!$R$4:$R$22)))</f>
        <v>25</v>
      </c>
      <c r="AR189" s="27">
        <f>IF(OR(R189="A",R189="B",R189="C",R189="D"),IF(AN189&gt;=11,IF(AN189&gt;=26,Coefficients!$M$6,Coefficients!$M$5),Coefficients!$M$4),IF(AN189&gt;=11,IF(AN189&gt;=26,Coefficients!$N$6,Coefficients!$N$5),Coefficients!$N$4))</f>
        <v>1</v>
      </c>
      <c r="AS189" s="27">
        <f>INDEX(Coefficients!$X$3:$X$4,MATCH(S189,Coefficients!$W$3:$W$4))</f>
        <v>1</v>
      </c>
      <c r="AT189" s="27">
        <f>INDEX(Coefficients!$X$7:$X$8,MATCH(O189,Coefficients!$W$7:$W$8))</f>
        <v>1</v>
      </c>
      <c r="AU189" s="27">
        <f>INDEX(Coefficients!$X$11:$X$12,MATCH(P189,Coefficients!$W$11:$W$12))</f>
        <v>1</v>
      </c>
      <c r="AV189" s="27">
        <f>INDEX(Coefficients!$X$15:$X$17,MATCH(Q189,Coefficients!$W$15:$W$17))</f>
        <v>1</v>
      </c>
      <c r="AW189" s="27">
        <f t="shared" si="160"/>
        <v>1</v>
      </c>
      <c r="AX189" s="27">
        <f t="shared" si="161"/>
        <v>1</v>
      </c>
      <c r="AY189" s="27">
        <f t="shared" si="162"/>
        <v>1.3</v>
      </c>
      <c r="AZ189" s="24">
        <f t="shared" si="163"/>
        <v>47.241168757803301</v>
      </c>
      <c r="BA189" s="24">
        <f t="shared" si="164"/>
        <v>0</v>
      </c>
      <c r="BB189" s="24">
        <f t="shared" si="165"/>
        <v>2.4565407754057715</v>
      </c>
      <c r="BC189" s="24">
        <f t="shared" si="166"/>
        <v>1.7543459224594229</v>
      </c>
      <c r="BD189" s="24">
        <f t="shared" si="169"/>
        <v>0.42335955112660922</v>
      </c>
      <c r="BE189" s="16">
        <f t="shared" si="170"/>
        <v>88.346600969484726</v>
      </c>
      <c r="BF189" s="16">
        <f t="shared" si="171"/>
        <v>223.30679806103055</v>
      </c>
      <c r="BG189" s="25">
        <f t="shared" si="172"/>
        <v>0.88346600969484723</v>
      </c>
      <c r="BH189" s="24">
        <f t="shared" si="173"/>
        <v>194.36252213286642</v>
      </c>
      <c r="BI189" s="24">
        <f t="shared" si="174"/>
        <v>11.274955734267166</v>
      </c>
      <c r="BJ189" s="24">
        <f t="shared" si="175"/>
        <v>34.743824791017509</v>
      </c>
    </row>
    <row r="190" spans="2:62">
      <c r="B190" s="24" t="s">
        <v>91</v>
      </c>
      <c r="C190" s="82" t="str">
        <f>'Hotter&amp;Drier'!$B$1</f>
        <v>CSIRO Mk3.5</v>
      </c>
      <c r="D190" s="89">
        <v>2036</v>
      </c>
      <c r="E190" s="57">
        <f>'Cooler&amp;Wetter'!AA64</f>
        <v>35.564999999999998</v>
      </c>
      <c r="F190" s="90">
        <f>'Hotter&amp;Drier'!AC64</f>
        <v>22.655000000000001</v>
      </c>
      <c r="G190" s="35">
        <f t="shared" si="156"/>
        <v>2005</v>
      </c>
      <c r="H190" s="91" t="str">
        <f t="shared" si="136"/>
        <v>Pile 32 @ Berth 201</v>
      </c>
      <c r="I190" s="35" t="str">
        <f t="shared" si="137"/>
        <v>Turpentine Gum</v>
      </c>
      <c r="J190" s="35" t="str">
        <f t="shared" si="138"/>
        <v>HW1</v>
      </c>
      <c r="K190" s="35" t="str">
        <f t="shared" si="157"/>
        <v>SPHU</v>
      </c>
      <c r="L190" s="35">
        <f t="shared" si="139"/>
        <v>400</v>
      </c>
      <c r="M190" s="35">
        <f t="shared" si="140"/>
        <v>20</v>
      </c>
      <c r="N190" s="35">
        <f t="shared" si="141"/>
        <v>200</v>
      </c>
      <c r="O190" s="35" t="str">
        <f t="shared" si="142"/>
        <v>MTN2</v>
      </c>
      <c r="P190" s="35" t="str">
        <f t="shared" si="143"/>
        <v>CNT2</v>
      </c>
      <c r="Q190" s="35" t="str">
        <f t="shared" si="144"/>
        <v>KNT3</v>
      </c>
      <c r="R190" s="35" t="str">
        <f t="shared" si="145"/>
        <v>E</v>
      </c>
      <c r="S190" s="35" t="str">
        <f t="shared" si="146"/>
        <v>EXP1</v>
      </c>
      <c r="T190" s="58"/>
      <c r="U190" s="58"/>
      <c r="V190" s="58"/>
      <c r="W190" s="58"/>
      <c r="X190" s="58"/>
      <c r="Y190" s="58"/>
      <c r="Z190" s="58"/>
      <c r="AA190" s="95">
        <f t="shared" si="104"/>
        <v>0.91251906723451626</v>
      </c>
      <c r="AB190" s="96">
        <f t="shared" si="158"/>
        <v>91.251906723451626</v>
      </c>
      <c r="AC190" s="58"/>
      <c r="AD190" s="58"/>
      <c r="AE190" s="58"/>
      <c r="AF190" s="58"/>
      <c r="AG190" s="58"/>
      <c r="AH190" s="58"/>
      <c r="AI190" s="58"/>
      <c r="AJ190" s="58"/>
      <c r="AK190" s="58"/>
      <c r="AL190" s="58"/>
      <c r="AM190" s="89">
        <f t="shared" si="159"/>
        <v>31</v>
      </c>
      <c r="AN190" s="26">
        <f t="shared" si="167"/>
        <v>35.564999999999998</v>
      </c>
      <c r="AO190" s="24">
        <f t="shared" si="168"/>
        <v>1.9013514199707069</v>
      </c>
      <c r="AP190" s="24">
        <f>IF((OR(R190="A",R190="B",R190="C")),INDEX(Coefficients!$S$4:$S$22,MATCH(J190,Coefficients!$R$4:$R$22)),INDEX(Coefficients!$T$4:$T$22,MATCH(J190,Coefficients!$R$4:$R$22)))</f>
        <v>1.3</v>
      </c>
      <c r="AQ190" s="27">
        <f>IF((OR(R190="A",R190="B",R190="C")),INDEX(Coefficients!$S$4:$S$22,MATCH(K190,Coefficients!$R$4:$R$22)),INDEX(Coefficients!$T$4:$T$22,MATCH(K190,Coefficients!$R$4:$R$22)))</f>
        <v>25</v>
      </c>
      <c r="AR190" s="27">
        <f>IF(OR(R190="A",R190="B",R190="C",R190="D"),IF(AN190&gt;=11,IF(AN190&gt;=26,Coefficients!$M$6,Coefficients!$M$5),Coefficients!$M$4),IF(AN190&gt;=11,IF(AN190&gt;=26,Coefficients!$N$6,Coefficients!$N$5),Coefficients!$N$4))</f>
        <v>1</v>
      </c>
      <c r="AS190" s="27">
        <f>INDEX(Coefficients!$X$3:$X$4,MATCH(S190,Coefficients!$W$3:$W$4))</f>
        <v>1</v>
      </c>
      <c r="AT190" s="27">
        <f>INDEX(Coefficients!$X$7:$X$8,MATCH(O190,Coefficients!$W$7:$W$8))</f>
        <v>1</v>
      </c>
      <c r="AU190" s="27">
        <f>INDEX(Coefficients!$X$11:$X$12,MATCH(P190,Coefficients!$W$11:$W$12))</f>
        <v>1</v>
      </c>
      <c r="AV190" s="27">
        <f>INDEX(Coefficients!$X$15:$X$17,MATCH(Q190,Coefficients!$W$15:$W$17))</f>
        <v>1</v>
      </c>
      <c r="AW190" s="27">
        <f t="shared" si="160"/>
        <v>1</v>
      </c>
      <c r="AX190" s="27">
        <f t="shared" si="161"/>
        <v>1</v>
      </c>
      <c r="AY190" s="27">
        <f t="shared" si="162"/>
        <v>1.3</v>
      </c>
      <c r="AZ190" s="24">
        <f t="shared" si="163"/>
        <v>47.533785499267672</v>
      </c>
      <c r="BA190" s="24">
        <f t="shared" si="164"/>
        <v>0</v>
      </c>
      <c r="BB190" s="24">
        <f t="shared" si="165"/>
        <v>2.4717568459619192</v>
      </c>
      <c r="BC190" s="24">
        <f t="shared" si="166"/>
        <v>1.7528243154038081</v>
      </c>
      <c r="BD190" s="24">
        <f t="shared" si="169"/>
        <v>0.42075336079235953</v>
      </c>
      <c r="BE190" s="16">
        <f t="shared" si="170"/>
        <v>91.251906723451626</v>
      </c>
      <c r="BF190" s="16">
        <f t="shared" si="171"/>
        <v>217.49618655309675</v>
      </c>
      <c r="BG190" s="25">
        <f t="shared" si="172"/>
        <v>0.91251906723451626</v>
      </c>
      <c r="BH190" s="24">
        <f t="shared" si="173"/>
        <v>200.75419479159359</v>
      </c>
      <c r="BI190" s="24">
        <f t="shared" si="174"/>
        <v>-1.5083895831871814</v>
      </c>
      <c r="BJ190" s="24">
        <f t="shared" si="175"/>
        <v>34.539220814069978</v>
      </c>
    </row>
    <row r="191" spans="2:62">
      <c r="B191" s="24" t="s">
        <v>91</v>
      </c>
      <c r="C191" s="82" t="str">
        <f>'Hotter&amp;Drier'!$B$1</f>
        <v>CSIRO Mk3.5</v>
      </c>
      <c r="D191" s="89">
        <v>2037</v>
      </c>
      <c r="E191" s="57">
        <f>'Cooler&amp;Wetter'!AA65</f>
        <v>35.567500000000003</v>
      </c>
      <c r="F191" s="90">
        <f>'Hotter&amp;Drier'!AC65</f>
        <v>22.702500000000001</v>
      </c>
      <c r="G191" s="35">
        <f t="shared" si="156"/>
        <v>2005</v>
      </c>
      <c r="H191" s="91" t="str">
        <f t="shared" si="136"/>
        <v>Pile 32 @ Berth 201</v>
      </c>
      <c r="I191" s="35" t="str">
        <f t="shared" si="137"/>
        <v>Turpentine Gum</v>
      </c>
      <c r="J191" s="35" t="str">
        <f t="shared" si="138"/>
        <v>HW1</v>
      </c>
      <c r="K191" s="35" t="str">
        <f t="shared" si="157"/>
        <v>SPHU</v>
      </c>
      <c r="L191" s="35">
        <f t="shared" si="139"/>
        <v>400</v>
      </c>
      <c r="M191" s="35">
        <f t="shared" si="140"/>
        <v>20</v>
      </c>
      <c r="N191" s="35">
        <f t="shared" si="141"/>
        <v>200</v>
      </c>
      <c r="O191" s="35" t="str">
        <f t="shared" si="142"/>
        <v>MTN2</v>
      </c>
      <c r="P191" s="35" t="str">
        <f t="shared" si="143"/>
        <v>CNT2</v>
      </c>
      <c r="Q191" s="35" t="str">
        <f t="shared" si="144"/>
        <v>KNT3</v>
      </c>
      <c r="R191" s="35" t="str">
        <f t="shared" si="145"/>
        <v>E</v>
      </c>
      <c r="S191" s="35" t="str">
        <f t="shared" si="146"/>
        <v>EXP1</v>
      </c>
      <c r="T191" s="58"/>
      <c r="U191" s="58"/>
      <c r="V191" s="58"/>
      <c r="W191" s="58"/>
      <c r="X191" s="58"/>
      <c r="Y191" s="58"/>
      <c r="Z191" s="58"/>
      <c r="AA191" s="95">
        <f t="shared" si="104"/>
        <v>0.94190565302571827</v>
      </c>
      <c r="AB191" s="96">
        <f t="shared" si="158"/>
        <v>94.190565302571827</v>
      </c>
      <c r="AC191" s="58"/>
      <c r="AD191" s="58"/>
      <c r="AE191" s="58"/>
      <c r="AF191" s="58"/>
      <c r="AG191" s="58"/>
      <c r="AH191" s="58"/>
      <c r="AI191" s="58"/>
      <c r="AJ191" s="58"/>
      <c r="AK191" s="58"/>
      <c r="AL191" s="58"/>
      <c r="AM191" s="89">
        <f t="shared" si="159"/>
        <v>32</v>
      </c>
      <c r="AN191" s="26">
        <f t="shared" si="167"/>
        <v>35.567500000000003</v>
      </c>
      <c r="AO191" s="24">
        <f t="shared" si="168"/>
        <v>1.9131285895776409</v>
      </c>
      <c r="AP191" s="24">
        <f>IF((OR(R191="A",R191="B",R191="C")),INDEX(Coefficients!$S$4:$S$22,MATCH(J191,Coefficients!$R$4:$R$22)),INDEX(Coefficients!$T$4:$T$22,MATCH(J191,Coefficients!$R$4:$R$22)))</f>
        <v>1.3</v>
      </c>
      <c r="AQ191" s="27">
        <f>IF((OR(R191="A",R191="B",R191="C")),INDEX(Coefficients!$S$4:$S$22,MATCH(K191,Coefficients!$R$4:$R$22)),INDEX(Coefficients!$T$4:$T$22,MATCH(K191,Coefficients!$R$4:$R$22)))</f>
        <v>25</v>
      </c>
      <c r="AR191" s="27">
        <f>IF(OR(R191="A",R191="B",R191="C",R191="D"),IF(AN191&gt;=11,IF(AN191&gt;=26,Coefficients!$M$6,Coefficients!$M$5),Coefficients!$M$4),IF(AN191&gt;=11,IF(AN191&gt;=26,Coefficients!$N$6,Coefficients!$N$5),Coefficients!$N$4))</f>
        <v>1</v>
      </c>
      <c r="AS191" s="27">
        <f>INDEX(Coefficients!$X$3:$X$4,MATCH(S191,Coefficients!$W$3:$W$4))</f>
        <v>1</v>
      </c>
      <c r="AT191" s="27">
        <f>INDEX(Coefficients!$X$7:$X$8,MATCH(O191,Coefficients!$W$7:$W$8))</f>
        <v>1</v>
      </c>
      <c r="AU191" s="27">
        <f>INDEX(Coefficients!$X$11:$X$12,MATCH(P191,Coefficients!$W$11:$W$12))</f>
        <v>1</v>
      </c>
      <c r="AV191" s="27">
        <f>INDEX(Coefficients!$X$15:$X$17,MATCH(Q191,Coefficients!$W$15:$W$17))</f>
        <v>1</v>
      </c>
      <c r="AW191" s="27">
        <f t="shared" si="160"/>
        <v>1</v>
      </c>
      <c r="AX191" s="27">
        <f t="shared" si="161"/>
        <v>1</v>
      </c>
      <c r="AY191" s="27">
        <f t="shared" si="162"/>
        <v>1.3</v>
      </c>
      <c r="AZ191" s="24">
        <f t="shared" si="163"/>
        <v>47.828214739441023</v>
      </c>
      <c r="BA191" s="24">
        <f t="shared" si="164"/>
        <v>0</v>
      </c>
      <c r="BB191" s="24">
        <f t="shared" si="165"/>
        <v>2.4870671664509332</v>
      </c>
      <c r="BC191" s="24">
        <f t="shared" si="166"/>
        <v>1.7512932833549066</v>
      </c>
      <c r="BD191" s="24">
        <f t="shared" si="169"/>
        <v>0.41816321409770735</v>
      </c>
      <c r="BE191" s="16">
        <f t="shared" si="170"/>
        <v>94.190565302571827</v>
      </c>
      <c r="BF191" s="16">
        <f t="shared" si="171"/>
        <v>211.61886939485635</v>
      </c>
      <c r="BG191" s="25">
        <f t="shared" si="172"/>
        <v>0.94190565302571827</v>
      </c>
      <c r="BH191" s="24">
        <f t="shared" si="173"/>
        <v>207.21924366565804</v>
      </c>
      <c r="BI191" s="24">
        <f t="shared" si="174"/>
        <v>-14.438487331316082</v>
      </c>
      <c r="BJ191" s="24">
        <f t="shared" si="175"/>
        <v>34.335857581891645</v>
      </c>
    </row>
    <row r="192" spans="2:62">
      <c r="B192" s="24" t="s">
        <v>91</v>
      </c>
      <c r="C192" s="82" t="str">
        <f>'Hotter&amp;Drier'!$B$1</f>
        <v>CSIRO Mk3.5</v>
      </c>
      <c r="D192" s="89">
        <v>2038</v>
      </c>
      <c r="E192" s="57">
        <f>'Cooler&amp;Wetter'!AA66</f>
        <v>35.57</v>
      </c>
      <c r="F192" s="90">
        <f>'Hotter&amp;Drier'!AC66</f>
        <v>22.75</v>
      </c>
      <c r="G192" s="35">
        <f t="shared" si="156"/>
        <v>2005</v>
      </c>
      <c r="H192" s="91" t="str">
        <f t="shared" si="136"/>
        <v>Pile 32 @ Berth 201</v>
      </c>
      <c r="I192" s="35" t="str">
        <f t="shared" si="137"/>
        <v>Turpentine Gum</v>
      </c>
      <c r="J192" s="35" t="str">
        <f t="shared" si="138"/>
        <v>HW1</v>
      </c>
      <c r="K192" s="35" t="str">
        <f t="shared" si="157"/>
        <v>SPHU</v>
      </c>
      <c r="L192" s="35">
        <f t="shared" si="139"/>
        <v>400</v>
      </c>
      <c r="M192" s="35">
        <f t="shared" si="140"/>
        <v>20</v>
      </c>
      <c r="N192" s="35">
        <f t="shared" si="141"/>
        <v>200</v>
      </c>
      <c r="O192" s="35" t="str">
        <f t="shared" si="142"/>
        <v>MTN2</v>
      </c>
      <c r="P192" s="35" t="str">
        <f t="shared" si="143"/>
        <v>CNT2</v>
      </c>
      <c r="Q192" s="35" t="str">
        <f t="shared" si="144"/>
        <v>KNT3</v>
      </c>
      <c r="R192" s="35" t="str">
        <f t="shared" si="145"/>
        <v>E</v>
      </c>
      <c r="S192" s="35" t="str">
        <f t="shared" si="146"/>
        <v>EXP1</v>
      </c>
      <c r="T192" s="58"/>
      <c r="U192" s="58"/>
      <c r="V192" s="58"/>
      <c r="W192" s="58"/>
      <c r="X192" s="58"/>
      <c r="Y192" s="58"/>
      <c r="Z192" s="58"/>
      <c r="AA192" s="95">
        <f t="shared" si="104"/>
        <v>0.97162878712239886</v>
      </c>
      <c r="AB192" s="96">
        <f t="shared" si="158"/>
        <v>97.162878712239888</v>
      </c>
      <c r="AC192" s="58"/>
      <c r="AD192" s="58"/>
      <c r="AE192" s="58"/>
      <c r="AF192" s="58"/>
      <c r="AG192" s="58"/>
      <c r="AH192" s="58"/>
      <c r="AI192" s="58"/>
      <c r="AJ192" s="58"/>
      <c r="AK192" s="58"/>
      <c r="AL192" s="58"/>
      <c r="AM192" s="89">
        <f t="shared" si="159"/>
        <v>33</v>
      </c>
      <c r="AN192" s="26">
        <f t="shared" si="167"/>
        <v>35.57</v>
      </c>
      <c r="AO192" s="24">
        <f t="shared" si="168"/>
        <v>1.9249787082051999</v>
      </c>
      <c r="AP192" s="24">
        <f>IF((OR(R192="A",R192="B",R192="C")),INDEX(Coefficients!$S$4:$S$22,MATCH(J192,Coefficients!$R$4:$R$22)),INDEX(Coefficients!$T$4:$T$22,MATCH(J192,Coefficients!$R$4:$R$22)))</f>
        <v>1.3</v>
      </c>
      <c r="AQ192" s="27">
        <f>IF((OR(R192="A",R192="B",R192="C")),INDEX(Coefficients!$S$4:$S$22,MATCH(K192,Coefficients!$R$4:$R$22)),INDEX(Coefficients!$T$4:$T$22,MATCH(K192,Coefficients!$R$4:$R$22)))</f>
        <v>25</v>
      </c>
      <c r="AR192" s="27">
        <f>IF(OR(R192="A",R192="B",R192="C",R192="D"),IF(AN192&gt;=11,IF(AN192&gt;=26,Coefficients!$M$6,Coefficients!$M$5),Coefficients!$M$4),IF(AN192&gt;=11,IF(AN192&gt;=26,Coefficients!$N$6,Coefficients!$N$5),Coefficients!$N$4))</f>
        <v>1</v>
      </c>
      <c r="AS192" s="27">
        <f>INDEX(Coefficients!$X$3:$X$4,MATCH(S192,Coefficients!$W$3:$W$4))</f>
        <v>1</v>
      </c>
      <c r="AT192" s="27">
        <f>INDEX(Coefficients!$X$7:$X$8,MATCH(O192,Coefficients!$W$7:$W$8))</f>
        <v>1</v>
      </c>
      <c r="AU192" s="27">
        <f>INDEX(Coefficients!$X$11:$X$12,MATCH(P192,Coefficients!$W$11:$W$12))</f>
        <v>1</v>
      </c>
      <c r="AV192" s="27">
        <f>INDEX(Coefficients!$X$15:$X$17,MATCH(Q192,Coefficients!$W$15:$W$17))</f>
        <v>1</v>
      </c>
      <c r="AW192" s="27">
        <f t="shared" si="160"/>
        <v>1</v>
      </c>
      <c r="AX192" s="27">
        <f t="shared" si="161"/>
        <v>1</v>
      </c>
      <c r="AY192" s="27">
        <f t="shared" si="162"/>
        <v>1.3</v>
      </c>
      <c r="AZ192" s="24">
        <f t="shared" si="163"/>
        <v>48.124467705129994</v>
      </c>
      <c r="BA192" s="24">
        <f t="shared" si="164"/>
        <v>0</v>
      </c>
      <c r="BB192" s="24">
        <f t="shared" si="165"/>
        <v>2.5024723206667598</v>
      </c>
      <c r="BC192" s="24">
        <f t="shared" si="166"/>
        <v>1.749752767933324</v>
      </c>
      <c r="BD192" s="24">
        <f t="shared" si="169"/>
        <v>0.41558901227842632</v>
      </c>
      <c r="BE192" s="16">
        <f t="shared" si="170"/>
        <v>97.162878712239888</v>
      </c>
      <c r="BF192" s="16">
        <f t="shared" si="171"/>
        <v>205.67424257552022</v>
      </c>
      <c r="BG192" s="25">
        <f t="shared" si="172"/>
        <v>0.97162878712239886</v>
      </c>
      <c r="BH192" s="24">
        <f t="shared" si="173"/>
        <v>213.75833316692777</v>
      </c>
      <c r="BI192" s="24">
        <f t="shared" si="174"/>
        <v>-27.51666633385554</v>
      </c>
      <c r="BJ192" s="24">
        <f t="shared" si="175"/>
        <v>34.133727340090694</v>
      </c>
    </row>
    <row r="193" spans="2:62">
      <c r="B193" s="24" t="s">
        <v>91</v>
      </c>
      <c r="C193" s="82" t="str">
        <f>'Hotter&amp;Drier'!$B$1</f>
        <v>CSIRO Mk3.5</v>
      </c>
      <c r="D193" s="89">
        <v>2039</v>
      </c>
      <c r="E193" s="57">
        <f>'Cooler&amp;Wetter'!AA67</f>
        <v>35.572499999999998</v>
      </c>
      <c r="F193" s="90">
        <f>'Hotter&amp;Drier'!AC67</f>
        <v>22.797499999999999</v>
      </c>
      <c r="G193" s="35">
        <f t="shared" si="156"/>
        <v>2005</v>
      </c>
      <c r="H193" s="91" t="str">
        <f t="shared" si="136"/>
        <v>Pile 32 @ Berth 201</v>
      </c>
      <c r="I193" s="35" t="str">
        <f t="shared" si="137"/>
        <v>Turpentine Gum</v>
      </c>
      <c r="J193" s="35" t="str">
        <f t="shared" si="138"/>
        <v>HW1</v>
      </c>
      <c r="K193" s="35" t="str">
        <f t="shared" si="157"/>
        <v>SPHU</v>
      </c>
      <c r="L193" s="35">
        <f t="shared" si="139"/>
        <v>400</v>
      </c>
      <c r="M193" s="35">
        <f t="shared" si="140"/>
        <v>20</v>
      </c>
      <c r="N193" s="35">
        <f t="shared" si="141"/>
        <v>200</v>
      </c>
      <c r="O193" s="35" t="str">
        <f t="shared" si="142"/>
        <v>MTN2</v>
      </c>
      <c r="P193" s="35" t="str">
        <f t="shared" si="143"/>
        <v>CNT2</v>
      </c>
      <c r="Q193" s="35" t="str">
        <f t="shared" si="144"/>
        <v>KNT3</v>
      </c>
      <c r="R193" s="35" t="str">
        <f t="shared" si="145"/>
        <v>E</v>
      </c>
      <c r="S193" s="35" t="str">
        <f t="shared" si="146"/>
        <v>EXP1</v>
      </c>
      <c r="T193" s="58"/>
      <c r="U193" s="58"/>
      <c r="V193" s="58"/>
      <c r="W193" s="58"/>
      <c r="X193" s="58"/>
      <c r="Y193" s="58"/>
      <c r="Z193" s="58"/>
      <c r="AA193" s="95">
        <f t="shared" si="104"/>
        <v>1</v>
      </c>
      <c r="AB193" s="96">
        <f t="shared" si="158"/>
        <v>100.1691514231304</v>
      </c>
      <c r="AC193" s="58"/>
      <c r="AD193" s="58"/>
      <c r="AE193" s="58"/>
      <c r="AF193" s="58"/>
      <c r="AG193" s="58"/>
      <c r="AH193" s="58"/>
      <c r="AI193" s="58"/>
      <c r="AJ193" s="58"/>
      <c r="AK193" s="58"/>
      <c r="AL193" s="58"/>
      <c r="AM193" s="89">
        <f t="shared" si="159"/>
        <v>34</v>
      </c>
      <c r="AN193" s="26">
        <f t="shared" si="167"/>
        <v>35.572499999999998</v>
      </c>
      <c r="AO193" s="24">
        <f t="shared" si="168"/>
        <v>1.936902227707249</v>
      </c>
      <c r="AP193" s="24">
        <f>IF((OR(R193="A",R193="B",R193="C")),INDEX(Coefficients!$S$4:$S$22,MATCH(J193,Coefficients!$R$4:$R$22)),INDEX(Coefficients!$T$4:$T$22,MATCH(J193,Coefficients!$R$4:$R$22)))</f>
        <v>1.3</v>
      </c>
      <c r="AQ193" s="27">
        <f>IF((OR(R193="A",R193="B",R193="C")),INDEX(Coefficients!$S$4:$S$22,MATCH(K193,Coefficients!$R$4:$R$22)),INDEX(Coefficients!$T$4:$T$22,MATCH(K193,Coefficients!$R$4:$R$22)))</f>
        <v>25</v>
      </c>
      <c r="AR193" s="27">
        <f>IF(OR(R193="A",R193="B",R193="C",R193="D"),IF(AN193&gt;=11,IF(AN193&gt;=26,Coefficients!$M$6,Coefficients!$M$5),Coefficients!$M$4),IF(AN193&gt;=11,IF(AN193&gt;=26,Coefficients!$N$6,Coefficients!$N$5),Coefficients!$N$4))</f>
        <v>1</v>
      </c>
      <c r="AS193" s="27">
        <f>INDEX(Coefficients!$X$3:$X$4,MATCH(S193,Coefficients!$W$3:$W$4))</f>
        <v>1</v>
      </c>
      <c r="AT193" s="27">
        <f>INDEX(Coefficients!$X$7:$X$8,MATCH(O193,Coefficients!$W$7:$W$8))</f>
        <v>1</v>
      </c>
      <c r="AU193" s="27">
        <f>INDEX(Coefficients!$X$11:$X$12,MATCH(P193,Coefficients!$W$11:$W$12))</f>
        <v>1</v>
      </c>
      <c r="AV193" s="27">
        <f>INDEX(Coefficients!$X$15:$X$17,MATCH(Q193,Coefficients!$W$15:$W$17))</f>
        <v>1</v>
      </c>
      <c r="AW193" s="27">
        <f t="shared" si="160"/>
        <v>1</v>
      </c>
      <c r="AX193" s="27">
        <f t="shared" si="161"/>
        <v>1</v>
      </c>
      <c r="AY193" s="27">
        <f t="shared" si="162"/>
        <v>1.3</v>
      </c>
      <c r="AZ193" s="24">
        <f t="shared" si="163"/>
        <v>48.422555692681222</v>
      </c>
      <c r="BA193" s="24">
        <f t="shared" si="164"/>
        <v>0</v>
      </c>
      <c r="BB193" s="24">
        <f t="shared" si="165"/>
        <v>2.5179728960194239</v>
      </c>
      <c r="BC193" s="24">
        <f t="shared" si="166"/>
        <v>1.7482027103980575</v>
      </c>
      <c r="BD193" s="24">
        <f t="shared" si="169"/>
        <v>0.41303065717828025</v>
      </c>
      <c r="BE193" s="16">
        <f t="shared" si="170"/>
        <v>100.1691514231304</v>
      </c>
      <c r="BF193" s="16">
        <f t="shared" si="171"/>
        <v>199.6616971537392</v>
      </c>
      <c r="BG193" s="25">
        <f t="shared" si="172"/>
        <v>1</v>
      </c>
      <c r="BH193" s="24">
        <f t="shared" si="173"/>
        <v>220.37213313088691</v>
      </c>
      <c r="BI193" s="24">
        <f t="shared" si="174"/>
        <v>-40.744266261773816</v>
      </c>
      <c r="BJ193" s="24">
        <f t="shared" si="175"/>
        <v>33.932822381290194</v>
      </c>
    </row>
    <row r="194" spans="2:62">
      <c r="B194" s="24" t="s">
        <v>91</v>
      </c>
      <c r="C194" s="82" t="str">
        <f>'Hotter&amp;Drier'!$B$1</f>
        <v>CSIRO Mk3.5</v>
      </c>
      <c r="D194" s="89">
        <v>2040</v>
      </c>
      <c r="E194" s="57">
        <f>'Cooler&amp;Wetter'!AA68</f>
        <v>35.575000000000003</v>
      </c>
      <c r="F194" s="90">
        <f>'Hotter&amp;Drier'!AC68</f>
        <v>22.844999999999999</v>
      </c>
      <c r="G194" s="35">
        <f t="shared" si="156"/>
        <v>2005</v>
      </c>
      <c r="H194" s="91" t="str">
        <f t="shared" si="136"/>
        <v>Pile 32 @ Berth 201</v>
      </c>
      <c r="I194" s="35" t="str">
        <f t="shared" si="137"/>
        <v>Turpentine Gum</v>
      </c>
      <c r="J194" s="35" t="str">
        <f t="shared" si="138"/>
        <v>HW1</v>
      </c>
      <c r="K194" s="35" t="str">
        <f t="shared" si="157"/>
        <v>SPHU</v>
      </c>
      <c r="L194" s="35">
        <f t="shared" si="139"/>
        <v>400</v>
      </c>
      <c r="M194" s="35">
        <f t="shared" si="140"/>
        <v>20</v>
      </c>
      <c r="N194" s="35">
        <f t="shared" si="141"/>
        <v>200</v>
      </c>
      <c r="O194" s="35" t="str">
        <f t="shared" si="142"/>
        <v>MTN2</v>
      </c>
      <c r="P194" s="35" t="str">
        <f t="shared" si="143"/>
        <v>CNT2</v>
      </c>
      <c r="Q194" s="35" t="str">
        <f t="shared" si="144"/>
        <v>KNT3</v>
      </c>
      <c r="R194" s="35" t="str">
        <f t="shared" si="145"/>
        <v>E</v>
      </c>
      <c r="S194" s="35" t="str">
        <f t="shared" si="146"/>
        <v>EXP1</v>
      </c>
      <c r="T194" s="58"/>
      <c r="U194" s="58"/>
      <c r="V194" s="58"/>
      <c r="W194" s="58"/>
      <c r="X194" s="58"/>
      <c r="Y194" s="58"/>
      <c r="Z194" s="58"/>
      <c r="AA194" s="95">
        <f t="shared" si="104"/>
        <v>1</v>
      </c>
      <c r="AB194" s="96">
        <f t="shared" si="158"/>
        <v>103.20969039019654</v>
      </c>
      <c r="AC194" s="58"/>
      <c r="AD194" s="58"/>
      <c r="AE194" s="58"/>
      <c r="AF194" s="58"/>
      <c r="AG194" s="58"/>
      <c r="AH194" s="58"/>
      <c r="AI194" s="58"/>
      <c r="AJ194" s="58"/>
      <c r="AK194" s="58"/>
      <c r="AL194" s="58"/>
      <c r="AM194" s="89">
        <f t="shared" si="159"/>
        <v>35</v>
      </c>
      <c r="AN194" s="26">
        <f t="shared" si="167"/>
        <v>35.575000000000003</v>
      </c>
      <c r="AO194" s="24">
        <f t="shared" si="168"/>
        <v>1.9488996027364847</v>
      </c>
      <c r="AP194" s="24">
        <f>IF((OR(R194="A",R194="B",R194="C")),INDEX(Coefficients!$S$4:$S$22,MATCH(J194,Coefficients!$R$4:$R$22)),INDEX(Coefficients!$T$4:$T$22,MATCH(J194,Coefficients!$R$4:$R$22)))</f>
        <v>1.3</v>
      </c>
      <c r="AQ194" s="27">
        <f>IF((OR(R194="A",R194="B",R194="C")),INDEX(Coefficients!$S$4:$S$22,MATCH(K194,Coefficients!$R$4:$R$22)),INDEX(Coefficients!$T$4:$T$22,MATCH(K194,Coefficients!$R$4:$R$22)))</f>
        <v>25</v>
      </c>
      <c r="AR194" s="27">
        <f>IF(OR(R194="A",R194="B",R194="C",R194="D"),IF(AN194&gt;=11,IF(AN194&gt;=26,Coefficients!$M$6,Coefficients!$M$5),Coefficients!$M$4),IF(AN194&gt;=11,IF(AN194&gt;=26,Coefficients!$N$6,Coefficients!$N$5),Coefficients!$N$4))</f>
        <v>1</v>
      </c>
      <c r="AS194" s="27">
        <f>INDEX(Coefficients!$X$3:$X$4,MATCH(S194,Coefficients!$W$3:$W$4))</f>
        <v>1</v>
      </c>
      <c r="AT194" s="27">
        <f>INDEX(Coefficients!$X$7:$X$8,MATCH(O194,Coefficients!$W$7:$W$8))</f>
        <v>1</v>
      </c>
      <c r="AU194" s="27">
        <f>INDEX(Coefficients!$X$11:$X$12,MATCH(P194,Coefficients!$W$11:$W$12))</f>
        <v>1</v>
      </c>
      <c r="AV194" s="27">
        <f>INDEX(Coefficients!$X$15:$X$17,MATCH(Q194,Coefficients!$W$15:$W$17))</f>
        <v>1</v>
      </c>
      <c r="AW194" s="27">
        <f t="shared" si="160"/>
        <v>1</v>
      </c>
      <c r="AX194" s="27">
        <f t="shared" si="161"/>
        <v>1</v>
      </c>
      <c r="AY194" s="27">
        <f t="shared" si="162"/>
        <v>1.3</v>
      </c>
      <c r="AZ194" s="24">
        <f t="shared" si="163"/>
        <v>48.722490068412114</v>
      </c>
      <c r="BA194" s="24">
        <f t="shared" si="164"/>
        <v>0</v>
      </c>
      <c r="BB194" s="24">
        <f t="shared" si="165"/>
        <v>2.5335694835574301</v>
      </c>
      <c r="BC194" s="24">
        <f t="shared" si="166"/>
        <v>1.746643051644257</v>
      </c>
      <c r="BD194" s="24">
        <f t="shared" si="169"/>
        <v>0.41048805124528004</v>
      </c>
      <c r="BE194" s="16">
        <f t="shared" si="170"/>
        <v>103.20969039019654</v>
      </c>
      <c r="BF194" s="16">
        <f t="shared" si="171"/>
        <v>193.58061921960692</v>
      </c>
      <c r="BG194" s="25">
        <f t="shared" si="172"/>
        <v>1</v>
      </c>
      <c r="BH194" s="24">
        <f t="shared" si="173"/>
        <v>227.0613188584324</v>
      </c>
      <c r="BI194" s="24">
        <f t="shared" si="174"/>
        <v>-54.122637716864801</v>
      </c>
      <c r="BJ194" s="24">
        <f t="shared" si="175"/>
        <v>33.733135044834157</v>
      </c>
    </row>
    <row r="195" spans="2:62">
      <c r="B195" s="24" t="s">
        <v>91</v>
      </c>
      <c r="C195" s="82" t="str">
        <f>'Hotter&amp;Drier'!$B$1</f>
        <v>CSIRO Mk3.5</v>
      </c>
      <c r="D195" s="89">
        <v>2041</v>
      </c>
      <c r="E195" s="57">
        <f>'Cooler&amp;Wetter'!AA69</f>
        <v>35.577500000000001</v>
      </c>
      <c r="F195" s="90">
        <f>'Hotter&amp;Drier'!AC69</f>
        <v>22.892500000000002</v>
      </c>
      <c r="G195" s="35">
        <f t="shared" si="156"/>
        <v>2005</v>
      </c>
      <c r="H195" s="91" t="str">
        <f t="shared" si="136"/>
        <v>Pile 32 @ Berth 201</v>
      </c>
      <c r="I195" s="35" t="str">
        <f t="shared" si="137"/>
        <v>Turpentine Gum</v>
      </c>
      <c r="J195" s="35" t="str">
        <f t="shared" si="138"/>
        <v>HW1</v>
      </c>
      <c r="K195" s="35" t="str">
        <f t="shared" si="157"/>
        <v>SPHU</v>
      </c>
      <c r="L195" s="35">
        <f t="shared" si="139"/>
        <v>400</v>
      </c>
      <c r="M195" s="35">
        <f t="shared" si="140"/>
        <v>20</v>
      </c>
      <c r="N195" s="35">
        <f t="shared" si="141"/>
        <v>200</v>
      </c>
      <c r="O195" s="35" t="str">
        <f t="shared" si="142"/>
        <v>MTN2</v>
      </c>
      <c r="P195" s="35" t="str">
        <f t="shared" si="143"/>
        <v>CNT2</v>
      </c>
      <c r="Q195" s="35" t="str">
        <f t="shared" si="144"/>
        <v>KNT3</v>
      </c>
      <c r="R195" s="35" t="str">
        <f t="shared" si="145"/>
        <v>E</v>
      </c>
      <c r="S195" s="35" t="str">
        <f t="shared" si="146"/>
        <v>EXP1</v>
      </c>
      <c r="T195" s="58"/>
      <c r="U195" s="58"/>
      <c r="V195" s="58"/>
      <c r="W195" s="58"/>
      <c r="X195" s="58"/>
      <c r="Y195" s="58"/>
      <c r="Z195" s="58"/>
      <c r="AA195" s="95">
        <f t="shared" si="104"/>
        <v>1</v>
      </c>
      <c r="AB195" s="96">
        <f t="shared" si="158"/>
        <v>106.28480507180957</v>
      </c>
      <c r="AC195" s="58"/>
      <c r="AD195" s="58"/>
      <c r="AE195" s="58"/>
      <c r="AF195" s="58"/>
      <c r="AG195" s="58"/>
      <c r="AH195" s="58"/>
      <c r="AI195" s="58"/>
      <c r="AJ195" s="58"/>
      <c r="AK195" s="58"/>
      <c r="AL195" s="58"/>
      <c r="AM195" s="89">
        <f t="shared" si="159"/>
        <v>36</v>
      </c>
      <c r="AN195" s="26">
        <f t="shared" si="167"/>
        <v>35.577500000000001</v>
      </c>
      <c r="AO195" s="24">
        <f t="shared" si="168"/>
        <v>1.9609712907617682</v>
      </c>
      <c r="AP195" s="24">
        <f>IF((OR(R195="A",R195="B",R195="C")),INDEX(Coefficients!$S$4:$S$22,MATCH(J195,Coefficients!$R$4:$R$22)),INDEX(Coefficients!$T$4:$T$22,MATCH(J195,Coefficients!$R$4:$R$22)))</f>
        <v>1.3</v>
      </c>
      <c r="AQ195" s="27">
        <f>IF((OR(R195="A",R195="B",R195="C")),INDEX(Coefficients!$S$4:$S$22,MATCH(K195,Coefficients!$R$4:$R$22)),INDEX(Coefficients!$T$4:$T$22,MATCH(K195,Coefficients!$R$4:$R$22)))</f>
        <v>25</v>
      </c>
      <c r="AR195" s="27">
        <f>IF(OR(R195="A",R195="B",R195="C",R195="D"),IF(AN195&gt;=11,IF(AN195&gt;=26,Coefficients!$M$6,Coefficients!$M$5),Coefficients!$M$4),IF(AN195&gt;=11,IF(AN195&gt;=26,Coefficients!$N$6,Coefficients!$N$5),Coefficients!$N$4))</f>
        <v>1</v>
      </c>
      <c r="AS195" s="27">
        <f>INDEX(Coefficients!$X$3:$X$4,MATCH(S195,Coefficients!$W$3:$W$4))</f>
        <v>1</v>
      </c>
      <c r="AT195" s="27">
        <f>INDEX(Coefficients!$X$7:$X$8,MATCH(O195,Coefficients!$W$7:$W$8))</f>
        <v>1</v>
      </c>
      <c r="AU195" s="27">
        <f>INDEX(Coefficients!$X$11:$X$12,MATCH(P195,Coefficients!$W$11:$W$12))</f>
        <v>1</v>
      </c>
      <c r="AV195" s="27">
        <f>INDEX(Coefficients!$X$15:$X$17,MATCH(Q195,Coefficients!$W$15:$W$17))</f>
        <v>1</v>
      </c>
      <c r="AW195" s="27">
        <f t="shared" si="160"/>
        <v>1</v>
      </c>
      <c r="AX195" s="27">
        <f t="shared" si="161"/>
        <v>1</v>
      </c>
      <c r="AY195" s="27">
        <f t="shared" si="162"/>
        <v>1.3</v>
      </c>
      <c r="AZ195" s="24">
        <f t="shared" si="163"/>
        <v>49.024282269044207</v>
      </c>
      <c r="BA195" s="24">
        <f t="shared" si="164"/>
        <v>0</v>
      </c>
      <c r="BB195" s="24">
        <f t="shared" si="165"/>
        <v>2.5492626779902987</v>
      </c>
      <c r="BC195" s="24">
        <f t="shared" si="166"/>
        <v>1.7450737322009702</v>
      </c>
      <c r="BD195" s="24">
        <f t="shared" si="169"/>
        <v>0.40796109752796439</v>
      </c>
      <c r="BE195" s="16">
        <f t="shared" si="170"/>
        <v>106.28480507180957</v>
      </c>
      <c r="BF195" s="16">
        <f t="shared" si="171"/>
        <v>187.43038985638086</v>
      </c>
      <c r="BG195" s="25">
        <f t="shared" si="172"/>
        <v>1</v>
      </c>
      <c r="BH195" s="24">
        <f t="shared" si="173"/>
        <v>233.82657115798108</v>
      </c>
      <c r="BI195" s="24">
        <f t="shared" si="174"/>
        <v>-67.653142315962157</v>
      </c>
      <c r="BJ195" s="24">
        <f t="shared" si="175"/>
        <v>33.534657716495424</v>
      </c>
    </row>
    <row r="196" spans="2:62">
      <c r="B196" s="24" t="s">
        <v>91</v>
      </c>
      <c r="C196" s="82" t="str">
        <f>'Hotter&amp;Drier'!$B$1</f>
        <v>CSIRO Mk3.5</v>
      </c>
      <c r="D196" s="89">
        <v>2042</v>
      </c>
      <c r="E196" s="57">
        <f>'Cooler&amp;Wetter'!AA70</f>
        <v>35.58</v>
      </c>
      <c r="F196" s="90">
        <f>'Hotter&amp;Drier'!AC70</f>
        <v>22.94</v>
      </c>
      <c r="G196" s="35">
        <f t="shared" si="156"/>
        <v>2005</v>
      </c>
      <c r="H196" s="91" t="str">
        <f t="shared" si="136"/>
        <v>Pile 32 @ Berth 201</v>
      </c>
      <c r="I196" s="35" t="str">
        <f t="shared" si="137"/>
        <v>Turpentine Gum</v>
      </c>
      <c r="J196" s="35" t="str">
        <f t="shared" si="138"/>
        <v>HW1</v>
      </c>
      <c r="K196" s="35" t="str">
        <f t="shared" si="157"/>
        <v>SPHU</v>
      </c>
      <c r="L196" s="35">
        <f t="shared" si="139"/>
        <v>400</v>
      </c>
      <c r="M196" s="35">
        <f t="shared" si="140"/>
        <v>20</v>
      </c>
      <c r="N196" s="35">
        <f t="shared" si="141"/>
        <v>200</v>
      </c>
      <c r="O196" s="35" t="str">
        <f t="shared" si="142"/>
        <v>MTN2</v>
      </c>
      <c r="P196" s="35" t="str">
        <f t="shared" si="143"/>
        <v>CNT2</v>
      </c>
      <c r="Q196" s="35" t="str">
        <f t="shared" si="144"/>
        <v>KNT3</v>
      </c>
      <c r="R196" s="35" t="str">
        <f t="shared" si="145"/>
        <v>E</v>
      </c>
      <c r="S196" s="35" t="str">
        <f t="shared" si="146"/>
        <v>EXP1</v>
      </c>
      <c r="T196" s="58"/>
      <c r="U196" s="58"/>
      <c r="V196" s="58"/>
      <c r="W196" s="58"/>
      <c r="X196" s="58"/>
      <c r="Y196" s="58"/>
      <c r="Z196" s="58"/>
      <c r="AA196" s="95">
        <f t="shared" si="104"/>
        <v>1</v>
      </c>
      <c r="AB196" s="96">
        <f t="shared" si="158"/>
        <v>109.39480744904102</v>
      </c>
      <c r="AC196" s="58"/>
      <c r="AD196" s="58"/>
      <c r="AE196" s="58"/>
      <c r="AF196" s="58"/>
      <c r="AG196" s="58"/>
      <c r="AH196" s="58"/>
      <c r="AI196" s="58"/>
      <c r="AJ196" s="58"/>
      <c r="AK196" s="58"/>
      <c r="AL196" s="58"/>
      <c r="AM196" s="89">
        <f t="shared" si="159"/>
        <v>37</v>
      </c>
      <c r="AN196" s="26">
        <f t="shared" si="167"/>
        <v>35.58</v>
      </c>
      <c r="AO196" s="24">
        <f t="shared" si="168"/>
        <v>1.9731177520855701</v>
      </c>
      <c r="AP196" s="24">
        <f>IF((OR(R196="A",R196="B",R196="C")),INDEX(Coefficients!$S$4:$S$22,MATCH(J196,Coefficients!$R$4:$R$22)),INDEX(Coefficients!$T$4:$T$22,MATCH(J196,Coefficients!$R$4:$R$22)))</f>
        <v>1.3</v>
      </c>
      <c r="AQ196" s="27">
        <f>IF((OR(R196="A",R196="B",R196="C")),INDEX(Coefficients!$S$4:$S$22,MATCH(K196,Coefficients!$R$4:$R$22)),INDEX(Coefficients!$T$4:$T$22,MATCH(K196,Coefficients!$R$4:$R$22)))</f>
        <v>25</v>
      </c>
      <c r="AR196" s="27">
        <f>IF(OR(R196="A",R196="B",R196="C",R196="D"),IF(AN196&gt;=11,IF(AN196&gt;=26,Coefficients!$M$6,Coefficients!$M$5),Coefficients!$M$4),IF(AN196&gt;=11,IF(AN196&gt;=26,Coefficients!$N$6,Coefficients!$N$5),Coefficients!$N$4))</f>
        <v>1</v>
      </c>
      <c r="AS196" s="27">
        <f>INDEX(Coefficients!$X$3:$X$4,MATCH(S196,Coefficients!$W$3:$W$4))</f>
        <v>1</v>
      </c>
      <c r="AT196" s="27">
        <f>INDEX(Coefficients!$X$7:$X$8,MATCH(O196,Coefficients!$W$7:$W$8))</f>
        <v>1</v>
      </c>
      <c r="AU196" s="27">
        <f>INDEX(Coefficients!$X$11:$X$12,MATCH(P196,Coefficients!$W$11:$W$12))</f>
        <v>1</v>
      </c>
      <c r="AV196" s="27">
        <f>INDEX(Coefficients!$X$15:$X$17,MATCH(Q196,Coefficients!$W$15:$W$17))</f>
        <v>1</v>
      </c>
      <c r="AW196" s="27">
        <f t="shared" si="160"/>
        <v>1</v>
      </c>
      <c r="AX196" s="27">
        <f t="shared" si="161"/>
        <v>1</v>
      </c>
      <c r="AY196" s="27">
        <f t="shared" si="162"/>
        <v>1.3</v>
      </c>
      <c r="AZ196" s="24">
        <f t="shared" si="163"/>
        <v>49.327943802139252</v>
      </c>
      <c r="BA196" s="24">
        <f t="shared" si="164"/>
        <v>0</v>
      </c>
      <c r="BB196" s="24">
        <f t="shared" si="165"/>
        <v>2.5650530777112412</v>
      </c>
      <c r="BC196" s="24">
        <f t="shared" si="166"/>
        <v>1.7434946922288759</v>
      </c>
      <c r="BD196" s="24">
        <f t="shared" si="169"/>
        <v>0.40544969967170291</v>
      </c>
      <c r="BE196" s="16">
        <f t="shared" si="170"/>
        <v>109.39480744904102</v>
      </c>
      <c r="BF196" s="16">
        <f t="shared" si="171"/>
        <v>181.21038510191795</v>
      </c>
      <c r="BG196" s="25">
        <f t="shared" si="172"/>
        <v>1</v>
      </c>
      <c r="BH196" s="24">
        <f t="shared" si="173"/>
        <v>240.66857638789028</v>
      </c>
      <c r="BI196" s="24">
        <f t="shared" si="174"/>
        <v>-81.337152775780567</v>
      </c>
      <c r="BJ196" s="24">
        <f t="shared" si="175"/>
        <v>33.337382828185419</v>
      </c>
    </row>
    <row r="197" spans="2:62">
      <c r="B197" s="24" t="s">
        <v>91</v>
      </c>
      <c r="C197" s="82" t="str">
        <f>'Hotter&amp;Drier'!$B$1</f>
        <v>CSIRO Mk3.5</v>
      </c>
      <c r="D197" s="89">
        <v>2043</v>
      </c>
      <c r="E197" s="57">
        <f>'Cooler&amp;Wetter'!AA71</f>
        <v>35.582500000000003</v>
      </c>
      <c r="F197" s="90">
        <f>'Hotter&amp;Drier'!AC71</f>
        <v>22.987500000000001</v>
      </c>
      <c r="G197" s="35">
        <f t="shared" si="156"/>
        <v>2005</v>
      </c>
      <c r="H197" s="91" t="str">
        <f t="shared" si="136"/>
        <v>Pile 32 @ Berth 201</v>
      </c>
      <c r="I197" s="35" t="str">
        <f t="shared" si="137"/>
        <v>Turpentine Gum</v>
      </c>
      <c r="J197" s="35" t="str">
        <f t="shared" si="138"/>
        <v>HW1</v>
      </c>
      <c r="K197" s="35" t="str">
        <f t="shared" si="157"/>
        <v>SPHU</v>
      </c>
      <c r="L197" s="35">
        <f t="shared" si="139"/>
        <v>400</v>
      </c>
      <c r="M197" s="35">
        <f t="shared" si="140"/>
        <v>20</v>
      </c>
      <c r="N197" s="35">
        <f t="shared" si="141"/>
        <v>200</v>
      </c>
      <c r="O197" s="35" t="str">
        <f t="shared" si="142"/>
        <v>MTN2</v>
      </c>
      <c r="P197" s="35" t="str">
        <f t="shared" si="143"/>
        <v>CNT2</v>
      </c>
      <c r="Q197" s="35" t="str">
        <f t="shared" si="144"/>
        <v>KNT3</v>
      </c>
      <c r="R197" s="35" t="str">
        <f t="shared" si="145"/>
        <v>E</v>
      </c>
      <c r="S197" s="35" t="str">
        <f t="shared" si="146"/>
        <v>EXP1</v>
      </c>
      <c r="T197" s="58"/>
      <c r="U197" s="58"/>
      <c r="V197" s="58"/>
      <c r="W197" s="58"/>
      <c r="X197" s="58"/>
      <c r="Y197" s="58"/>
      <c r="Z197" s="58"/>
      <c r="AA197" s="95">
        <f t="shared" si="104"/>
        <v>1</v>
      </c>
      <c r="AB197" s="96">
        <f t="shared" si="158"/>
        <v>112.54001204508818</v>
      </c>
      <c r="AC197" s="58"/>
      <c r="AD197" s="58"/>
      <c r="AE197" s="58"/>
      <c r="AF197" s="58"/>
      <c r="AG197" s="58"/>
      <c r="AH197" s="58"/>
      <c r="AI197" s="58"/>
      <c r="AJ197" s="58"/>
      <c r="AK197" s="58"/>
      <c r="AL197" s="58"/>
      <c r="AM197" s="89">
        <f t="shared" si="159"/>
        <v>38</v>
      </c>
      <c r="AN197" s="26">
        <f t="shared" si="167"/>
        <v>35.582500000000003</v>
      </c>
      <c r="AO197" s="24">
        <f t="shared" si="168"/>
        <v>1.9853394498615247</v>
      </c>
      <c r="AP197" s="24">
        <f>IF((OR(R197="A",R197="B",R197="C")),INDEX(Coefficients!$S$4:$S$22,MATCH(J197,Coefficients!$R$4:$R$22)),INDEX(Coefficients!$T$4:$T$22,MATCH(J197,Coefficients!$R$4:$R$22)))</f>
        <v>1.3</v>
      </c>
      <c r="AQ197" s="27">
        <f>IF((OR(R197="A",R197="B",R197="C")),INDEX(Coefficients!$S$4:$S$22,MATCH(K197,Coefficients!$R$4:$R$22)),INDEX(Coefficients!$T$4:$T$22,MATCH(K197,Coefficients!$R$4:$R$22)))</f>
        <v>25</v>
      </c>
      <c r="AR197" s="27">
        <f>IF(OR(R197="A",R197="B",R197="C",R197="D"),IF(AN197&gt;=11,IF(AN197&gt;=26,Coefficients!$M$6,Coefficients!$M$5),Coefficients!$M$4),IF(AN197&gt;=11,IF(AN197&gt;=26,Coefficients!$N$6,Coefficients!$N$5),Coefficients!$N$4))</f>
        <v>1</v>
      </c>
      <c r="AS197" s="27">
        <f>INDEX(Coefficients!$X$3:$X$4,MATCH(S197,Coefficients!$W$3:$W$4))</f>
        <v>1</v>
      </c>
      <c r="AT197" s="27">
        <f>INDEX(Coefficients!$X$7:$X$8,MATCH(O197,Coefficients!$W$7:$W$8))</f>
        <v>1</v>
      </c>
      <c r="AU197" s="27">
        <f>INDEX(Coefficients!$X$11:$X$12,MATCH(P197,Coefficients!$W$11:$W$12))</f>
        <v>1</v>
      </c>
      <c r="AV197" s="27">
        <f>INDEX(Coefficients!$X$15:$X$17,MATCH(Q197,Coefficients!$W$15:$W$17))</f>
        <v>1</v>
      </c>
      <c r="AW197" s="27">
        <f t="shared" si="160"/>
        <v>1</v>
      </c>
      <c r="AX197" s="27">
        <f t="shared" si="161"/>
        <v>1</v>
      </c>
      <c r="AY197" s="27">
        <f t="shared" si="162"/>
        <v>1.3</v>
      </c>
      <c r="AZ197" s="24">
        <f t="shared" si="163"/>
        <v>49.633486246538119</v>
      </c>
      <c r="BA197" s="24">
        <f t="shared" si="164"/>
        <v>0</v>
      </c>
      <c r="BB197" s="24">
        <f t="shared" si="165"/>
        <v>2.580941284819982</v>
      </c>
      <c r="BC197" s="24">
        <f t="shared" si="166"/>
        <v>1.7419058715180018</v>
      </c>
      <c r="BD197" s="24">
        <f t="shared" si="169"/>
        <v>0.40295376191502119</v>
      </c>
      <c r="BE197" s="16">
        <f t="shared" si="170"/>
        <v>112.54001204508818</v>
      </c>
      <c r="BF197" s="16">
        <f t="shared" si="171"/>
        <v>174.91997590982365</v>
      </c>
      <c r="BG197" s="25">
        <f t="shared" si="172"/>
        <v>1</v>
      </c>
      <c r="BH197" s="24">
        <f t="shared" si="173"/>
        <v>247.588026499194</v>
      </c>
      <c r="BI197" s="24">
        <f t="shared" si="174"/>
        <v>-95.176052998388002</v>
      </c>
      <c r="BJ197" s="24">
        <f t="shared" si="175"/>
        <v>33.141302857665423</v>
      </c>
    </row>
    <row r="198" spans="2:62">
      <c r="B198" s="24" t="s">
        <v>91</v>
      </c>
      <c r="C198" s="82" t="str">
        <f>'Hotter&amp;Drier'!$B$1</f>
        <v>CSIRO Mk3.5</v>
      </c>
      <c r="D198" s="89">
        <v>2044</v>
      </c>
      <c r="E198" s="57">
        <f>'Cooler&amp;Wetter'!AA72</f>
        <v>35.585000000000001</v>
      </c>
      <c r="F198" s="90">
        <f>'Hotter&amp;Drier'!AC72</f>
        <v>23.035</v>
      </c>
      <c r="G198" s="35">
        <f t="shared" si="156"/>
        <v>2005</v>
      </c>
      <c r="H198" s="91" t="str">
        <f t="shared" si="136"/>
        <v>Pile 32 @ Berth 201</v>
      </c>
      <c r="I198" s="35" t="str">
        <f t="shared" si="137"/>
        <v>Turpentine Gum</v>
      </c>
      <c r="J198" s="35" t="str">
        <f t="shared" si="138"/>
        <v>HW1</v>
      </c>
      <c r="K198" s="35" t="str">
        <f t="shared" si="157"/>
        <v>SPHU</v>
      </c>
      <c r="L198" s="35">
        <f t="shared" si="139"/>
        <v>400</v>
      </c>
      <c r="M198" s="35">
        <f t="shared" si="140"/>
        <v>20</v>
      </c>
      <c r="N198" s="35">
        <f t="shared" si="141"/>
        <v>200</v>
      </c>
      <c r="O198" s="35" t="str">
        <f t="shared" si="142"/>
        <v>MTN2</v>
      </c>
      <c r="P198" s="35" t="str">
        <f t="shared" si="143"/>
        <v>CNT2</v>
      </c>
      <c r="Q198" s="35" t="str">
        <f t="shared" si="144"/>
        <v>KNT3</v>
      </c>
      <c r="R198" s="35" t="str">
        <f t="shared" si="145"/>
        <v>E</v>
      </c>
      <c r="S198" s="35" t="str">
        <f t="shared" si="146"/>
        <v>EXP1</v>
      </c>
      <c r="T198" s="58"/>
      <c r="U198" s="58"/>
      <c r="V198" s="58"/>
      <c r="W198" s="58"/>
      <c r="X198" s="58"/>
      <c r="Y198" s="58"/>
      <c r="Z198" s="58"/>
      <c r="AA198" s="95">
        <f t="shared" si="104"/>
        <v>1</v>
      </c>
      <c r="AB198" s="96">
        <f t="shared" si="158"/>
        <v>115.72073594484392</v>
      </c>
      <c r="AC198" s="58"/>
      <c r="AD198" s="58"/>
      <c r="AE198" s="58"/>
      <c r="AF198" s="58"/>
      <c r="AG198" s="58"/>
      <c r="AH198" s="58"/>
      <c r="AI198" s="58"/>
      <c r="AJ198" s="58"/>
      <c r="AK198" s="58"/>
      <c r="AL198" s="58"/>
      <c r="AM198" s="89">
        <f t="shared" si="159"/>
        <v>39</v>
      </c>
      <c r="AN198" s="26">
        <f t="shared" si="167"/>
        <v>35.585000000000001</v>
      </c>
      <c r="AO198" s="24">
        <f t="shared" si="168"/>
        <v>1.9976368501120889</v>
      </c>
      <c r="AP198" s="24">
        <f>IF((OR(R198="A",R198="B",R198="C")),INDEX(Coefficients!$S$4:$S$22,MATCH(J198,Coefficients!$R$4:$R$22)),INDEX(Coefficients!$T$4:$T$22,MATCH(J198,Coefficients!$R$4:$R$22)))</f>
        <v>1.3</v>
      </c>
      <c r="AQ198" s="27">
        <f>IF((OR(R198="A",R198="B",R198="C")),INDEX(Coefficients!$S$4:$S$22,MATCH(K198,Coefficients!$R$4:$R$22)),INDEX(Coefficients!$T$4:$T$22,MATCH(K198,Coefficients!$R$4:$R$22)))</f>
        <v>25</v>
      </c>
      <c r="AR198" s="27">
        <f>IF(OR(R198="A",R198="B",R198="C",R198="D"),IF(AN198&gt;=11,IF(AN198&gt;=26,Coefficients!$M$6,Coefficients!$M$5),Coefficients!$M$4),IF(AN198&gt;=11,IF(AN198&gt;=26,Coefficients!$N$6,Coefficients!$N$5),Coefficients!$N$4))</f>
        <v>1</v>
      </c>
      <c r="AS198" s="27">
        <f>INDEX(Coefficients!$X$3:$X$4,MATCH(S198,Coefficients!$W$3:$W$4))</f>
        <v>1</v>
      </c>
      <c r="AT198" s="27">
        <f>INDEX(Coefficients!$X$7:$X$8,MATCH(O198,Coefficients!$W$7:$W$8))</f>
        <v>1</v>
      </c>
      <c r="AU198" s="27">
        <f>INDEX(Coefficients!$X$11:$X$12,MATCH(P198,Coefficients!$W$11:$W$12))</f>
        <v>1</v>
      </c>
      <c r="AV198" s="27">
        <f>INDEX(Coefficients!$X$15:$X$17,MATCH(Q198,Coefficients!$W$15:$W$17))</f>
        <v>1</v>
      </c>
      <c r="AW198" s="27">
        <f t="shared" si="160"/>
        <v>1</v>
      </c>
      <c r="AX198" s="27">
        <f t="shared" si="161"/>
        <v>1</v>
      </c>
      <c r="AY198" s="27">
        <f t="shared" si="162"/>
        <v>1.3</v>
      </c>
      <c r="AZ198" s="24">
        <f t="shared" si="163"/>
        <v>49.940921252802219</v>
      </c>
      <c r="BA198" s="24">
        <f t="shared" si="164"/>
        <v>0</v>
      </c>
      <c r="BB198" s="24">
        <f t="shared" si="165"/>
        <v>2.5969279051457157</v>
      </c>
      <c r="BC198" s="24">
        <f t="shared" si="166"/>
        <v>1.7403072094854284</v>
      </c>
      <c r="BD198" s="24">
        <f t="shared" si="169"/>
        <v>0.40047318908594998</v>
      </c>
      <c r="BE198" s="16">
        <f t="shared" si="170"/>
        <v>115.72073594484392</v>
      </c>
      <c r="BF198" s="16">
        <f t="shared" si="171"/>
        <v>168.55852811031215</v>
      </c>
      <c r="BG198" s="25">
        <f t="shared" si="172"/>
        <v>1</v>
      </c>
      <c r="BH198" s="24">
        <f t="shared" si="173"/>
        <v>254.58561907865666</v>
      </c>
      <c r="BI198" s="24">
        <f t="shared" si="174"/>
        <v>-109.17123815731333</v>
      </c>
      <c r="BJ198" s="24">
        <f t="shared" si="175"/>
        <v>32.94641032825983</v>
      </c>
    </row>
    <row r="199" spans="2:62">
      <c r="B199" s="24" t="s">
        <v>91</v>
      </c>
      <c r="C199" s="82" t="str">
        <f>'Hotter&amp;Drier'!$B$1</f>
        <v>CSIRO Mk3.5</v>
      </c>
      <c r="D199" s="89">
        <v>2045</v>
      </c>
      <c r="E199" s="57">
        <f>'Cooler&amp;Wetter'!AA73</f>
        <v>35.587499999999999</v>
      </c>
      <c r="F199" s="90">
        <f>'Hotter&amp;Drier'!AC73</f>
        <v>23.0825</v>
      </c>
      <c r="G199" s="35">
        <f t="shared" si="156"/>
        <v>2005</v>
      </c>
      <c r="H199" s="91" t="str">
        <f t="shared" si="136"/>
        <v>Pile 32 @ Berth 201</v>
      </c>
      <c r="I199" s="35" t="str">
        <f t="shared" si="137"/>
        <v>Turpentine Gum</v>
      </c>
      <c r="J199" s="35" t="str">
        <f t="shared" si="138"/>
        <v>HW1</v>
      </c>
      <c r="K199" s="35" t="str">
        <f t="shared" si="157"/>
        <v>SPHU</v>
      </c>
      <c r="L199" s="35">
        <f t="shared" si="139"/>
        <v>400</v>
      </c>
      <c r="M199" s="35">
        <f t="shared" si="140"/>
        <v>20</v>
      </c>
      <c r="N199" s="35">
        <f t="shared" si="141"/>
        <v>200</v>
      </c>
      <c r="O199" s="35" t="str">
        <f t="shared" si="142"/>
        <v>MTN2</v>
      </c>
      <c r="P199" s="35" t="str">
        <f t="shared" si="143"/>
        <v>CNT2</v>
      </c>
      <c r="Q199" s="35" t="str">
        <f t="shared" si="144"/>
        <v>KNT3</v>
      </c>
      <c r="R199" s="35" t="str">
        <f t="shared" si="145"/>
        <v>E</v>
      </c>
      <c r="S199" s="35" t="str">
        <f t="shared" si="146"/>
        <v>EXP1</v>
      </c>
      <c r="T199" s="58"/>
      <c r="U199" s="58"/>
      <c r="V199" s="58"/>
      <c r="W199" s="58"/>
      <c r="X199" s="58"/>
      <c r="Y199" s="58"/>
      <c r="Z199" s="58"/>
      <c r="AA199" s="95">
        <f t="shared" si="104"/>
        <v>1</v>
      </c>
      <c r="AB199" s="96">
        <f t="shared" si="158"/>
        <v>118.93729881461196</v>
      </c>
      <c r="AC199" s="58"/>
      <c r="AD199" s="58"/>
      <c r="AE199" s="58"/>
      <c r="AF199" s="58"/>
      <c r="AG199" s="58"/>
      <c r="AH199" s="58"/>
      <c r="AI199" s="58"/>
      <c r="AJ199" s="58"/>
      <c r="AK199" s="58"/>
      <c r="AL199" s="58"/>
      <c r="AM199" s="89">
        <f t="shared" si="159"/>
        <v>40</v>
      </c>
      <c r="AN199" s="26">
        <f t="shared" si="167"/>
        <v>35.587499999999999</v>
      </c>
      <c r="AO199" s="24">
        <f t="shared" si="168"/>
        <v>2.010010421746308</v>
      </c>
      <c r="AP199" s="24">
        <f>IF((OR(R199="A",R199="B",R199="C")),INDEX(Coefficients!$S$4:$S$22,MATCH(J199,Coefficients!$R$4:$R$22)),INDEX(Coefficients!$T$4:$T$22,MATCH(J199,Coefficients!$R$4:$R$22)))</f>
        <v>1.3</v>
      </c>
      <c r="AQ199" s="27">
        <f>IF((OR(R199="A",R199="B",R199="C")),INDEX(Coefficients!$S$4:$S$22,MATCH(K199,Coefficients!$R$4:$R$22)),INDEX(Coefficients!$T$4:$T$22,MATCH(K199,Coefficients!$R$4:$R$22)))</f>
        <v>25</v>
      </c>
      <c r="AR199" s="27">
        <f>IF(OR(R199="A",R199="B",R199="C",R199="D"),IF(AN199&gt;=11,IF(AN199&gt;=26,Coefficients!$M$6,Coefficients!$M$5),Coefficients!$M$4),IF(AN199&gt;=11,IF(AN199&gt;=26,Coefficients!$N$6,Coefficients!$N$5),Coefficients!$N$4))</f>
        <v>1</v>
      </c>
      <c r="AS199" s="27">
        <f>INDEX(Coefficients!$X$3:$X$4,MATCH(S199,Coefficients!$W$3:$W$4))</f>
        <v>1</v>
      </c>
      <c r="AT199" s="27">
        <f>INDEX(Coefficients!$X$7:$X$8,MATCH(O199,Coefficients!$W$7:$W$8))</f>
        <v>1</v>
      </c>
      <c r="AU199" s="27">
        <f>INDEX(Coefficients!$X$11:$X$12,MATCH(P199,Coefficients!$W$11:$W$12))</f>
        <v>1</v>
      </c>
      <c r="AV199" s="27">
        <f>INDEX(Coefficients!$X$15:$X$17,MATCH(Q199,Coefficients!$W$15:$W$17))</f>
        <v>1</v>
      </c>
      <c r="AW199" s="27">
        <f t="shared" si="160"/>
        <v>1</v>
      </c>
      <c r="AX199" s="27">
        <f t="shared" si="161"/>
        <v>1</v>
      </c>
      <c r="AY199" s="27">
        <f t="shared" si="162"/>
        <v>1.3</v>
      </c>
      <c r="AZ199" s="24">
        <f t="shared" si="163"/>
        <v>50.250260543657696</v>
      </c>
      <c r="BA199" s="24">
        <f t="shared" si="164"/>
        <v>0</v>
      </c>
      <c r="BB199" s="24">
        <f t="shared" si="165"/>
        <v>2.6130135482702004</v>
      </c>
      <c r="BC199" s="24">
        <f t="shared" si="166"/>
        <v>1.73869864517298</v>
      </c>
      <c r="BD199" s="24">
        <f t="shared" si="169"/>
        <v>0.3980078865983967</v>
      </c>
      <c r="BE199" s="16">
        <f t="shared" si="170"/>
        <v>118.93729881461196</v>
      </c>
      <c r="BF199" s="16">
        <f t="shared" si="171"/>
        <v>162.12540237077607</v>
      </c>
      <c r="BG199" s="25">
        <f t="shared" si="172"/>
        <v>1</v>
      </c>
      <c r="BH199" s="24">
        <f t="shared" si="173"/>
        <v>261.66205739214632</v>
      </c>
      <c r="BI199" s="24">
        <f t="shared" si="174"/>
        <v>-123.32411478429265</v>
      </c>
      <c r="BJ199" s="24">
        <f t="shared" si="175"/>
        <v>32.752697808571121</v>
      </c>
    </row>
    <row r="200" spans="2:62">
      <c r="B200" s="24" t="s">
        <v>91</v>
      </c>
      <c r="C200" s="82" t="str">
        <f>'Hotter&amp;Drier'!$B$1</f>
        <v>CSIRO Mk3.5</v>
      </c>
      <c r="D200" s="89">
        <v>2046</v>
      </c>
      <c r="E200" s="57">
        <f>'Cooler&amp;Wetter'!AA74</f>
        <v>35.590000000000003</v>
      </c>
      <c r="F200" s="90">
        <f>'Hotter&amp;Drier'!AC74</f>
        <v>23.130000000000003</v>
      </c>
      <c r="G200" s="35">
        <f t="shared" si="156"/>
        <v>2005</v>
      </c>
      <c r="H200" s="91" t="str">
        <f t="shared" si="136"/>
        <v>Pile 32 @ Berth 201</v>
      </c>
      <c r="I200" s="35" t="str">
        <f t="shared" si="137"/>
        <v>Turpentine Gum</v>
      </c>
      <c r="J200" s="35" t="str">
        <f t="shared" si="138"/>
        <v>HW1</v>
      </c>
      <c r="K200" s="35" t="str">
        <f t="shared" si="157"/>
        <v>SPHU</v>
      </c>
      <c r="L200" s="35">
        <f t="shared" si="139"/>
        <v>400</v>
      </c>
      <c r="M200" s="35">
        <f t="shared" si="140"/>
        <v>20</v>
      </c>
      <c r="N200" s="35">
        <f t="shared" si="141"/>
        <v>200</v>
      </c>
      <c r="O200" s="35" t="str">
        <f t="shared" si="142"/>
        <v>MTN2</v>
      </c>
      <c r="P200" s="35" t="str">
        <f t="shared" si="143"/>
        <v>CNT2</v>
      </c>
      <c r="Q200" s="35" t="str">
        <f t="shared" si="144"/>
        <v>KNT3</v>
      </c>
      <c r="R200" s="35" t="str">
        <f t="shared" si="145"/>
        <v>E</v>
      </c>
      <c r="S200" s="35" t="str">
        <f t="shared" si="146"/>
        <v>EXP1</v>
      </c>
      <c r="T200" s="58"/>
      <c r="U200" s="58"/>
      <c r="V200" s="58"/>
      <c r="W200" s="58"/>
      <c r="X200" s="58"/>
      <c r="Y200" s="58"/>
      <c r="Z200" s="58"/>
      <c r="AA200" s="95">
        <f t="shared" si="104"/>
        <v>1</v>
      </c>
      <c r="AB200" s="96">
        <f t="shared" si="158"/>
        <v>122.19002292196909</v>
      </c>
      <c r="AC200" s="58"/>
      <c r="AD200" s="58"/>
      <c r="AE200" s="58"/>
      <c r="AF200" s="58"/>
      <c r="AG200" s="58"/>
      <c r="AH200" s="58"/>
      <c r="AI200" s="58"/>
      <c r="AJ200" s="58"/>
      <c r="AK200" s="58"/>
      <c r="AL200" s="58"/>
      <c r="AM200" s="89">
        <f t="shared" si="159"/>
        <v>41</v>
      </c>
      <c r="AN200" s="26">
        <f t="shared" si="167"/>
        <v>35.590000000000003</v>
      </c>
      <c r="AO200" s="24">
        <f t="shared" si="168"/>
        <v>2.0224606365777027</v>
      </c>
      <c r="AP200" s="24">
        <f>IF((OR(R200="A",R200="B",R200="C")),INDEX(Coefficients!$S$4:$S$22,MATCH(J200,Coefficients!$R$4:$R$22)),INDEX(Coefficients!$T$4:$T$22,MATCH(J200,Coefficients!$R$4:$R$22)))</f>
        <v>1.3</v>
      </c>
      <c r="AQ200" s="27">
        <f>IF((OR(R200="A",R200="B",R200="C")),INDEX(Coefficients!$S$4:$S$22,MATCH(K200,Coefficients!$R$4:$R$22)),INDEX(Coefficients!$T$4:$T$22,MATCH(K200,Coefficients!$R$4:$R$22)))</f>
        <v>25</v>
      </c>
      <c r="AR200" s="27">
        <f>IF(OR(R200="A",R200="B",R200="C",R200="D"),IF(AN200&gt;=11,IF(AN200&gt;=26,Coefficients!$M$6,Coefficients!$M$5),Coefficients!$M$4),IF(AN200&gt;=11,IF(AN200&gt;=26,Coefficients!$N$6,Coefficients!$N$5),Coefficients!$N$4))</f>
        <v>1</v>
      </c>
      <c r="AS200" s="27">
        <f>INDEX(Coefficients!$X$3:$X$4,MATCH(S200,Coefficients!$W$3:$W$4))</f>
        <v>1</v>
      </c>
      <c r="AT200" s="27">
        <f>INDEX(Coefficients!$X$7:$X$8,MATCH(O200,Coefficients!$W$7:$W$8))</f>
        <v>1</v>
      </c>
      <c r="AU200" s="27">
        <f>INDEX(Coefficients!$X$11:$X$12,MATCH(P200,Coefficients!$W$11:$W$12))</f>
        <v>1</v>
      </c>
      <c r="AV200" s="27">
        <f>INDEX(Coefficients!$X$15:$X$17,MATCH(Q200,Coefficients!$W$15:$W$17))</f>
        <v>1</v>
      </c>
      <c r="AW200" s="27">
        <f t="shared" si="160"/>
        <v>1</v>
      </c>
      <c r="AX200" s="27">
        <f t="shared" si="161"/>
        <v>1</v>
      </c>
      <c r="AY200" s="27">
        <f t="shared" si="162"/>
        <v>1.3</v>
      </c>
      <c r="AZ200" s="24">
        <f t="shared" si="163"/>
        <v>50.561515914442566</v>
      </c>
      <c r="BA200" s="24">
        <f t="shared" si="164"/>
        <v>0</v>
      </c>
      <c r="BB200" s="24">
        <f t="shared" si="165"/>
        <v>2.6291988275510136</v>
      </c>
      <c r="BC200" s="24">
        <f t="shared" si="166"/>
        <v>1.7370801172448986</v>
      </c>
      <c r="BD200" s="24">
        <f t="shared" si="169"/>
        <v>0.39555776044853774</v>
      </c>
      <c r="BE200" s="16">
        <f t="shared" si="170"/>
        <v>122.19002292196909</v>
      </c>
      <c r="BF200" s="16">
        <f t="shared" si="171"/>
        <v>155.61995415606182</v>
      </c>
      <c r="BG200" s="25">
        <f t="shared" si="172"/>
        <v>1</v>
      </c>
      <c r="BH200" s="24">
        <f t="shared" si="173"/>
        <v>268.81805042833201</v>
      </c>
      <c r="BI200" s="24">
        <f t="shared" si="174"/>
        <v>-137.63610085666403</v>
      </c>
      <c r="BJ200" s="24">
        <f t="shared" si="175"/>
        <v>32.560157912196331</v>
      </c>
    </row>
    <row r="201" spans="2:62">
      <c r="B201" s="24" t="s">
        <v>91</v>
      </c>
      <c r="C201" s="82" t="str">
        <f>'Hotter&amp;Drier'!$B$1</f>
        <v>CSIRO Mk3.5</v>
      </c>
      <c r="D201" s="89">
        <v>2047</v>
      </c>
      <c r="E201" s="57">
        <f>'Cooler&amp;Wetter'!AA75</f>
        <v>35.592500000000001</v>
      </c>
      <c r="F201" s="90">
        <f>'Hotter&amp;Drier'!AC75</f>
        <v>23.177500000000002</v>
      </c>
      <c r="G201" s="35">
        <f t="shared" si="156"/>
        <v>2005</v>
      </c>
      <c r="H201" s="91" t="str">
        <f t="shared" si="136"/>
        <v>Pile 32 @ Berth 201</v>
      </c>
      <c r="I201" s="35" t="str">
        <f t="shared" si="137"/>
        <v>Turpentine Gum</v>
      </c>
      <c r="J201" s="35" t="str">
        <f t="shared" si="138"/>
        <v>HW1</v>
      </c>
      <c r="K201" s="35" t="str">
        <f t="shared" si="157"/>
        <v>SPHU</v>
      </c>
      <c r="L201" s="35">
        <f t="shared" si="139"/>
        <v>400</v>
      </c>
      <c r="M201" s="35">
        <f t="shared" si="140"/>
        <v>20</v>
      </c>
      <c r="N201" s="35">
        <f t="shared" si="141"/>
        <v>200</v>
      </c>
      <c r="O201" s="35" t="str">
        <f t="shared" si="142"/>
        <v>MTN2</v>
      </c>
      <c r="P201" s="35" t="str">
        <f t="shared" si="143"/>
        <v>CNT2</v>
      </c>
      <c r="Q201" s="35" t="str">
        <f t="shared" si="144"/>
        <v>KNT3</v>
      </c>
      <c r="R201" s="35" t="str">
        <f t="shared" si="145"/>
        <v>E</v>
      </c>
      <c r="S201" s="35" t="str">
        <f t="shared" si="146"/>
        <v>EXP1</v>
      </c>
      <c r="T201" s="58"/>
      <c r="U201" s="58"/>
      <c r="V201" s="58"/>
      <c r="W201" s="58"/>
      <c r="X201" s="58"/>
      <c r="Y201" s="58"/>
      <c r="Z201" s="58"/>
      <c r="AA201" s="95">
        <f t="shared" si="104"/>
        <v>1</v>
      </c>
      <c r="AB201" s="96">
        <f t="shared" si="158"/>
        <v>125.47923315577431</v>
      </c>
      <c r="AC201" s="58"/>
      <c r="AD201" s="58"/>
      <c r="AE201" s="58"/>
      <c r="AF201" s="58"/>
      <c r="AG201" s="58"/>
      <c r="AH201" s="58"/>
      <c r="AI201" s="58"/>
      <c r="AJ201" s="58"/>
      <c r="AK201" s="58"/>
      <c r="AL201" s="58"/>
      <c r="AM201" s="89">
        <f t="shared" si="159"/>
        <v>42</v>
      </c>
      <c r="AN201" s="26">
        <f t="shared" si="167"/>
        <v>35.592500000000001</v>
      </c>
      <c r="AO201" s="24">
        <f t="shared" si="168"/>
        <v>2.0349879693422532</v>
      </c>
      <c r="AP201" s="24">
        <f>IF((OR(R201="A",R201="B",R201="C")),INDEX(Coefficients!$S$4:$S$22,MATCH(J201,Coefficients!$R$4:$R$22)),INDEX(Coefficients!$T$4:$T$22,MATCH(J201,Coefficients!$R$4:$R$22)))</f>
        <v>1.3</v>
      </c>
      <c r="AQ201" s="27">
        <f>IF((OR(R201="A",R201="B",R201="C")),INDEX(Coefficients!$S$4:$S$22,MATCH(K201,Coefficients!$R$4:$R$22)),INDEX(Coefficients!$T$4:$T$22,MATCH(K201,Coefficients!$R$4:$R$22)))</f>
        <v>25</v>
      </c>
      <c r="AR201" s="27">
        <f>IF(OR(R201="A",R201="B",R201="C",R201="D"),IF(AN201&gt;=11,IF(AN201&gt;=26,Coefficients!$M$6,Coefficients!$M$5),Coefficients!$M$4),IF(AN201&gt;=11,IF(AN201&gt;=26,Coefficients!$N$6,Coefficients!$N$5),Coefficients!$N$4))</f>
        <v>1</v>
      </c>
      <c r="AS201" s="27">
        <f>INDEX(Coefficients!$X$3:$X$4,MATCH(S201,Coefficients!$W$3:$W$4))</f>
        <v>1</v>
      </c>
      <c r="AT201" s="27">
        <f>INDEX(Coefficients!$X$7:$X$8,MATCH(O201,Coefficients!$W$7:$W$8))</f>
        <v>1</v>
      </c>
      <c r="AU201" s="27">
        <f>INDEX(Coefficients!$X$11:$X$12,MATCH(P201,Coefficients!$W$11:$W$12))</f>
        <v>1</v>
      </c>
      <c r="AV201" s="27">
        <f>INDEX(Coefficients!$X$15:$X$17,MATCH(Q201,Coefficients!$W$15:$W$17))</f>
        <v>1</v>
      </c>
      <c r="AW201" s="27">
        <f t="shared" si="160"/>
        <v>1</v>
      </c>
      <c r="AX201" s="27">
        <f t="shared" si="161"/>
        <v>1</v>
      </c>
      <c r="AY201" s="27">
        <f t="shared" si="162"/>
        <v>1.3</v>
      </c>
      <c r="AZ201" s="24">
        <f t="shared" si="163"/>
        <v>50.874699233556328</v>
      </c>
      <c r="BA201" s="24">
        <f t="shared" si="164"/>
        <v>0</v>
      </c>
      <c r="BB201" s="24">
        <f t="shared" si="165"/>
        <v>2.6454843601449292</v>
      </c>
      <c r="BC201" s="24">
        <f t="shared" si="166"/>
        <v>1.735451563985507</v>
      </c>
      <c r="BD201" s="24">
        <f t="shared" si="169"/>
        <v>0.39312271721123504</v>
      </c>
      <c r="BE201" s="16">
        <f t="shared" si="170"/>
        <v>125.47923315577431</v>
      </c>
      <c r="BF201" s="16">
        <f t="shared" si="171"/>
        <v>149.04153368845138</v>
      </c>
      <c r="BG201" s="25">
        <f t="shared" si="172"/>
        <v>1</v>
      </c>
      <c r="BH201" s="24">
        <f t="shared" si="173"/>
        <v>276.05431294270352</v>
      </c>
      <c r="BI201" s="24">
        <f t="shared" si="174"/>
        <v>-152.10862588540704</v>
      </c>
      <c r="BJ201" s="24">
        <f t="shared" si="175"/>
        <v>32.368783297445589</v>
      </c>
    </row>
    <row r="202" spans="2:62">
      <c r="B202" s="24" t="s">
        <v>91</v>
      </c>
      <c r="C202" s="82" t="str">
        <f>'Hotter&amp;Drier'!$B$1</f>
        <v>CSIRO Mk3.5</v>
      </c>
      <c r="D202" s="89">
        <v>2048</v>
      </c>
      <c r="E202" s="57">
        <f>'Cooler&amp;Wetter'!AA76</f>
        <v>35.594999999999999</v>
      </c>
      <c r="F202" s="90">
        <f>'Hotter&amp;Drier'!AC76</f>
        <v>23.225000000000001</v>
      </c>
      <c r="G202" s="35">
        <f t="shared" si="156"/>
        <v>2005</v>
      </c>
      <c r="H202" s="91" t="str">
        <f t="shared" si="136"/>
        <v>Pile 32 @ Berth 201</v>
      </c>
      <c r="I202" s="35" t="str">
        <f t="shared" si="137"/>
        <v>Turpentine Gum</v>
      </c>
      <c r="J202" s="35" t="str">
        <f t="shared" si="138"/>
        <v>HW1</v>
      </c>
      <c r="K202" s="35" t="str">
        <f t="shared" si="157"/>
        <v>SPHU</v>
      </c>
      <c r="L202" s="35">
        <f t="shared" si="139"/>
        <v>400</v>
      </c>
      <c r="M202" s="35">
        <f t="shared" si="140"/>
        <v>20</v>
      </c>
      <c r="N202" s="35">
        <f t="shared" si="141"/>
        <v>200</v>
      </c>
      <c r="O202" s="35" t="str">
        <f t="shared" si="142"/>
        <v>MTN2</v>
      </c>
      <c r="P202" s="35" t="str">
        <f t="shared" si="143"/>
        <v>CNT2</v>
      </c>
      <c r="Q202" s="35" t="str">
        <f t="shared" si="144"/>
        <v>KNT3</v>
      </c>
      <c r="R202" s="35" t="str">
        <f t="shared" si="145"/>
        <v>E</v>
      </c>
      <c r="S202" s="35" t="str">
        <f t="shared" si="146"/>
        <v>EXP1</v>
      </c>
      <c r="T202" s="58"/>
      <c r="U202" s="58"/>
      <c r="V202" s="58"/>
      <c r="W202" s="58"/>
      <c r="X202" s="58"/>
      <c r="Y202" s="58"/>
      <c r="Z202" s="58"/>
      <c r="AA202" s="95">
        <f t="shared" si="104"/>
        <v>1</v>
      </c>
      <c r="AB202" s="96">
        <f t="shared" si="158"/>
        <v>128.80525704632748</v>
      </c>
      <c r="AC202" s="58"/>
      <c r="AD202" s="58"/>
      <c r="AE202" s="58"/>
      <c r="AF202" s="58"/>
      <c r="AG202" s="58"/>
      <c r="AH202" s="58"/>
      <c r="AI202" s="58"/>
      <c r="AJ202" s="58"/>
      <c r="AK202" s="58"/>
      <c r="AL202" s="58"/>
      <c r="AM202" s="89">
        <f t="shared" si="159"/>
        <v>43</v>
      </c>
      <c r="AN202" s="26">
        <f t="shared" si="167"/>
        <v>35.594999999999999</v>
      </c>
      <c r="AO202" s="24">
        <f t="shared" si="168"/>
        <v>2.0475928977165068</v>
      </c>
      <c r="AP202" s="24">
        <f>IF((OR(R202="A",R202="B",R202="C")),INDEX(Coefficients!$S$4:$S$22,MATCH(J202,Coefficients!$R$4:$R$22)),INDEX(Coefficients!$T$4:$T$22,MATCH(J202,Coefficients!$R$4:$R$22)))</f>
        <v>1.3</v>
      </c>
      <c r="AQ202" s="27">
        <f>IF((OR(R202="A",R202="B",R202="C")),INDEX(Coefficients!$S$4:$S$22,MATCH(K202,Coefficients!$R$4:$R$22)),INDEX(Coefficients!$T$4:$T$22,MATCH(K202,Coefficients!$R$4:$R$22)))</f>
        <v>25</v>
      </c>
      <c r="AR202" s="27">
        <f>IF(OR(R202="A",R202="B",R202="C",R202="D"),IF(AN202&gt;=11,IF(AN202&gt;=26,Coefficients!$M$6,Coefficients!$M$5),Coefficients!$M$4),IF(AN202&gt;=11,IF(AN202&gt;=26,Coefficients!$N$6,Coefficients!$N$5),Coefficients!$N$4))</f>
        <v>1</v>
      </c>
      <c r="AS202" s="27">
        <f>INDEX(Coefficients!$X$3:$X$4,MATCH(S202,Coefficients!$W$3:$W$4))</f>
        <v>1</v>
      </c>
      <c r="AT202" s="27">
        <f>INDEX(Coefficients!$X$7:$X$8,MATCH(O202,Coefficients!$W$7:$W$8))</f>
        <v>1</v>
      </c>
      <c r="AU202" s="27">
        <f>INDEX(Coefficients!$X$11:$X$12,MATCH(P202,Coefficients!$W$11:$W$12))</f>
        <v>1</v>
      </c>
      <c r="AV202" s="27">
        <f>INDEX(Coefficients!$X$15:$X$17,MATCH(Q202,Coefficients!$W$15:$W$17))</f>
        <v>1</v>
      </c>
      <c r="AW202" s="27">
        <f t="shared" si="160"/>
        <v>1</v>
      </c>
      <c r="AX202" s="27">
        <f t="shared" si="161"/>
        <v>1</v>
      </c>
      <c r="AY202" s="27">
        <f t="shared" si="162"/>
        <v>1.3</v>
      </c>
      <c r="AZ202" s="24">
        <f t="shared" si="163"/>
        <v>51.189822442912671</v>
      </c>
      <c r="BA202" s="24">
        <f t="shared" si="164"/>
        <v>0</v>
      </c>
      <c r="BB202" s="24">
        <f t="shared" si="165"/>
        <v>2.6618707670314588</v>
      </c>
      <c r="BC202" s="24">
        <f t="shared" si="166"/>
        <v>1.733812923296854</v>
      </c>
      <c r="BD202" s="24">
        <f t="shared" si="169"/>
        <v>0.39070266403647269</v>
      </c>
      <c r="BE202" s="16">
        <f t="shared" si="170"/>
        <v>128.80525704632748</v>
      </c>
      <c r="BF202" s="16">
        <f t="shared" si="171"/>
        <v>142.38948590734503</v>
      </c>
      <c r="BG202" s="25">
        <f t="shared" si="172"/>
        <v>1</v>
      </c>
      <c r="BH202" s="24">
        <f t="shared" si="173"/>
        <v>283.37156550192049</v>
      </c>
      <c r="BI202" s="24">
        <f t="shared" si="174"/>
        <v>-166.74313100384097</v>
      </c>
      <c r="BJ202" s="24">
        <f t="shared" si="175"/>
        <v>32.178566667062</v>
      </c>
    </row>
    <row r="203" spans="2:62">
      <c r="B203" s="24" t="s">
        <v>91</v>
      </c>
      <c r="C203" s="82" t="str">
        <f>'Hotter&amp;Drier'!$B$1</f>
        <v>CSIRO Mk3.5</v>
      </c>
      <c r="D203" s="89">
        <v>2049</v>
      </c>
      <c r="E203" s="57">
        <f>'Cooler&amp;Wetter'!AA77</f>
        <v>35.597499999999997</v>
      </c>
      <c r="F203" s="90">
        <f>'Hotter&amp;Drier'!AC77</f>
        <v>23.272500000000001</v>
      </c>
      <c r="G203" s="35">
        <f t="shared" si="156"/>
        <v>2005</v>
      </c>
      <c r="H203" s="91" t="str">
        <f t="shared" si="136"/>
        <v>Pile 32 @ Berth 201</v>
      </c>
      <c r="I203" s="35" t="str">
        <f t="shared" si="137"/>
        <v>Turpentine Gum</v>
      </c>
      <c r="J203" s="35" t="str">
        <f t="shared" si="138"/>
        <v>HW1</v>
      </c>
      <c r="K203" s="35" t="str">
        <f t="shared" si="157"/>
        <v>SPHU</v>
      </c>
      <c r="L203" s="35">
        <f t="shared" si="139"/>
        <v>400</v>
      </c>
      <c r="M203" s="35">
        <f t="shared" si="140"/>
        <v>20</v>
      </c>
      <c r="N203" s="35">
        <f t="shared" si="141"/>
        <v>200</v>
      </c>
      <c r="O203" s="35" t="str">
        <f t="shared" si="142"/>
        <v>MTN2</v>
      </c>
      <c r="P203" s="35" t="str">
        <f t="shared" si="143"/>
        <v>CNT2</v>
      </c>
      <c r="Q203" s="35" t="str">
        <f t="shared" si="144"/>
        <v>KNT3</v>
      </c>
      <c r="R203" s="35" t="str">
        <f t="shared" si="145"/>
        <v>E</v>
      </c>
      <c r="S203" s="35" t="str">
        <f t="shared" si="146"/>
        <v>EXP1</v>
      </c>
      <c r="T203" s="58"/>
      <c r="U203" s="58"/>
      <c r="V203" s="58"/>
      <c r="W203" s="58"/>
      <c r="X203" s="58"/>
      <c r="Y203" s="58"/>
      <c r="Z203" s="58"/>
      <c r="AA203" s="95">
        <f t="shared" ref="AA203:AA266" si="176">BG203</f>
        <v>1</v>
      </c>
      <c r="AB203" s="96">
        <f t="shared" si="158"/>
        <v>132.1684247856769</v>
      </c>
      <c r="AC203" s="58"/>
      <c r="AD203" s="58"/>
      <c r="AE203" s="58"/>
      <c r="AF203" s="58"/>
      <c r="AG203" s="58"/>
      <c r="AH203" s="58"/>
      <c r="AI203" s="58"/>
      <c r="AJ203" s="58"/>
      <c r="AK203" s="58"/>
      <c r="AL203" s="58"/>
      <c r="AM203" s="89">
        <f t="shared" si="159"/>
        <v>44</v>
      </c>
      <c r="AN203" s="26">
        <f t="shared" si="167"/>
        <v>35.597499999999997</v>
      </c>
      <c r="AO203" s="24">
        <f t="shared" si="168"/>
        <v>2.0602759023357855</v>
      </c>
      <c r="AP203" s="24">
        <f>IF((OR(R203="A",R203="B",R203="C")),INDEX(Coefficients!$S$4:$S$22,MATCH(J203,Coefficients!$R$4:$R$22)),INDEX(Coefficients!$T$4:$T$22,MATCH(J203,Coefficients!$R$4:$R$22)))</f>
        <v>1.3</v>
      </c>
      <c r="AQ203" s="27">
        <f>IF((OR(R203="A",R203="B",R203="C")),INDEX(Coefficients!$S$4:$S$22,MATCH(K203,Coefficients!$R$4:$R$22)),INDEX(Coefficients!$T$4:$T$22,MATCH(K203,Coefficients!$R$4:$R$22)))</f>
        <v>25</v>
      </c>
      <c r="AR203" s="27">
        <f>IF(OR(R203="A",R203="B",R203="C",R203="D"),IF(AN203&gt;=11,IF(AN203&gt;=26,Coefficients!$M$6,Coefficients!$M$5),Coefficients!$M$4),IF(AN203&gt;=11,IF(AN203&gt;=26,Coefficients!$N$6,Coefficients!$N$5),Coefficients!$N$4))</f>
        <v>1</v>
      </c>
      <c r="AS203" s="27">
        <f>INDEX(Coefficients!$X$3:$X$4,MATCH(S203,Coefficients!$W$3:$W$4))</f>
        <v>1</v>
      </c>
      <c r="AT203" s="27">
        <f>INDEX(Coefficients!$X$7:$X$8,MATCH(O203,Coefficients!$W$7:$W$8))</f>
        <v>1</v>
      </c>
      <c r="AU203" s="27">
        <f>INDEX(Coefficients!$X$11:$X$12,MATCH(P203,Coefficients!$W$11:$W$12))</f>
        <v>1</v>
      </c>
      <c r="AV203" s="27">
        <f>INDEX(Coefficients!$X$15:$X$17,MATCH(Q203,Coefficients!$W$15:$W$17))</f>
        <v>1</v>
      </c>
      <c r="AW203" s="27">
        <f t="shared" si="160"/>
        <v>1</v>
      </c>
      <c r="AX203" s="27">
        <f t="shared" si="161"/>
        <v>1</v>
      </c>
      <c r="AY203" s="27">
        <f t="shared" si="162"/>
        <v>1.3</v>
      </c>
      <c r="AZ203" s="24">
        <f t="shared" si="163"/>
        <v>51.506897558394641</v>
      </c>
      <c r="BA203" s="24">
        <f t="shared" si="164"/>
        <v>0</v>
      </c>
      <c r="BB203" s="24">
        <f t="shared" si="165"/>
        <v>2.6783586730365214</v>
      </c>
      <c r="BC203" s="24">
        <f t="shared" si="166"/>
        <v>1.7321641326963477</v>
      </c>
      <c r="BD203" s="24">
        <f t="shared" si="169"/>
        <v>0.38829750864581791</v>
      </c>
      <c r="BE203" s="16">
        <f t="shared" si="170"/>
        <v>132.1684247856769</v>
      </c>
      <c r="BF203" s="16">
        <f t="shared" si="171"/>
        <v>135.66315042864619</v>
      </c>
      <c r="BG203" s="25">
        <f t="shared" si="172"/>
        <v>1</v>
      </c>
      <c r="BH203" s="24">
        <f t="shared" si="173"/>
        <v>290.77053452848924</v>
      </c>
      <c r="BI203" s="24">
        <f t="shared" si="174"/>
        <v>-181.54106905697847</v>
      </c>
      <c r="BJ203" s="24">
        <f t="shared" si="175"/>
        <v>31.989500767943539</v>
      </c>
    </row>
    <row r="204" spans="2:62">
      <c r="B204" s="24" t="s">
        <v>91</v>
      </c>
      <c r="C204" s="82" t="str">
        <f>'Hotter&amp;Drier'!$B$1</f>
        <v>CSIRO Mk3.5</v>
      </c>
      <c r="D204" s="89">
        <v>2050</v>
      </c>
      <c r="E204" s="57">
        <f>'Cooler&amp;Wetter'!AA78</f>
        <v>35.6</v>
      </c>
      <c r="F204" s="90">
        <f>'Hotter&amp;Drier'!AC78</f>
        <v>23.32</v>
      </c>
      <c r="G204" s="35">
        <f t="shared" si="156"/>
        <v>2005</v>
      </c>
      <c r="H204" s="91" t="str">
        <f t="shared" si="136"/>
        <v>Pile 32 @ Berth 201</v>
      </c>
      <c r="I204" s="35" t="str">
        <f t="shared" si="137"/>
        <v>Turpentine Gum</v>
      </c>
      <c r="J204" s="35" t="str">
        <f t="shared" si="138"/>
        <v>HW1</v>
      </c>
      <c r="K204" s="35" t="str">
        <f t="shared" si="157"/>
        <v>SPHU</v>
      </c>
      <c r="L204" s="35">
        <f t="shared" si="139"/>
        <v>400</v>
      </c>
      <c r="M204" s="35">
        <f t="shared" si="140"/>
        <v>20</v>
      </c>
      <c r="N204" s="35">
        <f t="shared" si="141"/>
        <v>200</v>
      </c>
      <c r="O204" s="35" t="str">
        <f t="shared" si="142"/>
        <v>MTN2</v>
      </c>
      <c r="P204" s="35" t="str">
        <f t="shared" si="143"/>
        <v>CNT2</v>
      </c>
      <c r="Q204" s="35" t="str">
        <f t="shared" si="144"/>
        <v>KNT3</v>
      </c>
      <c r="R204" s="35" t="str">
        <f t="shared" si="145"/>
        <v>E</v>
      </c>
      <c r="S204" s="35" t="str">
        <f t="shared" si="146"/>
        <v>EXP1</v>
      </c>
      <c r="T204" s="58"/>
      <c r="U204" s="58"/>
      <c r="V204" s="58"/>
      <c r="W204" s="58"/>
      <c r="X204" s="58"/>
      <c r="Y204" s="58"/>
      <c r="Z204" s="58"/>
      <c r="AA204" s="95">
        <f t="shared" si="176"/>
        <v>1</v>
      </c>
      <c r="AB204" s="96">
        <f t="shared" si="158"/>
        <v>135.56906924807856</v>
      </c>
      <c r="AC204" s="58"/>
      <c r="AD204" s="58"/>
      <c r="AE204" s="58"/>
      <c r="AF204" s="58"/>
      <c r="AG204" s="58"/>
      <c r="AH204" s="58"/>
      <c r="AI204" s="58"/>
      <c r="AJ204" s="58"/>
      <c r="AK204" s="58"/>
      <c r="AL204" s="58"/>
      <c r="AM204" s="89">
        <f t="shared" si="159"/>
        <v>45</v>
      </c>
      <c r="AN204" s="26">
        <f t="shared" si="167"/>
        <v>35.6</v>
      </c>
      <c r="AO204" s="24">
        <f t="shared" si="168"/>
        <v>2.0730374668125209</v>
      </c>
      <c r="AP204" s="24">
        <f>IF((OR(R204="A",R204="B",R204="C")),INDEX(Coefficients!$S$4:$S$22,MATCH(J204,Coefficients!$R$4:$R$22)),INDEX(Coefficients!$T$4:$T$22,MATCH(J204,Coefficients!$R$4:$R$22)))</f>
        <v>1.3</v>
      </c>
      <c r="AQ204" s="27">
        <f>IF((OR(R204="A",R204="B",R204="C")),INDEX(Coefficients!$S$4:$S$22,MATCH(K204,Coefficients!$R$4:$R$22)),INDEX(Coefficients!$T$4:$T$22,MATCH(K204,Coefficients!$R$4:$R$22)))</f>
        <v>25</v>
      </c>
      <c r="AR204" s="27">
        <f>IF(OR(R204="A",R204="B",R204="C",R204="D"),IF(AN204&gt;=11,IF(AN204&gt;=26,Coefficients!$M$6,Coefficients!$M$5),Coefficients!$M$4),IF(AN204&gt;=11,IF(AN204&gt;=26,Coefficients!$N$6,Coefficients!$N$5),Coefficients!$N$4))</f>
        <v>1</v>
      </c>
      <c r="AS204" s="27">
        <f>INDEX(Coefficients!$X$3:$X$4,MATCH(S204,Coefficients!$W$3:$W$4))</f>
        <v>1</v>
      </c>
      <c r="AT204" s="27">
        <f>INDEX(Coefficients!$X$7:$X$8,MATCH(O204,Coefficients!$W$7:$W$8))</f>
        <v>1</v>
      </c>
      <c r="AU204" s="27">
        <f>INDEX(Coefficients!$X$11:$X$12,MATCH(P204,Coefficients!$W$11:$W$12))</f>
        <v>1</v>
      </c>
      <c r="AV204" s="27">
        <f>INDEX(Coefficients!$X$15:$X$17,MATCH(Q204,Coefficients!$W$15:$W$17))</f>
        <v>1</v>
      </c>
      <c r="AW204" s="27">
        <f t="shared" si="160"/>
        <v>1</v>
      </c>
      <c r="AX204" s="27">
        <f t="shared" si="161"/>
        <v>1</v>
      </c>
      <c r="AY204" s="27">
        <f t="shared" si="162"/>
        <v>1.3</v>
      </c>
      <c r="AZ204" s="24">
        <f t="shared" si="163"/>
        <v>51.82593667031302</v>
      </c>
      <c r="BA204" s="24">
        <f t="shared" si="164"/>
        <v>0</v>
      </c>
      <c r="BB204" s="24">
        <f t="shared" si="165"/>
        <v>2.6949487068562772</v>
      </c>
      <c r="BC204" s="24">
        <f t="shared" si="166"/>
        <v>1.7305051293143723</v>
      </c>
      <c r="BD204" s="24">
        <f t="shared" si="169"/>
        <v>0.38590715932890063</v>
      </c>
      <c r="BE204" s="16">
        <f t="shared" si="170"/>
        <v>135.56906924807856</v>
      </c>
      <c r="BF204" s="16">
        <f t="shared" si="171"/>
        <v>128.86186150384287</v>
      </c>
      <c r="BG204" s="25">
        <f t="shared" si="172"/>
        <v>1</v>
      </c>
      <c r="BH204" s="24">
        <f t="shared" si="173"/>
        <v>298.25195234577285</v>
      </c>
      <c r="BI204" s="24">
        <f t="shared" si="174"/>
        <v>-196.5039046915457</v>
      </c>
      <c r="BJ204" s="24">
        <f t="shared" si="175"/>
        <v>31.8015783908664</v>
      </c>
    </row>
    <row r="205" spans="2:62">
      <c r="B205" s="24" t="s">
        <v>91</v>
      </c>
      <c r="C205" s="82" t="str">
        <f>'Hotter&amp;Drier'!$B$1</f>
        <v>CSIRO Mk3.5</v>
      </c>
      <c r="D205" s="89">
        <v>2051</v>
      </c>
      <c r="E205" s="57">
        <f>'Cooler&amp;Wetter'!AA79</f>
        <v>35.603499999999997</v>
      </c>
      <c r="F205" s="90">
        <f>'Hotter&amp;Drier'!AC79</f>
        <v>23.375499999999999</v>
      </c>
      <c r="G205" s="35">
        <f t="shared" si="156"/>
        <v>2005</v>
      </c>
      <c r="H205" s="91" t="str">
        <f t="shared" si="136"/>
        <v>Pile 32 @ Berth 201</v>
      </c>
      <c r="I205" s="35" t="str">
        <f t="shared" si="137"/>
        <v>Turpentine Gum</v>
      </c>
      <c r="J205" s="35" t="str">
        <f t="shared" si="138"/>
        <v>HW1</v>
      </c>
      <c r="K205" s="35" t="str">
        <f t="shared" si="157"/>
        <v>SPHU</v>
      </c>
      <c r="L205" s="35">
        <f t="shared" si="139"/>
        <v>400</v>
      </c>
      <c r="M205" s="35">
        <f t="shared" si="140"/>
        <v>20</v>
      </c>
      <c r="N205" s="35">
        <f t="shared" si="141"/>
        <v>200</v>
      </c>
      <c r="O205" s="35" t="str">
        <f t="shared" si="142"/>
        <v>MTN2</v>
      </c>
      <c r="P205" s="35" t="str">
        <f t="shared" si="143"/>
        <v>CNT2</v>
      </c>
      <c r="Q205" s="35" t="str">
        <f t="shared" si="144"/>
        <v>KNT3</v>
      </c>
      <c r="R205" s="35" t="str">
        <f t="shared" si="145"/>
        <v>E</v>
      </c>
      <c r="S205" s="35" t="str">
        <f t="shared" si="146"/>
        <v>EXP1</v>
      </c>
      <c r="T205" s="58"/>
      <c r="U205" s="58"/>
      <c r="V205" s="58"/>
      <c r="W205" s="58"/>
      <c r="X205" s="58"/>
      <c r="Y205" s="58"/>
      <c r="Z205" s="58"/>
      <c r="AA205" s="95">
        <f t="shared" si="176"/>
        <v>1</v>
      </c>
      <c r="AB205" s="96">
        <f t="shared" si="158"/>
        <v>139.13320628774954</v>
      </c>
      <c r="AC205" s="58"/>
      <c r="AD205" s="58"/>
      <c r="AE205" s="58"/>
      <c r="AF205" s="58"/>
      <c r="AG205" s="58"/>
      <c r="AH205" s="58"/>
      <c r="AI205" s="58"/>
      <c r="AJ205" s="58"/>
      <c r="AK205" s="58"/>
      <c r="AL205" s="58"/>
      <c r="AM205" s="89">
        <f t="shared" si="159"/>
        <v>46</v>
      </c>
      <c r="AN205" s="26">
        <f t="shared" si="167"/>
        <v>35.603499999999997</v>
      </c>
      <c r="AO205" s="24">
        <f t="shared" si="168"/>
        <v>2.0880485193895737</v>
      </c>
      <c r="AP205" s="24">
        <f>IF((OR(R205="A",R205="B",R205="C")),INDEX(Coefficients!$S$4:$S$22,MATCH(J205,Coefficients!$R$4:$R$22)),INDEX(Coefficients!$T$4:$T$22,MATCH(J205,Coefficients!$R$4:$R$22)))</f>
        <v>1.3</v>
      </c>
      <c r="AQ205" s="27">
        <f>IF((OR(R205="A",R205="B",R205="C")),INDEX(Coefficients!$S$4:$S$22,MATCH(K205,Coefficients!$R$4:$R$22)),INDEX(Coefficients!$T$4:$T$22,MATCH(K205,Coefficients!$R$4:$R$22)))</f>
        <v>25</v>
      </c>
      <c r="AR205" s="27">
        <f>IF(OR(R205="A",R205="B",R205="C",R205="D"),IF(AN205&gt;=11,IF(AN205&gt;=26,Coefficients!$M$6,Coefficients!$M$5),Coefficients!$M$4),IF(AN205&gt;=11,IF(AN205&gt;=26,Coefficients!$N$6,Coefficients!$N$5),Coefficients!$N$4))</f>
        <v>1</v>
      </c>
      <c r="AS205" s="27">
        <f>INDEX(Coefficients!$X$3:$X$4,MATCH(S205,Coefficients!$W$3:$W$4))</f>
        <v>1</v>
      </c>
      <c r="AT205" s="27">
        <f>INDEX(Coefficients!$X$7:$X$8,MATCH(O205,Coefficients!$W$7:$W$8))</f>
        <v>1</v>
      </c>
      <c r="AU205" s="27">
        <f>INDEX(Coefficients!$X$11:$X$12,MATCH(P205,Coefficients!$W$11:$W$12))</f>
        <v>1</v>
      </c>
      <c r="AV205" s="27">
        <f>INDEX(Coefficients!$X$15:$X$17,MATCH(Q205,Coefficients!$W$15:$W$17))</f>
        <v>1</v>
      </c>
      <c r="AW205" s="27">
        <f t="shared" si="160"/>
        <v>1</v>
      </c>
      <c r="AX205" s="27">
        <f t="shared" si="161"/>
        <v>1</v>
      </c>
      <c r="AY205" s="27">
        <f t="shared" si="162"/>
        <v>1.3</v>
      </c>
      <c r="AZ205" s="24">
        <f t="shared" si="163"/>
        <v>52.201212984739342</v>
      </c>
      <c r="BA205" s="24">
        <f t="shared" si="164"/>
        <v>0</v>
      </c>
      <c r="BB205" s="24">
        <f t="shared" si="165"/>
        <v>2.7144630752064458</v>
      </c>
      <c r="BC205" s="24">
        <f t="shared" si="166"/>
        <v>1.7285536924793554</v>
      </c>
      <c r="BD205" s="24">
        <f t="shared" si="169"/>
        <v>0.38313285949594428</v>
      </c>
      <c r="BE205" s="16">
        <f t="shared" si="170"/>
        <v>139.13320628774954</v>
      </c>
      <c r="BF205" s="16">
        <f t="shared" si="171"/>
        <v>121.73358742450091</v>
      </c>
      <c r="BG205" s="25">
        <f t="shared" si="172"/>
        <v>1</v>
      </c>
      <c r="BH205" s="24">
        <f t="shared" si="173"/>
        <v>306.093053833049</v>
      </c>
      <c r="BI205" s="24">
        <f t="shared" si="174"/>
        <v>-212.186107666098</v>
      </c>
      <c r="BJ205" s="24">
        <f t="shared" si="175"/>
        <v>31.583444974740242</v>
      </c>
    </row>
    <row r="206" spans="2:62">
      <c r="B206" s="24" t="s">
        <v>91</v>
      </c>
      <c r="C206" s="82" t="str">
        <f>'Hotter&amp;Drier'!$B$1</f>
        <v>CSIRO Mk3.5</v>
      </c>
      <c r="D206" s="89">
        <v>2052</v>
      </c>
      <c r="E206" s="57">
        <f>'Cooler&amp;Wetter'!AA80</f>
        <v>35.606999999999999</v>
      </c>
      <c r="F206" s="90">
        <f>'Hotter&amp;Drier'!AC80</f>
        <v>23.431000000000001</v>
      </c>
      <c r="G206" s="35">
        <f t="shared" si="156"/>
        <v>2005</v>
      </c>
      <c r="H206" s="91" t="str">
        <f t="shared" si="136"/>
        <v>Pile 32 @ Berth 201</v>
      </c>
      <c r="I206" s="35" t="str">
        <f t="shared" si="137"/>
        <v>Turpentine Gum</v>
      </c>
      <c r="J206" s="35" t="str">
        <f t="shared" si="138"/>
        <v>HW1</v>
      </c>
      <c r="K206" s="35" t="str">
        <f t="shared" si="157"/>
        <v>SPHU</v>
      </c>
      <c r="L206" s="35">
        <f t="shared" si="139"/>
        <v>400</v>
      </c>
      <c r="M206" s="35">
        <f t="shared" si="140"/>
        <v>20</v>
      </c>
      <c r="N206" s="35">
        <f t="shared" si="141"/>
        <v>200</v>
      </c>
      <c r="O206" s="35" t="str">
        <f t="shared" si="142"/>
        <v>MTN2</v>
      </c>
      <c r="P206" s="35" t="str">
        <f t="shared" si="143"/>
        <v>CNT2</v>
      </c>
      <c r="Q206" s="35" t="str">
        <f t="shared" si="144"/>
        <v>KNT3</v>
      </c>
      <c r="R206" s="35" t="str">
        <f t="shared" si="145"/>
        <v>E</v>
      </c>
      <c r="S206" s="35" t="str">
        <f t="shared" si="146"/>
        <v>EXP1</v>
      </c>
      <c r="T206" s="58"/>
      <c r="U206" s="58"/>
      <c r="V206" s="58"/>
      <c r="W206" s="58"/>
      <c r="X206" s="58"/>
      <c r="Y206" s="58"/>
      <c r="Z206" s="58"/>
      <c r="AA206" s="95">
        <f t="shared" si="176"/>
        <v>1</v>
      </c>
      <c r="AB206" s="96">
        <f t="shared" si="158"/>
        <v>142.74288423245113</v>
      </c>
      <c r="AC206" s="58"/>
      <c r="AD206" s="58"/>
      <c r="AE206" s="58"/>
      <c r="AF206" s="58"/>
      <c r="AG206" s="58"/>
      <c r="AH206" s="58"/>
      <c r="AI206" s="58"/>
      <c r="AJ206" s="58"/>
      <c r="AK206" s="58"/>
      <c r="AL206" s="58"/>
      <c r="AM206" s="89">
        <f t="shared" si="159"/>
        <v>47</v>
      </c>
      <c r="AN206" s="26">
        <f t="shared" si="167"/>
        <v>35.606999999999999</v>
      </c>
      <c r="AO206" s="24">
        <f t="shared" si="168"/>
        <v>2.1031682683616886</v>
      </c>
      <c r="AP206" s="24">
        <f>IF((OR(R206="A",R206="B",R206="C")),INDEX(Coefficients!$S$4:$S$22,MATCH(J206,Coefficients!$R$4:$R$22)),INDEX(Coefficients!$T$4:$T$22,MATCH(J206,Coefficients!$R$4:$R$22)))</f>
        <v>1.3</v>
      </c>
      <c r="AQ206" s="27">
        <f>IF((OR(R206="A",R206="B",R206="C")),INDEX(Coefficients!$S$4:$S$22,MATCH(K206,Coefficients!$R$4:$R$22)),INDEX(Coefficients!$T$4:$T$22,MATCH(K206,Coefficients!$R$4:$R$22)))</f>
        <v>25</v>
      </c>
      <c r="AR206" s="27">
        <f>IF(OR(R206="A",R206="B",R206="C",R206="D"),IF(AN206&gt;=11,IF(AN206&gt;=26,Coefficients!$M$6,Coefficients!$M$5),Coefficients!$M$4),IF(AN206&gt;=11,IF(AN206&gt;=26,Coefficients!$N$6,Coefficients!$N$5),Coefficients!$N$4))</f>
        <v>1</v>
      </c>
      <c r="AS206" s="27">
        <f>INDEX(Coefficients!$X$3:$X$4,MATCH(S206,Coefficients!$W$3:$W$4))</f>
        <v>1</v>
      </c>
      <c r="AT206" s="27">
        <f>INDEX(Coefficients!$X$7:$X$8,MATCH(O206,Coefficients!$W$7:$W$8))</f>
        <v>1</v>
      </c>
      <c r="AU206" s="27">
        <f>INDEX(Coefficients!$X$11:$X$12,MATCH(P206,Coefficients!$W$11:$W$12))</f>
        <v>1</v>
      </c>
      <c r="AV206" s="27">
        <f>INDEX(Coefficients!$X$15:$X$17,MATCH(Q206,Coefficients!$W$15:$W$17))</f>
        <v>1</v>
      </c>
      <c r="AW206" s="27">
        <f t="shared" si="160"/>
        <v>1</v>
      </c>
      <c r="AX206" s="27">
        <f t="shared" si="161"/>
        <v>1</v>
      </c>
      <c r="AY206" s="27">
        <f t="shared" si="162"/>
        <v>1.3</v>
      </c>
      <c r="AZ206" s="24">
        <f t="shared" si="163"/>
        <v>52.579206709042211</v>
      </c>
      <c r="BA206" s="24">
        <f t="shared" si="164"/>
        <v>0</v>
      </c>
      <c r="BB206" s="24">
        <f t="shared" si="165"/>
        <v>2.7341187488701952</v>
      </c>
      <c r="BC206" s="24">
        <f t="shared" si="166"/>
        <v>1.7265881251129804</v>
      </c>
      <c r="BD206" s="24">
        <f t="shared" si="169"/>
        <v>0.38037850419984631</v>
      </c>
      <c r="BE206" s="16">
        <f t="shared" si="170"/>
        <v>142.74288423245113</v>
      </c>
      <c r="BF206" s="16">
        <f t="shared" si="171"/>
        <v>114.51423153509774</v>
      </c>
      <c r="BG206" s="25">
        <f t="shared" si="172"/>
        <v>1</v>
      </c>
      <c r="BH206" s="24">
        <f t="shared" si="173"/>
        <v>314.03434531139254</v>
      </c>
      <c r="BI206" s="24">
        <f t="shared" si="174"/>
        <v>-228.06869062278508</v>
      </c>
      <c r="BJ206" s="24">
        <f t="shared" si="175"/>
        <v>31.366851567762538</v>
      </c>
    </row>
    <row r="207" spans="2:62">
      <c r="B207" s="24" t="s">
        <v>91</v>
      </c>
      <c r="C207" s="82" t="str">
        <f>'Hotter&amp;Drier'!$B$1</f>
        <v>CSIRO Mk3.5</v>
      </c>
      <c r="D207" s="89">
        <v>2053</v>
      </c>
      <c r="E207" s="57">
        <f>'Cooler&amp;Wetter'!AA81</f>
        <v>35.610500000000002</v>
      </c>
      <c r="F207" s="90">
        <f>'Hotter&amp;Drier'!AC81</f>
        <v>23.486499999999999</v>
      </c>
      <c r="G207" s="35">
        <f t="shared" si="156"/>
        <v>2005</v>
      </c>
      <c r="H207" s="91" t="str">
        <f t="shared" si="136"/>
        <v>Pile 32 @ Berth 201</v>
      </c>
      <c r="I207" s="35" t="str">
        <f t="shared" si="137"/>
        <v>Turpentine Gum</v>
      </c>
      <c r="J207" s="35" t="str">
        <f t="shared" si="138"/>
        <v>HW1</v>
      </c>
      <c r="K207" s="35" t="str">
        <f t="shared" si="157"/>
        <v>SPHU</v>
      </c>
      <c r="L207" s="35">
        <f t="shared" si="139"/>
        <v>400</v>
      </c>
      <c r="M207" s="35">
        <f t="shared" si="140"/>
        <v>20</v>
      </c>
      <c r="N207" s="35">
        <f t="shared" si="141"/>
        <v>200</v>
      </c>
      <c r="O207" s="35" t="str">
        <f t="shared" si="142"/>
        <v>MTN2</v>
      </c>
      <c r="P207" s="35" t="str">
        <f t="shared" si="143"/>
        <v>CNT2</v>
      </c>
      <c r="Q207" s="35" t="str">
        <f t="shared" si="144"/>
        <v>KNT3</v>
      </c>
      <c r="R207" s="35" t="str">
        <f t="shared" si="145"/>
        <v>E</v>
      </c>
      <c r="S207" s="35" t="str">
        <f t="shared" si="146"/>
        <v>EXP1</v>
      </c>
      <c r="T207" s="58"/>
      <c r="U207" s="58"/>
      <c r="V207" s="58"/>
      <c r="W207" s="58"/>
      <c r="X207" s="58"/>
      <c r="Y207" s="58"/>
      <c r="Z207" s="58"/>
      <c r="AA207" s="95">
        <f t="shared" si="176"/>
        <v>1</v>
      </c>
      <c r="AB207" s="96">
        <f t="shared" si="158"/>
        <v>146.39857629557076</v>
      </c>
      <c r="AC207" s="58"/>
      <c r="AD207" s="58"/>
      <c r="AE207" s="58"/>
      <c r="AF207" s="58"/>
      <c r="AG207" s="58"/>
      <c r="AH207" s="58"/>
      <c r="AI207" s="58"/>
      <c r="AJ207" s="58"/>
      <c r="AK207" s="58"/>
      <c r="AL207" s="58"/>
      <c r="AM207" s="89">
        <f t="shared" si="159"/>
        <v>48</v>
      </c>
      <c r="AN207" s="26">
        <f t="shared" si="167"/>
        <v>35.610500000000002</v>
      </c>
      <c r="AO207" s="24">
        <f t="shared" si="168"/>
        <v>2.1183975008093348</v>
      </c>
      <c r="AP207" s="24">
        <f>IF((OR(R207="A",R207="B",R207="C")),INDEX(Coefficients!$S$4:$S$22,MATCH(J207,Coefficients!$R$4:$R$22)),INDEX(Coefficients!$T$4:$T$22,MATCH(J207,Coefficients!$R$4:$R$22)))</f>
        <v>1.3</v>
      </c>
      <c r="AQ207" s="27">
        <f>IF((OR(R207="A",R207="B",R207="C")),INDEX(Coefficients!$S$4:$S$22,MATCH(K207,Coefficients!$R$4:$R$22)),INDEX(Coefficients!$T$4:$T$22,MATCH(K207,Coefficients!$R$4:$R$22)))</f>
        <v>25</v>
      </c>
      <c r="AR207" s="27">
        <f>IF(OR(R207="A",R207="B",R207="C",R207="D"),IF(AN207&gt;=11,IF(AN207&gt;=26,Coefficients!$M$6,Coefficients!$M$5),Coefficients!$M$4),IF(AN207&gt;=11,IF(AN207&gt;=26,Coefficients!$N$6,Coefficients!$N$5),Coefficients!$N$4))</f>
        <v>1</v>
      </c>
      <c r="AS207" s="27">
        <f>INDEX(Coefficients!$X$3:$X$4,MATCH(S207,Coefficients!$W$3:$W$4))</f>
        <v>1</v>
      </c>
      <c r="AT207" s="27">
        <f>INDEX(Coefficients!$X$7:$X$8,MATCH(O207,Coefficients!$W$7:$W$8))</f>
        <v>1</v>
      </c>
      <c r="AU207" s="27">
        <f>INDEX(Coefficients!$X$11:$X$12,MATCH(P207,Coefficients!$W$11:$W$12))</f>
        <v>1</v>
      </c>
      <c r="AV207" s="27">
        <f>INDEX(Coefficients!$X$15:$X$17,MATCH(Q207,Coefficients!$W$15:$W$17))</f>
        <v>1</v>
      </c>
      <c r="AW207" s="27">
        <f t="shared" si="160"/>
        <v>1</v>
      </c>
      <c r="AX207" s="27">
        <f t="shared" si="161"/>
        <v>1</v>
      </c>
      <c r="AY207" s="27">
        <f t="shared" si="162"/>
        <v>1.3</v>
      </c>
      <c r="AZ207" s="24">
        <f t="shared" si="163"/>
        <v>52.959937520233368</v>
      </c>
      <c r="BA207" s="24">
        <f t="shared" si="164"/>
        <v>0</v>
      </c>
      <c r="BB207" s="24">
        <f t="shared" si="165"/>
        <v>2.7539167510521354</v>
      </c>
      <c r="BC207" s="24">
        <f t="shared" si="166"/>
        <v>1.7246083248947865</v>
      </c>
      <c r="BD207" s="24">
        <f t="shared" si="169"/>
        <v>0.37764395005864559</v>
      </c>
      <c r="BE207" s="16">
        <f t="shared" si="170"/>
        <v>146.39857629557076</v>
      </c>
      <c r="BF207" s="16">
        <f t="shared" si="171"/>
        <v>107.20284740885847</v>
      </c>
      <c r="BG207" s="25">
        <f t="shared" si="172"/>
        <v>1</v>
      </c>
      <c r="BH207" s="24">
        <f t="shared" si="173"/>
        <v>322.07686785025572</v>
      </c>
      <c r="BI207" s="24">
        <f t="shared" si="174"/>
        <v>-244.15373570051145</v>
      </c>
      <c r="BJ207" s="24">
        <f t="shared" si="175"/>
        <v>31.151786894849238</v>
      </c>
    </row>
    <row r="208" spans="2:62">
      <c r="B208" s="24" t="s">
        <v>91</v>
      </c>
      <c r="C208" s="82" t="str">
        <f>'Hotter&amp;Drier'!$B$1</f>
        <v>CSIRO Mk3.5</v>
      </c>
      <c r="D208" s="89">
        <v>2054</v>
      </c>
      <c r="E208" s="57">
        <f>'Cooler&amp;Wetter'!AA82</f>
        <v>35.613999999999997</v>
      </c>
      <c r="F208" s="90">
        <f>'Hotter&amp;Drier'!AC82</f>
        <v>23.542000000000002</v>
      </c>
      <c r="G208" s="35">
        <f t="shared" si="156"/>
        <v>2005</v>
      </c>
      <c r="H208" s="91" t="str">
        <f t="shared" si="136"/>
        <v>Pile 32 @ Berth 201</v>
      </c>
      <c r="I208" s="35" t="str">
        <f t="shared" si="137"/>
        <v>Turpentine Gum</v>
      </c>
      <c r="J208" s="35" t="str">
        <f t="shared" si="138"/>
        <v>HW1</v>
      </c>
      <c r="K208" s="35" t="str">
        <f t="shared" si="157"/>
        <v>SPHU</v>
      </c>
      <c r="L208" s="35">
        <f t="shared" si="139"/>
        <v>400</v>
      </c>
      <c r="M208" s="35">
        <f t="shared" si="140"/>
        <v>20</v>
      </c>
      <c r="N208" s="35">
        <f t="shared" si="141"/>
        <v>200</v>
      </c>
      <c r="O208" s="35" t="str">
        <f t="shared" si="142"/>
        <v>MTN2</v>
      </c>
      <c r="P208" s="35" t="str">
        <f t="shared" si="143"/>
        <v>CNT2</v>
      </c>
      <c r="Q208" s="35" t="str">
        <f t="shared" si="144"/>
        <v>KNT3</v>
      </c>
      <c r="R208" s="35" t="str">
        <f t="shared" si="145"/>
        <v>E</v>
      </c>
      <c r="S208" s="35" t="str">
        <f t="shared" si="146"/>
        <v>EXP1</v>
      </c>
      <c r="T208" s="58"/>
      <c r="U208" s="58"/>
      <c r="V208" s="58"/>
      <c r="W208" s="58"/>
      <c r="X208" s="58"/>
      <c r="Y208" s="58"/>
      <c r="Z208" s="58"/>
      <c r="AA208" s="95">
        <f t="shared" si="176"/>
        <v>1</v>
      </c>
      <c r="AB208" s="96">
        <f t="shared" si="158"/>
        <v>150.10076016395553</v>
      </c>
      <c r="AC208" s="58"/>
      <c r="AD208" s="58"/>
      <c r="AE208" s="58"/>
      <c r="AF208" s="58"/>
      <c r="AG208" s="58"/>
      <c r="AH208" s="58"/>
      <c r="AI208" s="58"/>
      <c r="AJ208" s="58"/>
      <c r="AK208" s="58"/>
      <c r="AL208" s="58"/>
      <c r="AM208" s="89">
        <f t="shared" si="159"/>
        <v>49</v>
      </c>
      <c r="AN208" s="26">
        <f t="shared" si="167"/>
        <v>35.613999999999997</v>
      </c>
      <c r="AO208" s="24">
        <f t="shared" si="168"/>
        <v>2.1337370095123021</v>
      </c>
      <c r="AP208" s="24">
        <f>IF((OR(R208="A",R208="B",R208="C")),INDEX(Coefficients!$S$4:$S$22,MATCH(J208,Coefficients!$R$4:$R$22)),INDEX(Coefficients!$T$4:$T$22,MATCH(J208,Coefficients!$R$4:$R$22)))</f>
        <v>1.3</v>
      </c>
      <c r="AQ208" s="27">
        <f>IF((OR(R208="A",R208="B",R208="C")),INDEX(Coefficients!$S$4:$S$22,MATCH(K208,Coefficients!$R$4:$R$22)),INDEX(Coefficients!$T$4:$T$22,MATCH(K208,Coefficients!$R$4:$R$22)))</f>
        <v>25</v>
      </c>
      <c r="AR208" s="27">
        <f>IF(OR(R208="A",R208="B",R208="C",R208="D"),IF(AN208&gt;=11,IF(AN208&gt;=26,Coefficients!$M$6,Coefficients!$M$5),Coefficients!$M$4),IF(AN208&gt;=11,IF(AN208&gt;=26,Coefficients!$N$6,Coefficients!$N$5),Coefficients!$N$4))</f>
        <v>1</v>
      </c>
      <c r="AS208" s="27">
        <f>INDEX(Coefficients!$X$3:$X$4,MATCH(S208,Coefficients!$W$3:$W$4))</f>
        <v>1</v>
      </c>
      <c r="AT208" s="27">
        <f>INDEX(Coefficients!$X$7:$X$8,MATCH(O208,Coefficients!$W$7:$W$8))</f>
        <v>1</v>
      </c>
      <c r="AU208" s="27">
        <f>INDEX(Coefficients!$X$11:$X$12,MATCH(P208,Coefficients!$W$11:$W$12))</f>
        <v>1</v>
      </c>
      <c r="AV208" s="27">
        <f>INDEX(Coefficients!$X$15:$X$17,MATCH(Q208,Coefficients!$W$15:$W$17))</f>
        <v>1</v>
      </c>
      <c r="AW208" s="27">
        <f t="shared" si="160"/>
        <v>1</v>
      </c>
      <c r="AX208" s="27">
        <f t="shared" si="161"/>
        <v>1</v>
      </c>
      <c r="AY208" s="27">
        <f t="shared" si="162"/>
        <v>1.3</v>
      </c>
      <c r="AZ208" s="24">
        <f t="shared" si="163"/>
        <v>53.343425237807551</v>
      </c>
      <c r="BA208" s="24">
        <f t="shared" si="164"/>
        <v>0</v>
      </c>
      <c r="BB208" s="24">
        <f t="shared" si="165"/>
        <v>2.7738581123659927</v>
      </c>
      <c r="BC208" s="24">
        <f t="shared" si="166"/>
        <v>1.7226141887634008</v>
      </c>
      <c r="BD208" s="24">
        <f t="shared" si="169"/>
        <v>0.37492905472115895</v>
      </c>
      <c r="BE208" s="16">
        <f t="shared" si="170"/>
        <v>150.10076016395553</v>
      </c>
      <c r="BF208" s="16">
        <f t="shared" si="171"/>
        <v>99.798479672088945</v>
      </c>
      <c r="BG208" s="25">
        <f t="shared" si="172"/>
        <v>1</v>
      </c>
      <c r="BH208" s="24">
        <f t="shared" si="173"/>
        <v>330.2216723607022</v>
      </c>
      <c r="BI208" s="24">
        <f t="shared" si="174"/>
        <v>-260.4433447214044</v>
      </c>
      <c r="BJ208" s="24">
        <f t="shared" si="175"/>
        <v>30.938239760496788</v>
      </c>
    </row>
    <row r="209" spans="2:62">
      <c r="B209" s="24" t="s">
        <v>91</v>
      </c>
      <c r="C209" s="82" t="str">
        <f>'Hotter&amp;Drier'!$B$1</f>
        <v>CSIRO Mk3.5</v>
      </c>
      <c r="D209" s="89">
        <v>2055</v>
      </c>
      <c r="E209" s="57">
        <f>'Cooler&amp;Wetter'!AA83</f>
        <v>35.6175</v>
      </c>
      <c r="F209" s="90">
        <f>'Hotter&amp;Drier'!AC83</f>
        <v>23.5975</v>
      </c>
      <c r="G209" s="35">
        <f t="shared" si="156"/>
        <v>2005</v>
      </c>
      <c r="H209" s="91" t="str">
        <f t="shared" si="136"/>
        <v>Pile 32 @ Berth 201</v>
      </c>
      <c r="I209" s="35" t="str">
        <f t="shared" si="137"/>
        <v>Turpentine Gum</v>
      </c>
      <c r="J209" s="35" t="str">
        <f t="shared" si="138"/>
        <v>HW1</v>
      </c>
      <c r="K209" s="35" t="str">
        <f t="shared" si="157"/>
        <v>SPHU</v>
      </c>
      <c r="L209" s="35">
        <f t="shared" si="139"/>
        <v>400</v>
      </c>
      <c r="M209" s="35">
        <f t="shared" si="140"/>
        <v>20</v>
      </c>
      <c r="N209" s="35">
        <f t="shared" si="141"/>
        <v>200</v>
      </c>
      <c r="O209" s="35" t="str">
        <f t="shared" si="142"/>
        <v>MTN2</v>
      </c>
      <c r="P209" s="35" t="str">
        <f t="shared" si="143"/>
        <v>CNT2</v>
      </c>
      <c r="Q209" s="35" t="str">
        <f t="shared" si="144"/>
        <v>KNT3</v>
      </c>
      <c r="R209" s="35" t="str">
        <f t="shared" si="145"/>
        <v>E</v>
      </c>
      <c r="S209" s="35" t="str">
        <f t="shared" si="146"/>
        <v>EXP1</v>
      </c>
      <c r="T209" s="58"/>
      <c r="U209" s="58"/>
      <c r="V209" s="58"/>
      <c r="W209" s="58"/>
      <c r="X209" s="58"/>
      <c r="Y209" s="58"/>
      <c r="Z209" s="58"/>
      <c r="AA209" s="95">
        <f t="shared" si="176"/>
        <v>1</v>
      </c>
      <c r="AB209" s="96">
        <f t="shared" si="158"/>
        <v>153.84991803800389</v>
      </c>
      <c r="AC209" s="58"/>
      <c r="AD209" s="58"/>
      <c r="AE209" s="58"/>
      <c r="AF209" s="58"/>
      <c r="AG209" s="58"/>
      <c r="AH209" s="58"/>
      <c r="AI209" s="58"/>
      <c r="AJ209" s="58"/>
      <c r="AK209" s="58"/>
      <c r="AL209" s="58"/>
      <c r="AM209" s="89">
        <f t="shared" si="159"/>
        <v>50</v>
      </c>
      <c r="AN209" s="26">
        <f t="shared" si="167"/>
        <v>35.6175</v>
      </c>
      <c r="AO209" s="24">
        <f t="shared" si="168"/>
        <v>2.1491875929909692</v>
      </c>
      <c r="AP209" s="24">
        <f>IF((OR(R209="A",R209="B",R209="C")),INDEX(Coefficients!$S$4:$S$22,MATCH(J209,Coefficients!$R$4:$R$22)),INDEX(Coefficients!$T$4:$T$22,MATCH(J209,Coefficients!$R$4:$R$22)))</f>
        <v>1.3</v>
      </c>
      <c r="AQ209" s="27">
        <f>IF((OR(R209="A",R209="B",R209="C")),INDEX(Coefficients!$S$4:$S$22,MATCH(K209,Coefficients!$R$4:$R$22)),INDEX(Coefficients!$T$4:$T$22,MATCH(K209,Coefficients!$R$4:$R$22)))</f>
        <v>25</v>
      </c>
      <c r="AR209" s="27">
        <f>IF(OR(R209="A",R209="B",R209="C",R209="D"),IF(AN209&gt;=11,IF(AN209&gt;=26,Coefficients!$M$6,Coefficients!$M$5),Coefficients!$M$4),IF(AN209&gt;=11,IF(AN209&gt;=26,Coefficients!$N$6,Coefficients!$N$5),Coefficients!$N$4))</f>
        <v>1</v>
      </c>
      <c r="AS209" s="27">
        <f>INDEX(Coefficients!$X$3:$X$4,MATCH(S209,Coefficients!$W$3:$W$4))</f>
        <v>1</v>
      </c>
      <c r="AT209" s="27">
        <f>INDEX(Coefficients!$X$7:$X$8,MATCH(O209,Coefficients!$W$7:$W$8))</f>
        <v>1</v>
      </c>
      <c r="AU209" s="27">
        <f>INDEX(Coefficients!$X$11:$X$12,MATCH(P209,Coefficients!$W$11:$W$12))</f>
        <v>1</v>
      </c>
      <c r="AV209" s="27">
        <f>INDEX(Coefficients!$X$15:$X$17,MATCH(Q209,Coefficients!$W$15:$W$17))</f>
        <v>1</v>
      </c>
      <c r="AW209" s="27">
        <f t="shared" si="160"/>
        <v>1</v>
      </c>
      <c r="AX209" s="27">
        <f t="shared" si="161"/>
        <v>1</v>
      </c>
      <c r="AY209" s="27">
        <f t="shared" si="162"/>
        <v>1.3</v>
      </c>
      <c r="AZ209" s="24">
        <f t="shared" si="163"/>
        <v>53.729689824774226</v>
      </c>
      <c r="BA209" s="24">
        <f t="shared" si="164"/>
        <v>0</v>
      </c>
      <c r="BB209" s="24">
        <f t="shared" si="165"/>
        <v>2.7939438708882602</v>
      </c>
      <c r="BC209" s="24">
        <f t="shared" si="166"/>
        <v>1.720605612911174</v>
      </c>
      <c r="BD209" s="24">
        <f t="shared" si="169"/>
        <v>0.37223367685957121</v>
      </c>
      <c r="BE209" s="16">
        <f t="shared" si="170"/>
        <v>153.84991803800389</v>
      </c>
      <c r="BF209" s="16">
        <f t="shared" si="171"/>
        <v>92.300163923992216</v>
      </c>
      <c r="BG209" s="25">
        <f t="shared" si="172"/>
        <v>1</v>
      </c>
      <c r="BH209" s="24">
        <f t="shared" si="173"/>
        <v>338.46981968360859</v>
      </c>
      <c r="BI209" s="24">
        <f t="shared" si="174"/>
        <v>-276.93963936721718</v>
      </c>
      <c r="BJ209" s="24">
        <f t="shared" si="175"/>
        <v>30.726199048199298</v>
      </c>
    </row>
    <row r="210" spans="2:62">
      <c r="B210" s="24" t="s">
        <v>91</v>
      </c>
      <c r="C210" s="82" t="str">
        <f>'Hotter&amp;Drier'!$B$1</f>
        <v>CSIRO Mk3.5</v>
      </c>
      <c r="D210" s="89">
        <v>2056</v>
      </c>
      <c r="E210" s="57">
        <f>'Cooler&amp;Wetter'!AA84</f>
        <v>35.621000000000002</v>
      </c>
      <c r="F210" s="90">
        <f>'Hotter&amp;Drier'!AC84</f>
        <v>23.652999999999999</v>
      </c>
      <c r="G210" s="35">
        <f t="shared" si="156"/>
        <v>2005</v>
      </c>
      <c r="H210" s="91" t="str">
        <f t="shared" si="136"/>
        <v>Pile 32 @ Berth 201</v>
      </c>
      <c r="I210" s="35" t="str">
        <f t="shared" si="137"/>
        <v>Turpentine Gum</v>
      </c>
      <c r="J210" s="35" t="str">
        <f t="shared" si="138"/>
        <v>HW1</v>
      </c>
      <c r="K210" s="35" t="str">
        <f t="shared" si="157"/>
        <v>SPHU</v>
      </c>
      <c r="L210" s="35">
        <f t="shared" si="139"/>
        <v>400</v>
      </c>
      <c r="M210" s="35">
        <f t="shared" si="140"/>
        <v>20</v>
      </c>
      <c r="N210" s="35">
        <f t="shared" si="141"/>
        <v>200</v>
      </c>
      <c r="O210" s="35" t="str">
        <f t="shared" si="142"/>
        <v>MTN2</v>
      </c>
      <c r="P210" s="35" t="str">
        <f t="shared" si="143"/>
        <v>CNT2</v>
      </c>
      <c r="Q210" s="35" t="str">
        <f t="shared" si="144"/>
        <v>KNT3</v>
      </c>
      <c r="R210" s="35" t="str">
        <f t="shared" si="145"/>
        <v>E</v>
      </c>
      <c r="S210" s="35" t="str">
        <f t="shared" si="146"/>
        <v>EXP1</v>
      </c>
      <c r="T210" s="58"/>
      <c r="U210" s="58"/>
      <c r="V210" s="58"/>
      <c r="W210" s="58"/>
      <c r="X210" s="58"/>
      <c r="Y210" s="58"/>
      <c r="Z210" s="58"/>
      <c r="AA210" s="95">
        <f t="shared" si="176"/>
        <v>1</v>
      </c>
      <c r="AB210" s="96">
        <f t="shared" si="158"/>
        <v>157.64653667210584</v>
      </c>
      <c r="AC210" s="58"/>
      <c r="AD210" s="58"/>
      <c r="AE210" s="58"/>
      <c r="AF210" s="58"/>
      <c r="AG210" s="58"/>
      <c r="AH210" s="58"/>
      <c r="AI210" s="58"/>
      <c r="AJ210" s="58"/>
      <c r="AK210" s="58"/>
      <c r="AL210" s="58"/>
      <c r="AM210" s="89">
        <f t="shared" si="159"/>
        <v>51</v>
      </c>
      <c r="AN210" s="26">
        <f t="shared" si="167"/>
        <v>35.621000000000002</v>
      </c>
      <c r="AO210" s="24">
        <f t="shared" si="168"/>
        <v>2.1647500555478767</v>
      </c>
      <c r="AP210" s="24">
        <f>IF((OR(R210="A",R210="B",R210="C")),INDEX(Coefficients!$S$4:$S$22,MATCH(J210,Coefficients!$R$4:$R$22)),INDEX(Coefficients!$T$4:$T$22,MATCH(J210,Coefficients!$R$4:$R$22)))</f>
        <v>1.3</v>
      </c>
      <c r="AQ210" s="27">
        <f>IF((OR(R210="A",R210="B",R210="C")),INDEX(Coefficients!$S$4:$S$22,MATCH(K210,Coefficients!$R$4:$R$22)),INDEX(Coefficients!$T$4:$T$22,MATCH(K210,Coefficients!$R$4:$R$22)))</f>
        <v>25</v>
      </c>
      <c r="AR210" s="27">
        <f>IF(OR(R210="A",R210="B",R210="C",R210="D"),IF(AN210&gt;=11,IF(AN210&gt;=26,Coefficients!$M$6,Coefficients!$M$5),Coefficients!$M$4),IF(AN210&gt;=11,IF(AN210&gt;=26,Coefficients!$N$6,Coefficients!$N$5),Coefficients!$N$4))</f>
        <v>1</v>
      </c>
      <c r="AS210" s="27">
        <f>INDEX(Coefficients!$X$3:$X$4,MATCH(S210,Coefficients!$W$3:$W$4))</f>
        <v>1</v>
      </c>
      <c r="AT210" s="27">
        <f>INDEX(Coefficients!$X$7:$X$8,MATCH(O210,Coefficients!$W$7:$W$8))</f>
        <v>1</v>
      </c>
      <c r="AU210" s="27">
        <f>INDEX(Coefficients!$X$11:$X$12,MATCH(P210,Coefficients!$W$11:$W$12))</f>
        <v>1</v>
      </c>
      <c r="AV210" s="27">
        <f>INDEX(Coefficients!$X$15:$X$17,MATCH(Q210,Coefficients!$W$15:$W$17))</f>
        <v>1</v>
      </c>
      <c r="AW210" s="27">
        <f t="shared" si="160"/>
        <v>1</v>
      </c>
      <c r="AX210" s="27">
        <f t="shared" si="161"/>
        <v>1</v>
      </c>
      <c r="AY210" s="27">
        <f t="shared" si="162"/>
        <v>1.3</v>
      </c>
      <c r="AZ210" s="24">
        <f t="shared" si="163"/>
        <v>54.118751388696914</v>
      </c>
      <c r="BA210" s="24">
        <f t="shared" si="164"/>
        <v>0</v>
      </c>
      <c r="BB210" s="24">
        <f t="shared" si="165"/>
        <v>2.8141750722122398</v>
      </c>
      <c r="BC210" s="24">
        <f t="shared" si="166"/>
        <v>1.7185824927787761</v>
      </c>
      <c r="BD210" s="24">
        <f t="shared" si="169"/>
        <v>0.36955767616207685</v>
      </c>
      <c r="BE210" s="16">
        <f t="shared" si="170"/>
        <v>157.64653667210584</v>
      </c>
      <c r="BF210" s="16">
        <f t="shared" si="171"/>
        <v>84.706926655788322</v>
      </c>
      <c r="BG210" s="25">
        <f t="shared" si="172"/>
        <v>1</v>
      </c>
      <c r="BH210" s="24">
        <f t="shared" si="173"/>
        <v>346.8223806786329</v>
      </c>
      <c r="BI210" s="24">
        <f t="shared" si="174"/>
        <v>-293.64476135726579</v>
      </c>
      <c r="BJ210" s="24">
        <f t="shared" si="175"/>
        <v>30.515653719869839</v>
      </c>
    </row>
    <row r="211" spans="2:62">
      <c r="B211" s="24" t="s">
        <v>91</v>
      </c>
      <c r="C211" s="82" t="str">
        <f>'Hotter&amp;Drier'!$B$1</f>
        <v>CSIRO Mk3.5</v>
      </c>
      <c r="D211" s="89">
        <v>2057</v>
      </c>
      <c r="E211" s="57">
        <f>'Cooler&amp;Wetter'!AA85</f>
        <v>35.624499999999998</v>
      </c>
      <c r="F211" s="90">
        <f>'Hotter&amp;Drier'!AC85</f>
        <v>23.708500000000001</v>
      </c>
      <c r="G211" s="35">
        <f t="shared" si="156"/>
        <v>2005</v>
      </c>
      <c r="H211" s="91" t="str">
        <f t="shared" si="136"/>
        <v>Pile 32 @ Berth 201</v>
      </c>
      <c r="I211" s="35" t="str">
        <f t="shared" si="137"/>
        <v>Turpentine Gum</v>
      </c>
      <c r="J211" s="35" t="str">
        <f t="shared" si="138"/>
        <v>HW1</v>
      </c>
      <c r="K211" s="35" t="str">
        <f t="shared" si="157"/>
        <v>SPHU</v>
      </c>
      <c r="L211" s="35">
        <f t="shared" si="139"/>
        <v>400</v>
      </c>
      <c r="M211" s="35">
        <f t="shared" si="140"/>
        <v>20</v>
      </c>
      <c r="N211" s="35">
        <f t="shared" si="141"/>
        <v>200</v>
      </c>
      <c r="O211" s="35" t="str">
        <f t="shared" si="142"/>
        <v>MTN2</v>
      </c>
      <c r="P211" s="35" t="str">
        <f t="shared" si="143"/>
        <v>CNT2</v>
      </c>
      <c r="Q211" s="35" t="str">
        <f t="shared" si="144"/>
        <v>KNT3</v>
      </c>
      <c r="R211" s="35" t="str">
        <f t="shared" si="145"/>
        <v>E</v>
      </c>
      <c r="S211" s="35" t="str">
        <f t="shared" si="146"/>
        <v>EXP1</v>
      </c>
      <c r="T211" s="58"/>
      <c r="U211" s="58"/>
      <c r="V211" s="58"/>
      <c r="W211" s="58"/>
      <c r="X211" s="58"/>
      <c r="Y211" s="58"/>
      <c r="Z211" s="58"/>
      <c r="AA211" s="95">
        <f t="shared" si="176"/>
        <v>1</v>
      </c>
      <c r="AB211" s="96">
        <f t="shared" si="158"/>
        <v>161.49110741543294</v>
      </c>
      <c r="AC211" s="58"/>
      <c r="AD211" s="58"/>
      <c r="AE211" s="58"/>
      <c r="AF211" s="58"/>
      <c r="AG211" s="58"/>
      <c r="AH211" s="58"/>
      <c r="AI211" s="58"/>
      <c r="AJ211" s="58"/>
      <c r="AK211" s="58"/>
      <c r="AL211" s="58"/>
      <c r="AM211" s="89">
        <f t="shared" si="159"/>
        <v>52</v>
      </c>
      <c r="AN211" s="26">
        <f t="shared" si="167"/>
        <v>35.624499999999998</v>
      </c>
      <c r="AO211" s="24">
        <f t="shared" si="168"/>
        <v>2.1804252073095927</v>
      </c>
      <c r="AP211" s="24">
        <f>IF((OR(R211="A",R211="B",R211="C")),INDEX(Coefficients!$S$4:$S$22,MATCH(J211,Coefficients!$R$4:$R$22)),INDEX(Coefficients!$T$4:$T$22,MATCH(J211,Coefficients!$R$4:$R$22)))</f>
        <v>1.3</v>
      </c>
      <c r="AQ211" s="27">
        <f>IF((OR(R211="A",R211="B",R211="C")),INDEX(Coefficients!$S$4:$S$22,MATCH(K211,Coefficients!$R$4:$R$22)),INDEX(Coefficients!$T$4:$T$22,MATCH(K211,Coefficients!$R$4:$R$22)))</f>
        <v>25</v>
      </c>
      <c r="AR211" s="27">
        <f>IF(OR(R211="A",R211="B",R211="C",R211="D"),IF(AN211&gt;=11,IF(AN211&gt;=26,Coefficients!$M$6,Coefficients!$M$5),Coefficients!$M$4),IF(AN211&gt;=11,IF(AN211&gt;=26,Coefficients!$N$6,Coefficients!$N$5),Coefficients!$N$4))</f>
        <v>1</v>
      </c>
      <c r="AS211" s="27">
        <f>INDEX(Coefficients!$X$3:$X$4,MATCH(S211,Coefficients!$W$3:$W$4))</f>
        <v>1</v>
      </c>
      <c r="AT211" s="27">
        <f>INDEX(Coefficients!$X$7:$X$8,MATCH(O211,Coefficients!$W$7:$W$8))</f>
        <v>1</v>
      </c>
      <c r="AU211" s="27">
        <f>INDEX(Coefficients!$X$11:$X$12,MATCH(P211,Coefficients!$W$11:$W$12))</f>
        <v>1</v>
      </c>
      <c r="AV211" s="27">
        <f>INDEX(Coefficients!$X$15:$X$17,MATCH(Q211,Coefficients!$W$15:$W$17))</f>
        <v>1</v>
      </c>
      <c r="AW211" s="27">
        <f t="shared" si="160"/>
        <v>1</v>
      </c>
      <c r="AX211" s="27">
        <f t="shared" si="161"/>
        <v>1</v>
      </c>
      <c r="AY211" s="27">
        <f t="shared" si="162"/>
        <v>1.3</v>
      </c>
      <c r="AZ211" s="24">
        <f t="shared" si="163"/>
        <v>54.510630182739817</v>
      </c>
      <c r="BA211" s="24">
        <f t="shared" si="164"/>
        <v>0</v>
      </c>
      <c r="BB211" s="24">
        <f t="shared" si="165"/>
        <v>2.8345527695024706</v>
      </c>
      <c r="BC211" s="24">
        <f t="shared" si="166"/>
        <v>1.7165447230497528</v>
      </c>
      <c r="BD211" s="24">
        <f t="shared" si="169"/>
        <v>0.36690091332557695</v>
      </c>
      <c r="BE211" s="16">
        <f t="shared" si="170"/>
        <v>161.49110741543294</v>
      </c>
      <c r="BF211" s="16">
        <f t="shared" si="171"/>
        <v>77.017785169134129</v>
      </c>
      <c r="BG211" s="25">
        <f t="shared" si="172"/>
        <v>1</v>
      </c>
      <c r="BH211" s="24">
        <f t="shared" si="173"/>
        <v>355.28043631395246</v>
      </c>
      <c r="BI211" s="24">
        <f t="shared" si="174"/>
        <v>-310.56087262790493</v>
      </c>
      <c r="BJ211" s="24">
        <f t="shared" si="175"/>
        <v>30.306592815265862</v>
      </c>
    </row>
    <row r="212" spans="2:62">
      <c r="B212" s="24" t="s">
        <v>91</v>
      </c>
      <c r="C212" s="82" t="str">
        <f>'Hotter&amp;Drier'!$B$1</f>
        <v>CSIRO Mk3.5</v>
      </c>
      <c r="D212" s="89">
        <v>2058</v>
      </c>
      <c r="E212" s="57">
        <f>'Cooler&amp;Wetter'!AA86</f>
        <v>35.628</v>
      </c>
      <c r="F212" s="90">
        <f>'Hotter&amp;Drier'!AC86</f>
        <v>23.763999999999999</v>
      </c>
      <c r="G212" s="35">
        <f t="shared" si="156"/>
        <v>2005</v>
      </c>
      <c r="H212" s="91" t="str">
        <f t="shared" si="136"/>
        <v>Pile 32 @ Berth 201</v>
      </c>
      <c r="I212" s="35" t="str">
        <f t="shared" si="137"/>
        <v>Turpentine Gum</v>
      </c>
      <c r="J212" s="35" t="str">
        <f t="shared" si="138"/>
        <v>HW1</v>
      </c>
      <c r="K212" s="35" t="str">
        <f t="shared" si="157"/>
        <v>SPHU</v>
      </c>
      <c r="L212" s="35">
        <f t="shared" si="139"/>
        <v>400</v>
      </c>
      <c r="M212" s="35">
        <f t="shared" si="140"/>
        <v>20</v>
      </c>
      <c r="N212" s="35">
        <f t="shared" si="141"/>
        <v>200</v>
      </c>
      <c r="O212" s="35" t="str">
        <f t="shared" si="142"/>
        <v>MTN2</v>
      </c>
      <c r="P212" s="35" t="str">
        <f t="shared" si="143"/>
        <v>CNT2</v>
      </c>
      <c r="Q212" s="35" t="str">
        <f t="shared" si="144"/>
        <v>KNT3</v>
      </c>
      <c r="R212" s="35" t="str">
        <f t="shared" si="145"/>
        <v>E</v>
      </c>
      <c r="S212" s="35" t="str">
        <f t="shared" si="146"/>
        <v>EXP1</v>
      </c>
      <c r="T212" s="58"/>
      <c r="U212" s="58"/>
      <c r="V212" s="58"/>
      <c r="W212" s="58"/>
      <c r="X212" s="58"/>
      <c r="Y212" s="58"/>
      <c r="Z212" s="58"/>
      <c r="AA212" s="95">
        <f t="shared" si="176"/>
        <v>1</v>
      </c>
      <c r="AB212" s="96">
        <f t="shared" si="158"/>
        <v>165.38412625308234</v>
      </c>
      <c r="AC212" s="58"/>
      <c r="AD212" s="58"/>
      <c r="AE212" s="58"/>
      <c r="AF212" s="58"/>
      <c r="AG212" s="58"/>
      <c r="AH212" s="58"/>
      <c r="AI212" s="58"/>
      <c r="AJ212" s="58"/>
      <c r="AK212" s="58"/>
      <c r="AL212" s="58"/>
      <c r="AM212" s="89">
        <f t="shared" si="159"/>
        <v>53</v>
      </c>
      <c r="AN212" s="26">
        <f t="shared" si="167"/>
        <v>35.628</v>
      </c>
      <c r="AO212" s="24">
        <f t="shared" si="168"/>
        <v>2.1962138642688807</v>
      </c>
      <c r="AP212" s="24">
        <f>IF((OR(R212="A",R212="B",R212="C")),INDEX(Coefficients!$S$4:$S$22,MATCH(J212,Coefficients!$R$4:$R$22)),INDEX(Coefficients!$T$4:$T$22,MATCH(J212,Coefficients!$R$4:$R$22)))</f>
        <v>1.3</v>
      </c>
      <c r="AQ212" s="27">
        <f>IF((OR(R212="A",R212="B",R212="C")),INDEX(Coefficients!$S$4:$S$22,MATCH(K212,Coefficients!$R$4:$R$22)),INDEX(Coefficients!$T$4:$T$22,MATCH(K212,Coefficients!$R$4:$R$22)))</f>
        <v>25</v>
      </c>
      <c r="AR212" s="27">
        <f>IF(OR(R212="A",R212="B",R212="C",R212="D"),IF(AN212&gt;=11,IF(AN212&gt;=26,Coefficients!$M$6,Coefficients!$M$5),Coefficients!$M$4),IF(AN212&gt;=11,IF(AN212&gt;=26,Coefficients!$N$6,Coefficients!$N$5),Coefficients!$N$4))</f>
        <v>1</v>
      </c>
      <c r="AS212" s="27">
        <f>INDEX(Coefficients!$X$3:$X$4,MATCH(S212,Coefficients!$W$3:$W$4))</f>
        <v>1</v>
      </c>
      <c r="AT212" s="27">
        <f>INDEX(Coefficients!$X$7:$X$8,MATCH(O212,Coefficients!$W$7:$W$8))</f>
        <v>1</v>
      </c>
      <c r="AU212" s="27">
        <f>INDEX(Coefficients!$X$11:$X$12,MATCH(P212,Coefficients!$W$11:$W$12))</f>
        <v>1</v>
      </c>
      <c r="AV212" s="27">
        <f>INDEX(Coefficients!$X$15:$X$17,MATCH(Q212,Coefficients!$W$15:$W$17))</f>
        <v>1</v>
      </c>
      <c r="AW212" s="27">
        <f t="shared" si="160"/>
        <v>1</v>
      </c>
      <c r="AX212" s="27">
        <f t="shared" si="161"/>
        <v>1</v>
      </c>
      <c r="AY212" s="27">
        <f t="shared" si="162"/>
        <v>1.3</v>
      </c>
      <c r="AZ212" s="24">
        <f t="shared" si="163"/>
        <v>54.90534660672202</v>
      </c>
      <c r="BA212" s="24">
        <f t="shared" si="164"/>
        <v>0</v>
      </c>
      <c r="BB212" s="24">
        <f t="shared" si="165"/>
        <v>2.8550780235495448</v>
      </c>
      <c r="BC212" s="24">
        <f t="shared" si="166"/>
        <v>1.7144921976450456</v>
      </c>
      <c r="BD212" s="24">
        <f t="shared" si="169"/>
        <v>0.36426325004842819</v>
      </c>
      <c r="BE212" s="16">
        <f t="shared" si="170"/>
        <v>165.38412625308234</v>
      </c>
      <c r="BF212" s="16">
        <f t="shared" si="171"/>
        <v>69.231747493835314</v>
      </c>
      <c r="BG212" s="25">
        <f t="shared" si="172"/>
        <v>1</v>
      </c>
      <c r="BH212" s="24">
        <f t="shared" si="173"/>
        <v>363.84507775678117</v>
      </c>
      <c r="BI212" s="24">
        <f t="shared" si="174"/>
        <v>-327.69015551356233</v>
      </c>
      <c r="BJ212" s="24">
        <f t="shared" si="175"/>
        <v>30.099005451418719</v>
      </c>
    </row>
    <row r="213" spans="2:62">
      <c r="B213" s="24" t="s">
        <v>91</v>
      </c>
      <c r="C213" s="82" t="str">
        <f>'Hotter&amp;Drier'!$B$1</f>
        <v>CSIRO Mk3.5</v>
      </c>
      <c r="D213" s="89">
        <v>2059</v>
      </c>
      <c r="E213" s="57">
        <f>'Cooler&amp;Wetter'!AA87</f>
        <v>35.631500000000003</v>
      </c>
      <c r="F213" s="90">
        <f>'Hotter&amp;Drier'!AC87</f>
        <v>23.819499999999998</v>
      </c>
      <c r="G213" s="35">
        <f t="shared" si="156"/>
        <v>2005</v>
      </c>
      <c r="H213" s="91" t="str">
        <f t="shared" si="136"/>
        <v>Pile 32 @ Berth 201</v>
      </c>
      <c r="I213" s="35" t="str">
        <f t="shared" si="137"/>
        <v>Turpentine Gum</v>
      </c>
      <c r="J213" s="35" t="str">
        <f t="shared" si="138"/>
        <v>HW1</v>
      </c>
      <c r="K213" s="35" t="str">
        <f t="shared" si="157"/>
        <v>SPHU</v>
      </c>
      <c r="L213" s="35">
        <f t="shared" si="139"/>
        <v>400</v>
      </c>
      <c r="M213" s="35">
        <f t="shared" si="140"/>
        <v>20</v>
      </c>
      <c r="N213" s="35">
        <f t="shared" si="141"/>
        <v>200</v>
      </c>
      <c r="O213" s="35" t="str">
        <f t="shared" si="142"/>
        <v>MTN2</v>
      </c>
      <c r="P213" s="35" t="str">
        <f t="shared" si="143"/>
        <v>CNT2</v>
      </c>
      <c r="Q213" s="35" t="str">
        <f t="shared" si="144"/>
        <v>KNT3</v>
      </c>
      <c r="R213" s="35" t="str">
        <f t="shared" si="145"/>
        <v>E</v>
      </c>
      <c r="S213" s="35" t="str">
        <f t="shared" si="146"/>
        <v>EXP1</v>
      </c>
      <c r="T213" s="58"/>
      <c r="U213" s="58"/>
      <c r="V213" s="58"/>
      <c r="W213" s="58"/>
      <c r="X213" s="58"/>
      <c r="Y213" s="58"/>
      <c r="Z213" s="58"/>
      <c r="AA213" s="95">
        <f t="shared" si="176"/>
        <v>1</v>
      </c>
      <c r="AB213" s="96">
        <f t="shared" si="158"/>
        <v>169.32609384757825</v>
      </c>
      <c r="AC213" s="58"/>
      <c r="AD213" s="58"/>
      <c r="AE213" s="58"/>
      <c r="AF213" s="58"/>
      <c r="AG213" s="58"/>
      <c r="AH213" s="58"/>
      <c r="AI213" s="58"/>
      <c r="AJ213" s="58"/>
      <c r="AK213" s="58"/>
      <c r="AL213" s="58"/>
      <c r="AM213" s="89">
        <f t="shared" si="159"/>
        <v>54</v>
      </c>
      <c r="AN213" s="26">
        <f t="shared" si="167"/>
        <v>35.631500000000003</v>
      </c>
      <c r="AO213" s="24">
        <f t="shared" si="168"/>
        <v>2.2121168483271876</v>
      </c>
      <c r="AP213" s="24">
        <f>IF((OR(R213="A",R213="B",R213="C")),INDEX(Coefficients!$S$4:$S$22,MATCH(J213,Coefficients!$R$4:$R$22)),INDEX(Coefficients!$T$4:$T$22,MATCH(J213,Coefficients!$R$4:$R$22)))</f>
        <v>1.3</v>
      </c>
      <c r="AQ213" s="27">
        <f>IF((OR(R213="A",R213="B",R213="C")),INDEX(Coefficients!$S$4:$S$22,MATCH(K213,Coefficients!$R$4:$R$22)),INDEX(Coefficients!$T$4:$T$22,MATCH(K213,Coefficients!$R$4:$R$22)))</f>
        <v>25</v>
      </c>
      <c r="AR213" s="27">
        <f>IF(OR(R213="A",R213="B",R213="C",R213="D"),IF(AN213&gt;=11,IF(AN213&gt;=26,Coefficients!$M$6,Coefficients!$M$5),Coefficients!$M$4),IF(AN213&gt;=11,IF(AN213&gt;=26,Coefficients!$N$6,Coefficients!$N$5),Coefficients!$N$4))</f>
        <v>1</v>
      </c>
      <c r="AS213" s="27">
        <f>INDEX(Coefficients!$X$3:$X$4,MATCH(S213,Coefficients!$W$3:$W$4))</f>
        <v>1</v>
      </c>
      <c r="AT213" s="27">
        <f>INDEX(Coefficients!$X$7:$X$8,MATCH(O213,Coefficients!$W$7:$W$8))</f>
        <v>1</v>
      </c>
      <c r="AU213" s="27">
        <f>INDEX(Coefficients!$X$11:$X$12,MATCH(P213,Coefficients!$W$11:$W$12))</f>
        <v>1</v>
      </c>
      <c r="AV213" s="27">
        <f>INDEX(Coefficients!$X$15:$X$17,MATCH(Q213,Coefficients!$W$15:$W$17))</f>
        <v>1</v>
      </c>
      <c r="AW213" s="27">
        <f t="shared" si="160"/>
        <v>1</v>
      </c>
      <c r="AX213" s="27">
        <f t="shared" si="161"/>
        <v>1</v>
      </c>
      <c r="AY213" s="27">
        <f t="shared" si="162"/>
        <v>1.3</v>
      </c>
      <c r="AZ213" s="24">
        <f t="shared" si="163"/>
        <v>55.30292120817969</v>
      </c>
      <c r="BA213" s="24">
        <f t="shared" si="164"/>
        <v>0</v>
      </c>
      <c r="BB213" s="24">
        <f t="shared" si="165"/>
        <v>2.875751902825344</v>
      </c>
      <c r="BC213" s="24">
        <f t="shared" si="166"/>
        <v>1.7124248097174655</v>
      </c>
      <c r="BD213" s="24">
        <f t="shared" si="169"/>
        <v>0.36164454902324145</v>
      </c>
      <c r="BE213" s="16">
        <f t="shared" si="170"/>
        <v>169.32609384757825</v>
      </c>
      <c r="BF213" s="16">
        <f t="shared" si="171"/>
        <v>61.347812304843501</v>
      </c>
      <c r="BG213" s="25">
        <f t="shared" si="172"/>
        <v>1</v>
      </c>
      <c r="BH213" s="24">
        <f t="shared" si="173"/>
        <v>372.51740646467221</v>
      </c>
      <c r="BI213" s="24">
        <f t="shared" si="174"/>
        <v>-345.03481292934441</v>
      </c>
      <c r="BJ213" s="24">
        <f t="shared" si="175"/>
        <v>29.892880822066974</v>
      </c>
    </row>
    <row r="214" spans="2:62">
      <c r="B214" s="24" t="s">
        <v>91</v>
      </c>
      <c r="C214" s="82" t="str">
        <f>'Hotter&amp;Drier'!$B$1</f>
        <v>CSIRO Mk3.5</v>
      </c>
      <c r="D214" s="89">
        <v>2060</v>
      </c>
      <c r="E214" s="57">
        <f>'Cooler&amp;Wetter'!AA88</f>
        <v>35.634999999999998</v>
      </c>
      <c r="F214" s="90">
        <f>'Hotter&amp;Drier'!AC88</f>
        <v>23.875</v>
      </c>
      <c r="G214" s="35">
        <f t="shared" si="156"/>
        <v>2005</v>
      </c>
      <c r="H214" s="91" t="str">
        <f t="shared" si="136"/>
        <v>Pile 32 @ Berth 201</v>
      </c>
      <c r="I214" s="35" t="str">
        <f t="shared" si="137"/>
        <v>Turpentine Gum</v>
      </c>
      <c r="J214" s="35" t="str">
        <f t="shared" si="138"/>
        <v>HW1</v>
      </c>
      <c r="K214" s="35" t="str">
        <f t="shared" si="157"/>
        <v>SPHU</v>
      </c>
      <c r="L214" s="35">
        <f t="shared" si="139"/>
        <v>400</v>
      </c>
      <c r="M214" s="35">
        <f t="shared" si="140"/>
        <v>20</v>
      </c>
      <c r="N214" s="35">
        <f t="shared" si="141"/>
        <v>200</v>
      </c>
      <c r="O214" s="35" t="str">
        <f t="shared" si="142"/>
        <v>MTN2</v>
      </c>
      <c r="P214" s="35" t="str">
        <f t="shared" si="143"/>
        <v>CNT2</v>
      </c>
      <c r="Q214" s="35" t="str">
        <f t="shared" si="144"/>
        <v>KNT3</v>
      </c>
      <c r="R214" s="35" t="str">
        <f t="shared" si="145"/>
        <v>E</v>
      </c>
      <c r="S214" s="35" t="str">
        <f t="shared" si="146"/>
        <v>EXP1</v>
      </c>
      <c r="T214" s="58"/>
      <c r="U214" s="58"/>
      <c r="V214" s="58"/>
      <c r="W214" s="58"/>
      <c r="X214" s="58"/>
      <c r="Y214" s="58"/>
      <c r="Z214" s="58"/>
      <c r="AA214" s="95">
        <f t="shared" si="176"/>
        <v>1</v>
      </c>
      <c r="AB214" s="96">
        <f t="shared" si="158"/>
        <v>173.31751558073208</v>
      </c>
      <c r="AC214" s="58"/>
      <c r="AD214" s="58"/>
      <c r="AE214" s="58"/>
      <c r="AF214" s="58"/>
      <c r="AG214" s="58"/>
      <c r="AH214" s="58"/>
      <c r="AI214" s="58"/>
      <c r="AJ214" s="58"/>
      <c r="AK214" s="58"/>
      <c r="AL214" s="58"/>
      <c r="AM214" s="89">
        <f t="shared" si="159"/>
        <v>55</v>
      </c>
      <c r="AN214" s="26">
        <f t="shared" si="167"/>
        <v>35.634999999999998</v>
      </c>
      <c r="AO214" s="24">
        <f t="shared" si="168"/>
        <v>2.2281349873374219</v>
      </c>
      <c r="AP214" s="24">
        <f>IF((OR(R214="A",R214="B",R214="C")),INDEX(Coefficients!$S$4:$S$22,MATCH(J214,Coefficients!$R$4:$R$22)),INDEX(Coefficients!$T$4:$T$22,MATCH(J214,Coefficients!$R$4:$R$22)))</f>
        <v>1.3</v>
      </c>
      <c r="AQ214" s="27">
        <f>IF((OR(R214="A",R214="B",R214="C")),INDEX(Coefficients!$S$4:$S$22,MATCH(K214,Coefficients!$R$4:$R$22)),INDEX(Coefficients!$T$4:$T$22,MATCH(K214,Coefficients!$R$4:$R$22)))</f>
        <v>25</v>
      </c>
      <c r="AR214" s="27">
        <f>IF(OR(R214="A",R214="B",R214="C",R214="D"),IF(AN214&gt;=11,IF(AN214&gt;=26,Coefficients!$M$6,Coefficients!$M$5),Coefficients!$M$4),IF(AN214&gt;=11,IF(AN214&gt;=26,Coefficients!$N$6,Coefficients!$N$5),Coefficients!$N$4))</f>
        <v>1</v>
      </c>
      <c r="AS214" s="27">
        <f>INDEX(Coefficients!$X$3:$X$4,MATCH(S214,Coefficients!$W$3:$W$4))</f>
        <v>1</v>
      </c>
      <c r="AT214" s="27">
        <f>INDEX(Coefficients!$X$7:$X$8,MATCH(O214,Coefficients!$W$7:$W$8))</f>
        <v>1</v>
      </c>
      <c r="AU214" s="27">
        <f>INDEX(Coefficients!$X$11:$X$12,MATCH(P214,Coefficients!$W$11:$W$12))</f>
        <v>1</v>
      </c>
      <c r="AV214" s="27">
        <f>INDEX(Coefficients!$X$15:$X$17,MATCH(Q214,Coefficients!$W$15:$W$17))</f>
        <v>1</v>
      </c>
      <c r="AW214" s="27">
        <f t="shared" si="160"/>
        <v>1</v>
      </c>
      <c r="AX214" s="27">
        <f t="shared" si="161"/>
        <v>1</v>
      </c>
      <c r="AY214" s="27">
        <f t="shared" si="162"/>
        <v>1.3</v>
      </c>
      <c r="AZ214" s="24">
        <f t="shared" si="163"/>
        <v>55.703374683435548</v>
      </c>
      <c r="BA214" s="24">
        <f t="shared" si="164"/>
        <v>0</v>
      </c>
      <c r="BB214" s="24">
        <f t="shared" si="165"/>
        <v>2.8965754835386486</v>
      </c>
      <c r="BC214" s="24">
        <f t="shared" si="166"/>
        <v>1.7103424516461352</v>
      </c>
      <c r="BD214" s="24">
        <f t="shared" si="169"/>
        <v>0.35904467392973549</v>
      </c>
      <c r="BE214" s="16">
        <f t="shared" si="170"/>
        <v>173.31751558073208</v>
      </c>
      <c r="BF214" s="16">
        <f t="shared" si="171"/>
        <v>53.364968838535844</v>
      </c>
      <c r="BG214" s="25">
        <f t="shared" si="172"/>
        <v>1</v>
      </c>
      <c r="BH214" s="24">
        <f t="shared" si="173"/>
        <v>381.2985342776106</v>
      </c>
      <c r="BI214" s="24">
        <f t="shared" si="174"/>
        <v>-362.5970685552212</v>
      </c>
      <c r="BJ214" s="24">
        <f t="shared" si="175"/>
        <v>29.688208197093985</v>
      </c>
    </row>
    <row r="215" spans="2:62">
      <c r="B215" s="24" t="s">
        <v>91</v>
      </c>
      <c r="C215" s="82" t="str">
        <f>'Hotter&amp;Drier'!$B$1</f>
        <v>CSIRO Mk3.5</v>
      </c>
      <c r="D215" s="89">
        <v>2061</v>
      </c>
      <c r="E215" s="57">
        <f>'Cooler&amp;Wetter'!AA89</f>
        <v>35.638500000000001</v>
      </c>
      <c r="F215" s="90">
        <f>'Hotter&amp;Drier'!AC89</f>
        <v>23.930499999999999</v>
      </c>
      <c r="G215" s="35">
        <f t="shared" si="156"/>
        <v>2005</v>
      </c>
      <c r="H215" s="91" t="str">
        <f t="shared" si="136"/>
        <v>Pile 32 @ Berth 201</v>
      </c>
      <c r="I215" s="35" t="str">
        <f t="shared" si="137"/>
        <v>Turpentine Gum</v>
      </c>
      <c r="J215" s="35" t="str">
        <f t="shared" si="138"/>
        <v>HW1</v>
      </c>
      <c r="K215" s="35" t="str">
        <f t="shared" si="157"/>
        <v>SPHU</v>
      </c>
      <c r="L215" s="35">
        <f t="shared" si="139"/>
        <v>400</v>
      </c>
      <c r="M215" s="35">
        <f t="shared" si="140"/>
        <v>20</v>
      </c>
      <c r="N215" s="35">
        <f t="shared" si="141"/>
        <v>200</v>
      </c>
      <c r="O215" s="35" t="str">
        <f t="shared" si="142"/>
        <v>MTN2</v>
      </c>
      <c r="P215" s="35" t="str">
        <f t="shared" si="143"/>
        <v>CNT2</v>
      </c>
      <c r="Q215" s="35" t="str">
        <f t="shared" si="144"/>
        <v>KNT3</v>
      </c>
      <c r="R215" s="35" t="str">
        <f t="shared" si="145"/>
        <v>E</v>
      </c>
      <c r="S215" s="35" t="str">
        <f t="shared" si="146"/>
        <v>EXP1</v>
      </c>
      <c r="T215" s="58"/>
      <c r="U215" s="58"/>
      <c r="V215" s="58"/>
      <c r="W215" s="58"/>
      <c r="X215" s="58"/>
      <c r="Y215" s="58"/>
      <c r="Z215" s="58"/>
      <c r="AA215" s="95">
        <f t="shared" si="176"/>
        <v>1</v>
      </c>
      <c r="AB215" s="96">
        <f t="shared" si="158"/>
        <v>177.35890159586589</v>
      </c>
      <c r="AC215" s="58"/>
      <c r="AD215" s="58"/>
      <c r="AE215" s="58"/>
      <c r="AF215" s="58"/>
      <c r="AG215" s="58"/>
      <c r="AH215" s="58"/>
      <c r="AI215" s="58"/>
      <c r="AJ215" s="58"/>
      <c r="AK215" s="58"/>
      <c r="AL215" s="58"/>
      <c r="AM215" s="89">
        <f t="shared" si="159"/>
        <v>56</v>
      </c>
      <c r="AN215" s="26">
        <f t="shared" si="167"/>
        <v>35.638500000000001</v>
      </c>
      <c r="AO215" s="24">
        <f t="shared" si="168"/>
        <v>2.2442691151470453</v>
      </c>
      <c r="AP215" s="24">
        <f>IF((OR(R215="A",R215="B",R215="C")),INDEX(Coefficients!$S$4:$S$22,MATCH(J215,Coefficients!$R$4:$R$22)),INDEX(Coefficients!$T$4:$T$22,MATCH(J215,Coefficients!$R$4:$R$22)))</f>
        <v>1.3</v>
      </c>
      <c r="AQ215" s="27">
        <f>IF((OR(R215="A",R215="B",R215="C")),INDEX(Coefficients!$S$4:$S$22,MATCH(K215,Coefficients!$R$4:$R$22)),INDEX(Coefficients!$T$4:$T$22,MATCH(K215,Coefficients!$R$4:$R$22)))</f>
        <v>25</v>
      </c>
      <c r="AR215" s="27">
        <f>IF(OR(R215="A",R215="B",R215="C",R215="D"),IF(AN215&gt;=11,IF(AN215&gt;=26,Coefficients!$M$6,Coefficients!$M$5),Coefficients!$M$4),IF(AN215&gt;=11,IF(AN215&gt;=26,Coefficients!$N$6,Coefficients!$N$5),Coefficients!$N$4))</f>
        <v>1</v>
      </c>
      <c r="AS215" s="27">
        <f>INDEX(Coefficients!$X$3:$X$4,MATCH(S215,Coefficients!$W$3:$W$4))</f>
        <v>1</v>
      </c>
      <c r="AT215" s="27">
        <f>INDEX(Coefficients!$X$7:$X$8,MATCH(O215,Coefficients!$W$7:$W$8))</f>
        <v>1</v>
      </c>
      <c r="AU215" s="27">
        <f>INDEX(Coefficients!$X$11:$X$12,MATCH(P215,Coefficients!$W$11:$W$12))</f>
        <v>1</v>
      </c>
      <c r="AV215" s="27">
        <f>INDEX(Coefficients!$X$15:$X$17,MATCH(Q215,Coefficients!$W$15:$W$17))</f>
        <v>1</v>
      </c>
      <c r="AW215" s="27">
        <f t="shared" si="160"/>
        <v>1</v>
      </c>
      <c r="AX215" s="27">
        <f t="shared" si="161"/>
        <v>1</v>
      </c>
      <c r="AY215" s="27">
        <f t="shared" si="162"/>
        <v>1.3</v>
      </c>
      <c r="AZ215" s="24">
        <f t="shared" si="163"/>
        <v>56.106727878676132</v>
      </c>
      <c r="BA215" s="24">
        <f t="shared" si="164"/>
        <v>0</v>
      </c>
      <c r="BB215" s="24">
        <f t="shared" si="165"/>
        <v>2.9175498496911589</v>
      </c>
      <c r="BC215" s="24">
        <f t="shared" si="166"/>
        <v>1.7082450150308841</v>
      </c>
      <c r="BD215" s="24">
        <f t="shared" si="169"/>
        <v>0.356463489427641</v>
      </c>
      <c r="BE215" s="16">
        <f t="shared" si="170"/>
        <v>177.35890159586589</v>
      </c>
      <c r="BF215" s="16">
        <f t="shared" si="171"/>
        <v>45.282196808268225</v>
      </c>
      <c r="BG215" s="25">
        <f t="shared" si="172"/>
        <v>1</v>
      </c>
      <c r="BH215" s="24">
        <f t="shared" si="173"/>
        <v>390.18958351090498</v>
      </c>
      <c r="BI215" s="24">
        <f t="shared" si="174"/>
        <v>-380.37916702180996</v>
      </c>
      <c r="BJ215" s="24">
        <f t="shared" si="175"/>
        <v>29.48497692196937</v>
      </c>
    </row>
    <row r="216" spans="2:62">
      <c r="B216" s="24" t="s">
        <v>91</v>
      </c>
      <c r="C216" s="82" t="str">
        <f>'Hotter&amp;Drier'!$B$1</f>
        <v>CSIRO Mk3.5</v>
      </c>
      <c r="D216" s="89">
        <v>2062</v>
      </c>
      <c r="E216" s="57">
        <f>'Cooler&amp;Wetter'!AA90</f>
        <v>35.642000000000003</v>
      </c>
      <c r="F216" s="90">
        <f>'Hotter&amp;Drier'!AC90</f>
        <v>23.986000000000001</v>
      </c>
      <c r="G216" s="35">
        <f t="shared" si="156"/>
        <v>2005</v>
      </c>
      <c r="H216" s="91" t="str">
        <f t="shared" si="136"/>
        <v>Pile 32 @ Berth 201</v>
      </c>
      <c r="I216" s="35" t="str">
        <f t="shared" si="137"/>
        <v>Turpentine Gum</v>
      </c>
      <c r="J216" s="35" t="str">
        <f t="shared" si="138"/>
        <v>HW1</v>
      </c>
      <c r="K216" s="35" t="str">
        <f t="shared" si="157"/>
        <v>SPHU</v>
      </c>
      <c r="L216" s="35">
        <f t="shared" si="139"/>
        <v>400</v>
      </c>
      <c r="M216" s="35">
        <f t="shared" si="140"/>
        <v>20</v>
      </c>
      <c r="N216" s="35">
        <f t="shared" si="141"/>
        <v>200</v>
      </c>
      <c r="O216" s="35" t="str">
        <f t="shared" si="142"/>
        <v>MTN2</v>
      </c>
      <c r="P216" s="35" t="str">
        <f t="shared" si="143"/>
        <v>CNT2</v>
      </c>
      <c r="Q216" s="35" t="str">
        <f t="shared" si="144"/>
        <v>KNT3</v>
      </c>
      <c r="R216" s="35" t="str">
        <f t="shared" si="145"/>
        <v>E</v>
      </c>
      <c r="S216" s="35" t="str">
        <f t="shared" si="146"/>
        <v>EXP1</v>
      </c>
      <c r="T216" s="58"/>
      <c r="U216" s="58"/>
      <c r="V216" s="58"/>
      <c r="W216" s="58"/>
      <c r="X216" s="58"/>
      <c r="Y216" s="58"/>
      <c r="Z216" s="58"/>
      <c r="AA216" s="95">
        <f t="shared" si="176"/>
        <v>1</v>
      </c>
      <c r="AB216" s="96">
        <f t="shared" si="158"/>
        <v>181.45076684040242</v>
      </c>
      <c r="AC216" s="58"/>
      <c r="AD216" s="58"/>
      <c r="AE216" s="58"/>
      <c r="AF216" s="58"/>
      <c r="AG216" s="58"/>
      <c r="AH216" s="58"/>
      <c r="AI216" s="58"/>
      <c r="AJ216" s="58"/>
      <c r="AK216" s="58"/>
      <c r="AL216" s="58"/>
      <c r="AM216" s="89">
        <f t="shared" si="159"/>
        <v>57</v>
      </c>
      <c r="AN216" s="26">
        <f t="shared" si="167"/>
        <v>35.642000000000003</v>
      </c>
      <c r="AO216" s="24">
        <f t="shared" si="168"/>
        <v>2.2605200716414928</v>
      </c>
      <c r="AP216" s="24">
        <f>IF((OR(R216="A",R216="B",R216="C")),INDEX(Coefficients!$S$4:$S$22,MATCH(J216,Coefficients!$R$4:$R$22)),INDEX(Coefficients!$T$4:$T$22,MATCH(J216,Coefficients!$R$4:$R$22)))</f>
        <v>1.3</v>
      </c>
      <c r="AQ216" s="27">
        <f>IF((OR(R216="A",R216="B",R216="C")),INDEX(Coefficients!$S$4:$S$22,MATCH(K216,Coefficients!$R$4:$R$22)),INDEX(Coefficients!$T$4:$T$22,MATCH(K216,Coefficients!$R$4:$R$22)))</f>
        <v>25</v>
      </c>
      <c r="AR216" s="27">
        <f>IF(OR(R216="A",R216="B",R216="C",R216="D"),IF(AN216&gt;=11,IF(AN216&gt;=26,Coefficients!$M$6,Coefficients!$M$5),Coefficients!$M$4),IF(AN216&gt;=11,IF(AN216&gt;=26,Coefficients!$N$6,Coefficients!$N$5),Coefficients!$N$4))</f>
        <v>1</v>
      </c>
      <c r="AS216" s="27">
        <f>INDEX(Coefficients!$X$3:$X$4,MATCH(S216,Coefficients!$W$3:$W$4))</f>
        <v>1</v>
      </c>
      <c r="AT216" s="27">
        <f>INDEX(Coefficients!$X$7:$X$8,MATCH(O216,Coefficients!$W$7:$W$8))</f>
        <v>1</v>
      </c>
      <c r="AU216" s="27">
        <f>INDEX(Coefficients!$X$11:$X$12,MATCH(P216,Coefficients!$W$11:$W$12))</f>
        <v>1</v>
      </c>
      <c r="AV216" s="27">
        <f>INDEX(Coefficients!$X$15:$X$17,MATCH(Q216,Coefficients!$W$15:$W$17))</f>
        <v>1</v>
      </c>
      <c r="AW216" s="27">
        <f t="shared" si="160"/>
        <v>1</v>
      </c>
      <c r="AX216" s="27">
        <f t="shared" si="161"/>
        <v>1</v>
      </c>
      <c r="AY216" s="27">
        <f t="shared" si="162"/>
        <v>1.3</v>
      </c>
      <c r="AZ216" s="24">
        <f t="shared" si="163"/>
        <v>56.513001791037318</v>
      </c>
      <c r="BA216" s="24">
        <f t="shared" si="164"/>
        <v>0</v>
      </c>
      <c r="BB216" s="24">
        <f t="shared" si="165"/>
        <v>2.9386760931339406</v>
      </c>
      <c r="BC216" s="24">
        <f t="shared" si="166"/>
        <v>1.7061323906866059</v>
      </c>
      <c r="BD216" s="24">
        <f t="shared" si="169"/>
        <v>0.35390086114965319</v>
      </c>
      <c r="BE216" s="16">
        <f t="shared" si="170"/>
        <v>181.45076684040242</v>
      </c>
      <c r="BF216" s="16">
        <f t="shared" si="171"/>
        <v>37.098466319195154</v>
      </c>
      <c r="BG216" s="25">
        <f t="shared" si="172"/>
        <v>1</v>
      </c>
      <c r="BH216" s="24">
        <f t="shared" si="173"/>
        <v>399.19168704888534</v>
      </c>
      <c r="BI216" s="24">
        <f t="shared" si="174"/>
        <v>-398.38337409777068</v>
      </c>
      <c r="BJ216" s="24">
        <f t="shared" si="175"/>
        <v>29.283176417194195</v>
      </c>
    </row>
    <row r="217" spans="2:62">
      <c r="B217" s="24" t="s">
        <v>91</v>
      </c>
      <c r="C217" s="82" t="str">
        <f>'Hotter&amp;Drier'!$B$1</f>
        <v>CSIRO Mk3.5</v>
      </c>
      <c r="D217" s="89">
        <v>2063</v>
      </c>
      <c r="E217" s="57">
        <f>'Cooler&amp;Wetter'!AA91</f>
        <v>35.645499999999998</v>
      </c>
      <c r="F217" s="90">
        <f>'Hotter&amp;Drier'!AC91</f>
        <v>24.041499999999999</v>
      </c>
      <c r="G217" s="35">
        <f t="shared" si="156"/>
        <v>2005</v>
      </c>
      <c r="H217" s="91" t="str">
        <f t="shared" si="136"/>
        <v>Pile 32 @ Berth 201</v>
      </c>
      <c r="I217" s="35" t="str">
        <f t="shared" si="137"/>
        <v>Turpentine Gum</v>
      </c>
      <c r="J217" s="35" t="str">
        <f t="shared" si="138"/>
        <v>HW1</v>
      </c>
      <c r="K217" s="35" t="str">
        <f t="shared" si="157"/>
        <v>SPHU</v>
      </c>
      <c r="L217" s="35">
        <f t="shared" si="139"/>
        <v>400</v>
      </c>
      <c r="M217" s="35">
        <f t="shared" si="140"/>
        <v>20</v>
      </c>
      <c r="N217" s="35">
        <f t="shared" si="141"/>
        <v>200</v>
      </c>
      <c r="O217" s="35" t="str">
        <f t="shared" si="142"/>
        <v>MTN2</v>
      </c>
      <c r="P217" s="35" t="str">
        <f t="shared" si="143"/>
        <v>CNT2</v>
      </c>
      <c r="Q217" s="35" t="str">
        <f t="shared" si="144"/>
        <v>KNT3</v>
      </c>
      <c r="R217" s="35" t="str">
        <f t="shared" si="145"/>
        <v>E</v>
      </c>
      <c r="S217" s="35" t="str">
        <f t="shared" si="146"/>
        <v>EXP1</v>
      </c>
      <c r="T217" s="58"/>
      <c r="U217" s="58"/>
      <c r="V217" s="58"/>
      <c r="W217" s="58"/>
      <c r="X217" s="58"/>
      <c r="Y217" s="58"/>
      <c r="Z217" s="58"/>
      <c r="AA217" s="95">
        <f t="shared" si="176"/>
        <v>1</v>
      </c>
      <c r="AB217" s="96">
        <f t="shared" si="158"/>
        <v>185.59363110882288</v>
      </c>
      <c r="AC217" s="58"/>
      <c r="AD217" s="58"/>
      <c r="AE217" s="58"/>
      <c r="AF217" s="58"/>
      <c r="AG217" s="58"/>
      <c r="AH217" s="58"/>
      <c r="AI217" s="58"/>
      <c r="AJ217" s="58"/>
      <c r="AK217" s="58"/>
      <c r="AL217" s="58"/>
      <c r="AM217" s="89">
        <f t="shared" si="159"/>
        <v>58</v>
      </c>
      <c r="AN217" s="26">
        <f t="shared" si="167"/>
        <v>35.645499999999998</v>
      </c>
      <c r="AO217" s="24">
        <f t="shared" si="168"/>
        <v>2.2768887027878795</v>
      </c>
      <c r="AP217" s="24">
        <f>IF((OR(R217="A",R217="B",R217="C")),INDEX(Coefficients!$S$4:$S$22,MATCH(J217,Coefficients!$R$4:$R$22)),INDEX(Coefficients!$T$4:$T$22,MATCH(J217,Coefficients!$R$4:$R$22)))</f>
        <v>1.3</v>
      </c>
      <c r="AQ217" s="27">
        <f>IF((OR(R217="A",R217="B",R217="C")),INDEX(Coefficients!$S$4:$S$22,MATCH(K217,Coefficients!$R$4:$R$22)),INDEX(Coefficients!$T$4:$T$22,MATCH(K217,Coefficients!$R$4:$R$22)))</f>
        <v>25</v>
      </c>
      <c r="AR217" s="27">
        <f>IF(OR(R217="A",R217="B",R217="C",R217="D"),IF(AN217&gt;=11,IF(AN217&gt;=26,Coefficients!$M$6,Coefficients!$M$5),Coefficients!$M$4),IF(AN217&gt;=11,IF(AN217&gt;=26,Coefficients!$N$6,Coefficients!$N$5),Coefficients!$N$4))</f>
        <v>1</v>
      </c>
      <c r="AS217" s="27">
        <f>INDEX(Coefficients!$X$3:$X$4,MATCH(S217,Coefficients!$W$3:$W$4))</f>
        <v>1</v>
      </c>
      <c r="AT217" s="27">
        <f>INDEX(Coefficients!$X$7:$X$8,MATCH(O217,Coefficients!$W$7:$W$8))</f>
        <v>1</v>
      </c>
      <c r="AU217" s="27">
        <f>INDEX(Coefficients!$X$11:$X$12,MATCH(P217,Coefficients!$W$11:$W$12))</f>
        <v>1</v>
      </c>
      <c r="AV217" s="27">
        <f>INDEX(Coefficients!$X$15:$X$17,MATCH(Q217,Coefficients!$W$15:$W$17))</f>
        <v>1</v>
      </c>
      <c r="AW217" s="27">
        <f t="shared" si="160"/>
        <v>1</v>
      </c>
      <c r="AX217" s="27">
        <f t="shared" si="161"/>
        <v>1</v>
      </c>
      <c r="AY217" s="27">
        <f t="shared" si="162"/>
        <v>1.3</v>
      </c>
      <c r="AZ217" s="24">
        <f t="shared" si="163"/>
        <v>56.92221756969699</v>
      </c>
      <c r="BA217" s="24">
        <f t="shared" si="164"/>
        <v>0</v>
      </c>
      <c r="BB217" s="24">
        <f t="shared" si="165"/>
        <v>2.9599553136242434</v>
      </c>
      <c r="BC217" s="24">
        <f t="shared" si="166"/>
        <v>1.7040044686375757</v>
      </c>
      <c r="BD217" s="24">
        <f t="shared" si="169"/>
        <v>0.35135665569443952</v>
      </c>
      <c r="BE217" s="16">
        <f t="shared" si="170"/>
        <v>185.59363110882288</v>
      </c>
      <c r="BF217" s="16">
        <f t="shared" si="171"/>
        <v>28.812737782354247</v>
      </c>
      <c r="BG217" s="25">
        <f t="shared" si="172"/>
        <v>1</v>
      </c>
      <c r="BH217" s="24">
        <f t="shared" si="173"/>
        <v>408.30598843941038</v>
      </c>
      <c r="BI217" s="24">
        <f t="shared" si="174"/>
        <v>-416.61197687882077</v>
      </c>
      <c r="BJ217" s="24">
        <f t="shared" si="175"/>
        <v>29.082796177750438</v>
      </c>
    </row>
    <row r="218" spans="2:62">
      <c r="B218" s="24" t="s">
        <v>91</v>
      </c>
      <c r="C218" s="82" t="str">
        <f>'Hotter&amp;Drier'!$B$1</f>
        <v>CSIRO Mk3.5</v>
      </c>
      <c r="D218" s="89">
        <v>2064</v>
      </c>
      <c r="E218" s="57">
        <f>'Cooler&amp;Wetter'!AA92</f>
        <v>35.649000000000001</v>
      </c>
      <c r="F218" s="90">
        <f>'Hotter&amp;Drier'!AC92</f>
        <v>24.096999999999998</v>
      </c>
      <c r="G218" s="35">
        <f t="shared" si="156"/>
        <v>2005</v>
      </c>
      <c r="H218" s="91" t="str">
        <f t="shared" ref="H218:H224" si="177">$H$10</f>
        <v>Pile 32 @ Berth 201</v>
      </c>
      <c r="I218" s="35" t="str">
        <f t="shared" ref="I218:I224" si="178">$I$10</f>
        <v>Turpentine Gum</v>
      </c>
      <c r="J218" s="35" t="str">
        <f t="shared" ref="J218:J224" si="179">$J$10</f>
        <v>HW1</v>
      </c>
      <c r="K218" s="35" t="str">
        <f t="shared" si="157"/>
        <v>SPHU</v>
      </c>
      <c r="L218" s="35">
        <f t="shared" ref="L218:L224" si="180">$L$10</f>
        <v>400</v>
      </c>
      <c r="M218" s="35">
        <f t="shared" ref="M218:M224" si="181">$M$10</f>
        <v>20</v>
      </c>
      <c r="N218" s="35">
        <f t="shared" ref="N218:N224" si="182">$N$10</f>
        <v>200</v>
      </c>
      <c r="O218" s="35" t="str">
        <f t="shared" ref="O218:O224" si="183">$O$10</f>
        <v>MTN2</v>
      </c>
      <c r="P218" s="35" t="str">
        <f t="shared" ref="P218:P224" si="184">$P$10</f>
        <v>CNT2</v>
      </c>
      <c r="Q218" s="35" t="str">
        <f t="shared" ref="Q218:Q224" si="185">$Q$10</f>
        <v>KNT3</v>
      </c>
      <c r="R218" s="35" t="str">
        <f t="shared" ref="R218:R224" si="186">$R$10</f>
        <v>E</v>
      </c>
      <c r="S218" s="35" t="str">
        <f t="shared" ref="S218:S224" si="187">$S$10</f>
        <v>EXP1</v>
      </c>
      <c r="T218" s="58"/>
      <c r="U218" s="58"/>
      <c r="V218" s="58"/>
      <c r="W218" s="58"/>
      <c r="X218" s="58"/>
      <c r="Y218" s="58"/>
      <c r="Z218" s="58"/>
      <c r="AA218" s="95">
        <f t="shared" si="176"/>
        <v>1</v>
      </c>
      <c r="AB218" s="96">
        <f t="shared" si="158"/>
        <v>189.78801908599775</v>
      </c>
      <c r="AC218" s="58"/>
      <c r="AD218" s="58"/>
      <c r="AE218" s="58"/>
      <c r="AF218" s="58"/>
      <c r="AG218" s="58"/>
      <c r="AH218" s="58"/>
      <c r="AI218" s="58"/>
      <c r="AJ218" s="58"/>
      <c r="AK218" s="58"/>
      <c r="AL218" s="58"/>
      <c r="AM218" s="89">
        <f t="shared" si="159"/>
        <v>59</v>
      </c>
      <c r="AN218" s="26">
        <f t="shared" ref="AN218:AN224" si="188">E218</f>
        <v>35.649000000000001</v>
      </c>
      <c r="AO218" s="24">
        <f t="shared" ref="AO218:AO224" si="189">0.1*EXP(0.13*F218)</f>
        <v>2.2933758606790473</v>
      </c>
      <c r="AP218" s="24">
        <f>IF((OR(R218="A",R218="B",R218="C")),INDEX(Coefficients!$S$4:$S$22,MATCH(J218,Coefficients!$R$4:$R$22)),INDEX(Coefficients!$T$4:$T$22,MATCH(J218,Coefficients!$R$4:$R$22)))</f>
        <v>1.3</v>
      </c>
      <c r="AQ218" s="27">
        <f>IF((OR(R218="A",R218="B",R218="C")),INDEX(Coefficients!$S$4:$S$22,MATCH(K218,Coefficients!$R$4:$R$22)),INDEX(Coefficients!$T$4:$T$22,MATCH(K218,Coefficients!$R$4:$R$22)))</f>
        <v>25</v>
      </c>
      <c r="AR218" s="27">
        <f>IF(OR(R218="A",R218="B",R218="C",R218="D"),IF(AN218&gt;=11,IF(AN218&gt;=26,Coefficients!$M$6,Coefficients!$M$5),Coefficients!$M$4),IF(AN218&gt;=11,IF(AN218&gt;=26,Coefficients!$N$6,Coefficients!$N$5),Coefficients!$N$4))</f>
        <v>1</v>
      </c>
      <c r="AS218" s="27">
        <f>INDEX(Coefficients!$X$3:$X$4,MATCH(S218,Coefficients!$W$3:$W$4))</f>
        <v>1</v>
      </c>
      <c r="AT218" s="27">
        <f>INDEX(Coefficients!$X$7:$X$8,MATCH(O218,Coefficients!$W$7:$W$8))</f>
        <v>1</v>
      </c>
      <c r="AU218" s="27">
        <f>INDEX(Coefficients!$X$11:$X$12,MATCH(P218,Coefficients!$W$11:$W$12))</f>
        <v>1</v>
      </c>
      <c r="AV218" s="27">
        <f>INDEX(Coefficients!$X$15:$X$17,MATCH(Q218,Coefficients!$W$15:$W$17))</f>
        <v>1</v>
      </c>
      <c r="AW218" s="27">
        <f t="shared" si="160"/>
        <v>1</v>
      </c>
      <c r="AX218" s="27">
        <f t="shared" si="161"/>
        <v>1</v>
      </c>
      <c r="AY218" s="27">
        <f t="shared" si="162"/>
        <v>1.3</v>
      </c>
      <c r="AZ218" s="24">
        <f t="shared" si="163"/>
        <v>57.334396516976184</v>
      </c>
      <c r="BA218" s="24">
        <f t="shared" si="164"/>
        <v>0</v>
      </c>
      <c r="BB218" s="24">
        <f t="shared" si="165"/>
        <v>2.9813886188827614</v>
      </c>
      <c r="BC218" s="24">
        <f t="shared" si="166"/>
        <v>1.7018611381117239</v>
      </c>
      <c r="BD218" s="24">
        <f t="shared" ref="BD218:BD224" si="190">M218/AZ218+BA218</f>
        <v>0.34883074061969388</v>
      </c>
      <c r="BE218" s="16">
        <f t="shared" ref="BE218:BE224" si="191">IF(AM218&lt;=0,0,IF(AM218&gt;(BD218+BC218),M218+(AM218-BD218-BC218)*BB218,M218))</f>
        <v>189.78801908599775</v>
      </c>
      <c r="BF218" s="16">
        <f t="shared" ref="BF218:BF224" si="192">L218-2*BE218</f>
        <v>20.423961828004508</v>
      </c>
      <c r="BG218" s="25">
        <f t="shared" ref="BG218:BG224" si="193">IF(2*BE218&gt;(L218-N218),1,BE218/((L218-N218)/2))</f>
        <v>1</v>
      </c>
      <c r="BH218" s="24">
        <f t="shared" ref="BH218:BH224" si="194">BE218*(1+$BF$1*$BF$2)</f>
        <v>417.53364198919508</v>
      </c>
      <c r="BI218" s="24">
        <f t="shared" ref="BI218:BI224" si="195">L218-2*BH218</f>
        <v>-435.06728397839015</v>
      </c>
      <c r="BJ218" s="24">
        <f t="shared" ref="BJ218:BJ224" si="196">($BF$3/2-M218)/BB218+BD218+BC218</f>
        <v>28.883825772554026</v>
      </c>
    </row>
    <row r="219" spans="2:62">
      <c r="B219" s="24" t="s">
        <v>91</v>
      </c>
      <c r="C219" s="82" t="str">
        <f>'Hotter&amp;Drier'!$B$1</f>
        <v>CSIRO Mk3.5</v>
      </c>
      <c r="D219" s="89">
        <v>2065</v>
      </c>
      <c r="E219" s="57">
        <f>'Cooler&amp;Wetter'!AA93</f>
        <v>35.652500000000003</v>
      </c>
      <c r="F219" s="90">
        <f>'Hotter&amp;Drier'!AC93</f>
        <v>24.1525</v>
      </c>
      <c r="G219" s="35">
        <f t="shared" ref="G219:G224" si="197">$G$10</f>
        <v>2005</v>
      </c>
      <c r="H219" s="91" t="str">
        <f t="shared" si="177"/>
        <v>Pile 32 @ Berth 201</v>
      </c>
      <c r="I219" s="35" t="str">
        <f t="shared" si="178"/>
        <v>Turpentine Gum</v>
      </c>
      <c r="J219" s="35" t="str">
        <f t="shared" si="179"/>
        <v>HW1</v>
      </c>
      <c r="K219" s="35" t="str">
        <f t="shared" ref="K219:K224" si="198">$K$10</f>
        <v>SPHU</v>
      </c>
      <c r="L219" s="35">
        <f t="shared" si="180"/>
        <v>400</v>
      </c>
      <c r="M219" s="35">
        <f t="shared" si="181"/>
        <v>20</v>
      </c>
      <c r="N219" s="35">
        <f t="shared" si="182"/>
        <v>200</v>
      </c>
      <c r="O219" s="35" t="str">
        <f t="shared" si="183"/>
        <v>MTN2</v>
      </c>
      <c r="P219" s="35" t="str">
        <f t="shared" si="184"/>
        <v>CNT2</v>
      </c>
      <c r="Q219" s="35" t="str">
        <f t="shared" si="185"/>
        <v>KNT3</v>
      </c>
      <c r="R219" s="35" t="str">
        <f t="shared" si="186"/>
        <v>E</v>
      </c>
      <c r="S219" s="35" t="str">
        <f t="shared" si="187"/>
        <v>EXP1</v>
      </c>
      <c r="T219" s="58"/>
      <c r="U219" s="58"/>
      <c r="V219" s="58"/>
      <c r="W219" s="58"/>
      <c r="X219" s="58"/>
      <c r="Y219" s="58"/>
      <c r="Z219" s="58"/>
      <c r="AA219" s="95">
        <f t="shared" si="176"/>
        <v>1</v>
      </c>
      <c r="AB219" s="96">
        <f t="shared" ref="AB219:AB224" si="199">BE219</f>
        <v>194.03446039089334</v>
      </c>
      <c r="AC219" s="58"/>
      <c r="AD219" s="58"/>
      <c r="AE219" s="58"/>
      <c r="AF219" s="58"/>
      <c r="AG219" s="58"/>
      <c r="AH219" s="58"/>
      <c r="AI219" s="58"/>
      <c r="AJ219" s="58"/>
      <c r="AK219" s="58"/>
      <c r="AL219" s="58"/>
      <c r="AM219" s="89">
        <f t="shared" ref="AM219:AM224" si="200">MAX(0,D219-G219)</f>
        <v>60</v>
      </c>
      <c r="AN219" s="26">
        <f t="shared" si="188"/>
        <v>35.652500000000003</v>
      </c>
      <c r="AO219" s="24">
        <f t="shared" si="189"/>
        <v>2.3099824035779233</v>
      </c>
      <c r="AP219" s="24">
        <f>IF((OR(R219="A",R219="B",R219="C")),INDEX(Coefficients!$S$4:$S$22,MATCH(J219,Coefficients!$R$4:$R$22)),INDEX(Coefficients!$T$4:$T$22,MATCH(J219,Coefficients!$R$4:$R$22)))</f>
        <v>1.3</v>
      </c>
      <c r="AQ219" s="27">
        <f>IF((OR(R219="A",R219="B",R219="C")),INDEX(Coefficients!$S$4:$S$22,MATCH(K219,Coefficients!$R$4:$R$22)),INDEX(Coefficients!$T$4:$T$22,MATCH(K219,Coefficients!$R$4:$R$22)))</f>
        <v>25</v>
      </c>
      <c r="AR219" s="27">
        <f>IF(OR(R219="A",R219="B",R219="C",R219="D"),IF(AN219&gt;=11,IF(AN219&gt;=26,Coefficients!$M$6,Coefficients!$M$5),Coefficients!$M$4),IF(AN219&gt;=11,IF(AN219&gt;=26,Coefficients!$N$6,Coefficients!$N$5),Coefficients!$N$4))</f>
        <v>1</v>
      </c>
      <c r="AS219" s="27">
        <f>INDEX(Coefficients!$X$3:$X$4,MATCH(S219,Coefficients!$W$3:$W$4))</f>
        <v>1</v>
      </c>
      <c r="AT219" s="27">
        <f>INDEX(Coefficients!$X$7:$X$8,MATCH(O219,Coefficients!$W$7:$W$8))</f>
        <v>1</v>
      </c>
      <c r="AU219" s="27">
        <f>INDEX(Coefficients!$X$11:$X$12,MATCH(P219,Coefficients!$W$11:$W$12))</f>
        <v>1</v>
      </c>
      <c r="AV219" s="27">
        <f>INDEX(Coefficients!$X$15:$X$17,MATCH(Q219,Coefficients!$W$15:$W$17))</f>
        <v>1</v>
      </c>
      <c r="AW219" s="27">
        <f t="shared" ref="AW219:AW224" si="201">AR219*AS219</f>
        <v>1</v>
      </c>
      <c r="AX219" s="27">
        <f t="shared" ref="AX219:AX224" si="202">AT219*AU219*AV219</f>
        <v>1</v>
      </c>
      <c r="AY219" s="27">
        <f t="shared" ref="AY219:AY224" si="203">AP219*AR219*AS219*AT219*AU219*AV219</f>
        <v>1.3</v>
      </c>
      <c r="AZ219" s="24">
        <f t="shared" ref="AZ219:AZ224" si="204">AO219*AQ219*AW219*AX219</f>
        <v>57.749560089448082</v>
      </c>
      <c r="BA219" s="24">
        <f t="shared" ref="BA219:BA224" si="205">IF(AZ219&gt;=20,0,2-0.1*AZ219)</f>
        <v>0</v>
      </c>
      <c r="BB219" s="24">
        <f t="shared" ref="BB219:BB224" si="206">AO219*AP219*AR219*AS219*AT219*AU219*AV219</f>
        <v>3.0029771246513004</v>
      </c>
      <c r="BC219" s="24">
        <f t="shared" ref="BC219:BC224" si="207">IF(BB219&gt;=20,0,2-0.1*BB219)</f>
        <v>1.69970228753487</v>
      </c>
      <c r="BD219" s="24">
        <f t="shared" si="190"/>
        <v>0.34632298443524201</v>
      </c>
      <c r="BE219" s="16">
        <f t="shared" si="191"/>
        <v>194.03446039089334</v>
      </c>
      <c r="BF219" s="16">
        <f t="shared" si="192"/>
        <v>11.931079218213313</v>
      </c>
      <c r="BG219" s="25">
        <f t="shared" si="193"/>
        <v>1</v>
      </c>
      <c r="BH219" s="24">
        <f t="shared" si="194"/>
        <v>426.87581285996538</v>
      </c>
      <c r="BI219" s="24">
        <f t="shared" si="195"/>
        <v>-453.75162571993076</v>
      </c>
      <c r="BJ219" s="24">
        <f t="shared" si="196"/>
        <v>28.686254843911801</v>
      </c>
    </row>
    <row r="220" spans="2:62">
      <c r="B220" s="24" t="s">
        <v>91</v>
      </c>
      <c r="C220" s="82" t="str">
        <f>'Hotter&amp;Drier'!$B$1</f>
        <v>CSIRO Mk3.5</v>
      </c>
      <c r="D220" s="89">
        <v>2066</v>
      </c>
      <c r="E220" s="57">
        <f>'Cooler&amp;Wetter'!AA94</f>
        <v>35.655999999999999</v>
      </c>
      <c r="F220" s="90">
        <f>'Hotter&amp;Drier'!AC94</f>
        <v>24.207999999999998</v>
      </c>
      <c r="G220" s="35">
        <f t="shared" si="197"/>
        <v>2005</v>
      </c>
      <c r="H220" s="91" t="str">
        <f t="shared" si="177"/>
        <v>Pile 32 @ Berth 201</v>
      </c>
      <c r="I220" s="35" t="str">
        <f t="shared" si="178"/>
        <v>Turpentine Gum</v>
      </c>
      <c r="J220" s="35" t="str">
        <f t="shared" si="179"/>
        <v>HW1</v>
      </c>
      <c r="K220" s="35" t="str">
        <f t="shared" si="198"/>
        <v>SPHU</v>
      </c>
      <c r="L220" s="35">
        <f t="shared" si="180"/>
        <v>400</v>
      </c>
      <c r="M220" s="35">
        <f t="shared" si="181"/>
        <v>20</v>
      </c>
      <c r="N220" s="35">
        <f t="shared" si="182"/>
        <v>200</v>
      </c>
      <c r="O220" s="35" t="str">
        <f t="shared" si="183"/>
        <v>MTN2</v>
      </c>
      <c r="P220" s="35" t="str">
        <f t="shared" si="184"/>
        <v>CNT2</v>
      </c>
      <c r="Q220" s="35" t="str">
        <f t="shared" si="185"/>
        <v>KNT3</v>
      </c>
      <c r="R220" s="35" t="str">
        <f t="shared" si="186"/>
        <v>E</v>
      </c>
      <c r="S220" s="35" t="str">
        <f t="shared" si="187"/>
        <v>EXP1</v>
      </c>
      <c r="T220" s="58"/>
      <c r="U220" s="58"/>
      <c r="V220" s="58"/>
      <c r="W220" s="58"/>
      <c r="X220" s="58"/>
      <c r="Y220" s="58"/>
      <c r="Z220" s="58"/>
      <c r="AA220" s="95">
        <f t="shared" si="176"/>
        <v>1</v>
      </c>
      <c r="AB220" s="96">
        <f t="shared" si="199"/>
        <v>198.33348962065503</v>
      </c>
      <c r="AC220" s="58"/>
      <c r="AD220" s="58"/>
      <c r="AE220" s="58"/>
      <c r="AF220" s="58"/>
      <c r="AG220" s="58"/>
      <c r="AH220" s="58"/>
      <c r="AI220" s="58"/>
      <c r="AJ220" s="58"/>
      <c r="AK220" s="58"/>
      <c r="AL220" s="58"/>
      <c r="AM220" s="89">
        <f t="shared" si="200"/>
        <v>61</v>
      </c>
      <c r="AN220" s="26">
        <f t="shared" si="188"/>
        <v>35.655999999999999</v>
      </c>
      <c r="AO220" s="24">
        <f t="shared" si="189"/>
        <v>2.3267091959621884</v>
      </c>
      <c r="AP220" s="24">
        <f>IF((OR(R220="A",R220="B",R220="C")),INDEX(Coefficients!$S$4:$S$22,MATCH(J220,Coefficients!$R$4:$R$22)),INDEX(Coefficients!$T$4:$T$22,MATCH(J220,Coefficients!$R$4:$R$22)))</f>
        <v>1.3</v>
      </c>
      <c r="AQ220" s="27">
        <f>IF((OR(R220="A",R220="B",R220="C")),INDEX(Coefficients!$S$4:$S$22,MATCH(K220,Coefficients!$R$4:$R$22)),INDEX(Coefficients!$T$4:$T$22,MATCH(K220,Coefficients!$R$4:$R$22)))</f>
        <v>25</v>
      </c>
      <c r="AR220" s="27">
        <f>IF(OR(R220="A",R220="B",R220="C",R220="D"),IF(AN220&gt;=11,IF(AN220&gt;=26,Coefficients!$M$6,Coefficients!$M$5),Coefficients!$M$4),IF(AN220&gt;=11,IF(AN220&gt;=26,Coefficients!$N$6,Coefficients!$N$5),Coefficients!$N$4))</f>
        <v>1</v>
      </c>
      <c r="AS220" s="27">
        <f>INDEX(Coefficients!$X$3:$X$4,MATCH(S220,Coefficients!$W$3:$W$4))</f>
        <v>1</v>
      </c>
      <c r="AT220" s="27">
        <f>INDEX(Coefficients!$X$7:$X$8,MATCH(O220,Coefficients!$W$7:$W$8))</f>
        <v>1</v>
      </c>
      <c r="AU220" s="27">
        <f>INDEX(Coefficients!$X$11:$X$12,MATCH(P220,Coefficients!$W$11:$W$12))</f>
        <v>1</v>
      </c>
      <c r="AV220" s="27">
        <f>INDEX(Coefficients!$X$15:$X$17,MATCH(Q220,Coefficients!$W$15:$W$17))</f>
        <v>1</v>
      </c>
      <c r="AW220" s="27">
        <f t="shared" si="201"/>
        <v>1</v>
      </c>
      <c r="AX220" s="27">
        <f t="shared" si="202"/>
        <v>1</v>
      </c>
      <c r="AY220" s="27">
        <f t="shared" si="203"/>
        <v>1.3</v>
      </c>
      <c r="AZ220" s="24">
        <f t="shared" si="204"/>
        <v>58.167729899054713</v>
      </c>
      <c r="BA220" s="24">
        <f t="shared" si="205"/>
        <v>0</v>
      </c>
      <c r="BB220" s="24">
        <f t="shared" si="206"/>
        <v>3.024721954750845</v>
      </c>
      <c r="BC220" s="24">
        <f t="shared" si="207"/>
        <v>1.6975278045249156</v>
      </c>
      <c r="BD220" s="24">
        <f t="shared" si="190"/>
        <v>0.34383325659619768</v>
      </c>
      <c r="BE220" s="16">
        <f t="shared" si="191"/>
        <v>198.33348962065503</v>
      </c>
      <c r="BF220" s="16">
        <f t="shared" si="192"/>
        <v>3.3330207586899405</v>
      </c>
      <c r="BG220" s="25">
        <f t="shared" si="193"/>
        <v>1</v>
      </c>
      <c r="BH220" s="24">
        <f t="shared" si="194"/>
        <v>436.33367716544109</v>
      </c>
      <c r="BI220" s="24">
        <f t="shared" si="195"/>
        <v>-472.66735433088218</v>
      </c>
      <c r="BJ220" s="24">
        <f t="shared" si="196"/>
        <v>28.490073106982479</v>
      </c>
    </row>
    <row r="221" spans="2:62">
      <c r="B221" s="24" t="s">
        <v>91</v>
      </c>
      <c r="C221" s="82" t="str">
        <f>'Hotter&amp;Drier'!$B$1</f>
        <v>CSIRO Mk3.5</v>
      </c>
      <c r="D221" s="89">
        <v>2067</v>
      </c>
      <c r="E221" s="57">
        <f>'Cooler&amp;Wetter'!AA95</f>
        <v>35.659500000000001</v>
      </c>
      <c r="F221" s="90">
        <f>'Hotter&amp;Drier'!AC95</f>
        <v>24.263500000000001</v>
      </c>
      <c r="G221" s="35">
        <f t="shared" si="197"/>
        <v>2005</v>
      </c>
      <c r="H221" s="91" t="str">
        <f t="shared" si="177"/>
        <v>Pile 32 @ Berth 201</v>
      </c>
      <c r="I221" s="35" t="str">
        <f t="shared" si="178"/>
        <v>Turpentine Gum</v>
      </c>
      <c r="J221" s="35" t="str">
        <f t="shared" si="179"/>
        <v>HW1</v>
      </c>
      <c r="K221" s="35" t="str">
        <f t="shared" si="198"/>
        <v>SPHU</v>
      </c>
      <c r="L221" s="35">
        <f t="shared" si="180"/>
        <v>400</v>
      </c>
      <c r="M221" s="35">
        <f t="shared" si="181"/>
        <v>20</v>
      </c>
      <c r="N221" s="35">
        <f t="shared" si="182"/>
        <v>200</v>
      </c>
      <c r="O221" s="35" t="str">
        <f t="shared" si="183"/>
        <v>MTN2</v>
      </c>
      <c r="P221" s="35" t="str">
        <f t="shared" si="184"/>
        <v>CNT2</v>
      </c>
      <c r="Q221" s="35" t="str">
        <f t="shared" si="185"/>
        <v>KNT3</v>
      </c>
      <c r="R221" s="35" t="str">
        <f t="shared" si="186"/>
        <v>E</v>
      </c>
      <c r="S221" s="35" t="str">
        <f t="shared" si="187"/>
        <v>EXP1</v>
      </c>
      <c r="T221" s="58"/>
      <c r="U221" s="58"/>
      <c r="V221" s="58"/>
      <c r="W221" s="58"/>
      <c r="X221" s="58"/>
      <c r="Y221" s="58"/>
      <c r="Z221" s="58"/>
      <c r="AA221" s="95">
        <f t="shared" si="176"/>
        <v>1</v>
      </c>
      <c r="AB221" s="96">
        <f t="shared" si="199"/>
        <v>202.68564639507474</v>
      </c>
      <c r="AC221" s="58"/>
      <c r="AD221" s="58"/>
      <c r="AE221" s="58"/>
      <c r="AF221" s="58"/>
      <c r="AG221" s="58"/>
      <c r="AH221" s="58"/>
      <c r="AI221" s="58"/>
      <c r="AJ221" s="58"/>
      <c r="AK221" s="58"/>
      <c r="AL221" s="58"/>
      <c r="AM221" s="89">
        <f t="shared" si="200"/>
        <v>62</v>
      </c>
      <c r="AN221" s="26">
        <f t="shared" si="188"/>
        <v>35.659500000000001</v>
      </c>
      <c r="AO221" s="24">
        <f t="shared" si="189"/>
        <v>2.3435571085692883</v>
      </c>
      <c r="AP221" s="24">
        <f>IF((OR(R221="A",R221="B",R221="C")),INDEX(Coefficients!$S$4:$S$22,MATCH(J221,Coefficients!$R$4:$R$22)),INDEX(Coefficients!$T$4:$T$22,MATCH(J221,Coefficients!$R$4:$R$22)))</f>
        <v>1.3</v>
      </c>
      <c r="AQ221" s="27">
        <f>IF((OR(R221="A",R221="B",R221="C")),INDEX(Coefficients!$S$4:$S$22,MATCH(K221,Coefficients!$R$4:$R$22)),INDEX(Coefficients!$T$4:$T$22,MATCH(K221,Coefficients!$R$4:$R$22)))</f>
        <v>25</v>
      </c>
      <c r="AR221" s="27">
        <f>IF(OR(R221="A",R221="B",R221="C",R221="D"),IF(AN221&gt;=11,IF(AN221&gt;=26,Coefficients!$M$6,Coefficients!$M$5),Coefficients!$M$4),IF(AN221&gt;=11,IF(AN221&gt;=26,Coefficients!$N$6,Coefficients!$N$5),Coefficients!$N$4))</f>
        <v>1</v>
      </c>
      <c r="AS221" s="27">
        <f>INDEX(Coefficients!$X$3:$X$4,MATCH(S221,Coefficients!$W$3:$W$4))</f>
        <v>1</v>
      </c>
      <c r="AT221" s="27">
        <f>INDEX(Coefficients!$X$7:$X$8,MATCH(O221,Coefficients!$W$7:$W$8))</f>
        <v>1</v>
      </c>
      <c r="AU221" s="27">
        <f>INDEX(Coefficients!$X$11:$X$12,MATCH(P221,Coefficients!$W$11:$W$12))</f>
        <v>1</v>
      </c>
      <c r="AV221" s="27">
        <f>INDEX(Coefficients!$X$15:$X$17,MATCH(Q221,Coefficients!$W$15:$W$17))</f>
        <v>1</v>
      </c>
      <c r="AW221" s="27">
        <f t="shared" si="201"/>
        <v>1</v>
      </c>
      <c r="AX221" s="27">
        <f t="shared" si="202"/>
        <v>1</v>
      </c>
      <c r="AY221" s="27">
        <f t="shared" si="203"/>
        <v>1.3</v>
      </c>
      <c r="AZ221" s="24">
        <f t="shared" si="204"/>
        <v>58.588927714232206</v>
      </c>
      <c r="BA221" s="24">
        <f t="shared" si="205"/>
        <v>0</v>
      </c>
      <c r="BB221" s="24">
        <f t="shared" si="206"/>
        <v>3.046624241140075</v>
      </c>
      <c r="BC221" s="24">
        <f t="shared" si="207"/>
        <v>1.6953375758859925</v>
      </c>
      <c r="BD221" s="24">
        <f t="shared" si="190"/>
        <v>0.34136142749616621</v>
      </c>
      <c r="BE221" s="16">
        <f t="shared" si="191"/>
        <v>202.68564639507474</v>
      </c>
      <c r="BF221" s="16">
        <f t="shared" si="192"/>
        <v>-5.3712927901494822</v>
      </c>
      <c r="BG221" s="25">
        <f t="shared" si="193"/>
        <v>1</v>
      </c>
      <c r="BH221" s="24">
        <f t="shared" si="194"/>
        <v>445.90842206916449</v>
      </c>
      <c r="BI221" s="24">
        <f t="shared" si="195"/>
        <v>-491.81684413832897</v>
      </c>
      <c r="BJ221" s="24">
        <f t="shared" si="196"/>
        <v>28.295270349241097</v>
      </c>
    </row>
    <row r="222" spans="2:62">
      <c r="B222" s="24" t="s">
        <v>91</v>
      </c>
      <c r="C222" s="82" t="str">
        <f>'Hotter&amp;Drier'!$B$1</f>
        <v>CSIRO Mk3.5</v>
      </c>
      <c r="D222" s="89">
        <v>2068</v>
      </c>
      <c r="E222" s="57">
        <f>'Cooler&amp;Wetter'!AA96</f>
        <v>35.662999999999997</v>
      </c>
      <c r="F222" s="90">
        <f>'Hotter&amp;Drier'!AC96</f>
        <v>24.318999999999999</v>
      </c>
      <c r="G222" s="35">
        <f t="shared" si="197"/>
        <v>2005</v>
      </c>
      <c r="H222" s="91" t="str">
        <f t="shared" si="177"/>
        <v>Pile 32 @ Berth 201</v>
      </c>
      <c r="I222" s="35" t="str">
        <f t="shared" si="178"/>
        <v>Turpentine Gum</v>
      </c>
      <c r="J222" s="35" t="str">
        <f t="shared" si="179"/>
        <v>HW1</v>
      </c>
      <c r="K222" s="35" t="str">
        <f t="shared" si="198"/>
        <v>SPHU</v>
      </c>
      <c r="L222" s="35">
        <f t="shared" si="180"/>
        <v>400</v>
      </c>
      <c r="M222" s="35">
        <f t="shared" si="181"/>
        <v>20</v>
      </c>
      <c r="N222" s="35">
        <f t="shared" si="182"/>
        <v>200</v>
      </c>
      <c r="O222" s="35" t="str">
        <f t="shared" si="183"/>
        <v>MTN2</v>
      </c>
      <c r="P222" s="35" t="str">
        <f t="shared" si="184"/>
        <v>CNT2</v>
      </c>
      <c r="Q222" s="35" t="str">
        <f t="shared" si="185"/>
        <v>KNT3</v>
      </c>
      <c r="R222" s="35" t="str">
        <f t="shared" si="186"/>
        <v>E</v>
      </c>
      <c r="S222" s="35" t="str">
        <f t="shared" si="187"/>
        <v>EXP1</v>
      </c>
      <c r="T222" s="58"/>
      <c r="U222" s="58"/>
      <c r="V222" s="58"/>
      <c r="W222" s="58"/>
      <c r="X222" s="58"/>
      <c r="Y222" s="58"/>
      <c r="Z222" s="58"/>
      <c r="AA222" s="95">
        <f t="shared" si="176"/>
        <v>1</v>
      </c>
      <c r="AB222" s="96">
        <f t="shared" si="199"/>
        <v>207.09147540144147</v>
      </c>
      <c r="AC222" s="58"/>
      <c r="AD222" s="58"/>
      <c r="AE222" s="58"/>
      <c r="AF222" s="58"/>
      <c r="AG222" s="58"/>
      <c r="AH222" s="58"/>
      <c r="AI222" s="58"/>
      <c r="AJ222" s="58"/>
      <c r="AK222" s="58"/>
      <c r="AL222" s="58"/>
      <c r="AM222" s="89">
        <f t="shared" si="200"/>
        <v>63</v>
      </c>
      <c r="AN222" s="26">
        <f t="shared" si="188"/>
        <v>35.662999999999997</v>
      </c>
      <c r="AO222" s="24">
        <f t="shared" si="189"/>
        <v>2.3605270184417573</v>
      </c>
      <c r="AP222" s="24">
        <f>IF((OR(R222="A",R222="B",R222="C")),INDEX(Coefficients!$S$4:$S$22,MATCH(J222,Coefficients!$R$4:$R$22)),INDEX(Coefficients!$T$4:$T$22,MATCH(J222,Coefficients!$R$4:$R$22)))</f>
        <v>1.3</v>
      </c>
      <c r="AQ222" s="27">
        <f>IF((OR(R222="A",R222="B",R222="C")),INDEX(Coefficients!$S$4:$S$22,MATCH(K222,Coefficients!$R$4:$R$22)),INDEX(Coefficients!$T$4:$T$22,MATCH(K222,Coefficients!$R$4:$R$22)))</f>
        <v>25</v>
      </c>
      <c r="AR222" s="27">
        <f>IF(OR(R222="A",R222="B",R222="C",R222="D"),IF(AN222&gt;=11,IF(AN222&gt;=26,Coefficients!$M$6,Coefficients!$M$5),Coefficients!$M$4),IF(AN222&gt;=11,IF(AN222&gt;=26,Coefficients!$N$6,Coefficients!$N$5),Coefficients!$N$4))</f>
        <v>1</v>
      </c>
      <c r="AS222" s="27">
        <f>INDEX(Coefficients!$X$3:$X$4,MATCH(S222,Coefficients!$W$3:$W$4))</f>
        <v>1</v>
      </c>
      <c r="AT222" s="27">
        <f>INDEX(Coefficients!$X$7:$X$8,MATCH(O222,Coefficients!$W$7:$W$8))</f>
        <v>1</v>
      </c>
      <c r="AU222" s="27">
        <f>INDEX(Coefficients!$X$11:$X$12,MATCH(P222,Coefficients!$W$11:$W$12))</f>
        <v>1</v>
      </c>
      <c r="AV222" s="27">
        <f>INDEX(Coefficients!$X$15:$X$17,MATCH(Q222,Coefficients!$W$15:$W$17))</f>
        <v>1</v>
      </c>
      <c r="AW222" s="27">
        <f t="shared" si="201"/>
        <v>1</v>
      </c>
      <c r="AX222" s="27">
        <f t="shared" si="202"/>
        <v>1</v>
      </c>
      <c r="AY222" s="27">
        <f t="shared" si="203"/>
        <v>1.3</v>
      </c>
      <c r="AZ222" s="24">
        <f t="shared" si="204"/>
        <v>59.013175461043929</v>
      </c>
      <c r="BA222" s="24">
        <f t="shared" si="205"/>
        <v>0</v>
      </c>
      <c r="BB222" s="24">
        <f t="shared" si="206"/>
        <v>3.0686851239742845</v>
      </c>
      <c r="BC222" s="24">
        <f t="shared" si="207"/>
        <v>1.6931314876025716</v>
      </c>
      <c r="BD222" s="24">
        <f t="shared" si="190"/>
        <v>0.3389073684604974</v>
      </c>
      <c r="BE222" s="16">
        <f t="shared" si="191"/>
        <v>207.09147540144147</v>
      </c>
      <c r="BF222" s="16">
        <f t="shared" si="192"/>
        <v>-14.182950802882942</v>
      </c>
      <c r="BG222" s="25">
        <f t="shared" si="193"/>
        <v>1</v>
      </c>
      <c r="BH222" s="24">
        <f t="shared" si="194"/>
        <v>455.60124588317126</v>
      </c>
      <c r="BI222" s="24">
        <f t="shared" si="195"/>
        <v>-511.20249176634252</v>
      </c>
      <c r="BJ222" s="24">
        <f t="shared" si="196"/>
        <v>28.101836429947483</v>
      </c>
    </row>
    <row r="223" spans="2:62">
      <c r="B223" s="24" t="s">
        <v>91</v>
      </c>
      <c r="C223" s="82" t="str">
        <f>'Hotter&amp;Drier'!$B$1</f>
        <v>CSIRO Mk3.5</v>
      </c>
      <c r="D223" s="89">
        <v>2069</v>
      </c>
      <c r="E223" s="57">
        <f>'Cooler&amp;Wetter'!AA97</f>
        <v>35.666499999999999</v>
      </c>
      <c r="F223" s="90">
        <f>'Hotter&amp;Drier'!AC97</f>
        <v>24.374499999999998</v>
      </c>
      <c r="G223" s="35">
        <f t="shared" si="197"/>
        <v>2005</v>
      </c>
      <c r="H223" s="91" t="str">
        <f t="shared" si="177"/>
        <v>Pile 32 @ Berth 201</v>
      </c>
      <c r="I223" s="35" t="str">
        <f t="shared" si="178"/>
        <v>Turpentine Gum</v>
      </c>
      <c r="J223" s="35" t="str">
        <f t="shared" si="179"/>
        <v>HW1</v>
      </c>
      <c r="K223" s="35" t="str">
        <f t="shared" si="198"/>
        <v>SPHU</v>
      </c>
      <c r="L223" s="35">
        <f t="shared" si="180"/>
        <v>400</v>
      </c>
      <c r="M223" s="35">
        <f t="shared" si="181"/>
        <v>20</v>
      </c>
      <c r="N223" s="35">
        <f t="shared" si="182"/>
        <v>200</v>
      </c>
      <c r="O223" s="35" t="str">
        <f t="shared" si="183"/>
        <v>MTN2</v>
      </c>
      <c r="P223" s="35" t="str">
        <f t="shared" si="184"/>
        <v>CNT2</v>
      </c>
      <c r="Q223" s="35" t="str">
        <f t="shared" si="185"/>
        <v>KNT3</v>
      </c>
      <c r="R223" s="35" t="str">
        <f t="shared" si="186"/>
        <v>E</v>
      </c>
      <c r="S223" s="35" t="str">
        <f t="shared" si="187"/>
        <v>EXP1</v>
      </c>
      <c r="T223" s="58"/>
      <c r="U223" s="58"/>
      <c r="V223" s="58"/>
      <c r="W223" s="58"/>
      <c r="X223" s="58"/>
      <c r="Y223" s="58"/>
      <c r="Z223" s="58"/>
      <c r="AA223" s="95">
        <f t="shared" si="176"/>
        <v>1</v>
      </c>
      <c r="AB223" s="96">
        <f t="shared" si="199"/>
        <v>211.55152643978104</v>
      </c>
      <c r="AC223" s="58"/>
      <c r="AD223" s="58"/>
      <c r="AE223" s="58"/>
      <c r="AF223" s="58"/>
      <c r="AG223" s="58"/>
      <c r="AH223" s="58"/>
      <c r="AI223" s="58"/>
      <c r="AJ223" s="58"/>
      <c r="AK223" s="58"/>
      <c r="AL223" s="58"/>
      <c r="AM223" s="89">
        <f t="shared" si="200"/>
        <v>64</v>
      </c>
      <c r="AN223" s="26">
        <f t="shared" si="188"/>
        <v>35.666499999999999</v>
      </c>
      <c r="AO223" s="24">
        <f t="shared" si="189"/>
        <v>2.3776198089728737</v>
      </c>
      <c r="AP223" s="24">
        <f>IF((OR(R223="A",R223="B",R223="C")),INDEX(Coefficients!$S$4:$S$22,MATCH(J223,Coefficients!$R$4:$R$22)),INDEX(Coefficients!$T$4:$T$22,MATCH(J223,Coefficients!$R$4:$R$22)))</f>
        <v>1.3</v>
      </c>
      <c r="AQ223" s="27">
        <f>IF((OR(R223="A",R223="B",R223="C")),INDEX(Coefficients!$S$4:$S$22,MATCH(K223,Coefficients!$R$4:$R$22)),INDEX(Coefficients!$T$4:$T$22,MATCH(K223,Coefficients!$R$4:$R$22)))</f>
        <v>25</v>
      </c>
      <c r="AR223" s="27">
        <f>IF(OR(R223="A",R223="B",R223="C",R223="D"),IF(AN223&gt;=11,IF(AN223&gt;=26,Coefficients!$M$6,Coefficients!$M$5),Coefficients!$M$4),IF(AN223&gt;=11,IF(AN223&gt;=26,Coefficients!$N$6,Coefficients!$N$5),Coefficients!$N$4))</f>
        <v>1</v>
      </c>
      <c r="AS223" s="27">
        <f>INDEX(Coefficients!$X$3:$X$4,MATCH(S223,Coefficients!$W$3:$W$4))</f>
        <v>1</v>
      </c>
      <c r="AT223" s="27">
        <f>INDEX(Coefficients!$X$7:$X$8,MATCH(O223,Coefficients!$W$7:$W$8))</f>
        <v>1</v>
      </c>
      <c r="AU223" s="27">
        <f>INDEX(Coefficients!$X$11:$X$12,MATCH(P223,Coefficients!$W$11:$W$12))</f>
        <v>1</v>
      </c>
      <c r="AV223" s="27">
        <f>INDEX(Coefficients!$X$15:$X$17,MATCH(Q223,Coefficients!$W$15:$W$17))</f>
        <v>1</v>
      </c>
      <c r="AW223" s="27">
        <f t="shared" si="201"/>
        <v>1</v>
      </c>
      <c r="AX223" s="27">
        <f t="shared" si="202"/>
        <v>1</v>
      </c>
      <c r="AY223" s="27">
        <f t="shared" si="203"/>
        <v>1.3</v>
      </c>
      <c r="AZ223" s="24">
        <f t="shared" si="204"/>
        <v>59.440495224321843</v>
      </c>
      <c r="BA223" s="24">
        <f t="shared" si="205"/>
        <v>0</v>
      </c>
      <c r="BB223" s="24">
        <f t="shared" si="206"/>
        <v>3.090905751664736</v>
      </c>
      <c r="BC223" s="24">
        <f t="shared" si="207"/>
        <v>1.6909094248335264</v>
      </c>
      <c r="BD223" s="24">
        <f t="shared" si="190"/>
        <v>0.33647095173958791</v>
      </c>
      <c r="BE223" s="16">
        <f t="shared" si="191"/>
        <v>211.55152643978104</v>
      </c>
      <c r="BF223" s="16">
        <f t="shared" si="192"/>
        <v>-23.103052879562085</v>
      </c>
      <c r="BG223" s="25">
        <f t="shared" si="193"/>
        <v>1</v>
      </c>
      <c r="BH223" s="24">
        <f t="shared" si="194"/>
        <v>465.41335816751831</v>
      </c>
      <c r="BI223" s="24">
        <f t="shared" si="195"/>
        <v>-530.82671633503662</v>
      </c>
      <c r="BJ223" s="24">
        <f t="shared" si="196"/>
        <v>27.909761279618337</v>
      </c>
    </row>
    <row r="224" spans="2:62">
      <c r="B224" s="24" t="s">
        <v>91</v>
      </c>
      <c r="C224" s="82" t="str">
        <f>'Hotter&amp;Drier'!$B$1</f>
        <v>CSIRO Mk3.5</v>
      </c>
      <c r="D224" s="89">
        <v>2070</v>
      </c>
      <c r="E224" s="57">
        <f>'Cooler&amp;Wetter'!AA98</f>
        <v>35.67</v>
      </c>
      <c r="F224" s="90">
        <f>'Hotter&amp;Drier'!AC98</f>
        <v>24.43</v>
      </c>
      <c r="G224" s="35">
        <f t="shared" si="197"/>
        <v>2005</v>
      </c>
      <c r="H224" s="91" t="str">
        <f t="shared" si="177"/>
        <v>Pile 32 @ Berth 201</v>
      </c>
      <c r="I224" s="35" t="str">
        <f t="shared" si="178"/>
        <v>Turpentine Gum</v>
      </c>
      <c r="J224" s="35" t="str">
        <f t="shared" si="179"/>
        <v>HW1</v>
      </c>
      <c r="K224" s="35" t="str">
        <f t="shared" si="198"/>
        <v>SPHU</v>
      </c>
      <c r="L224" s="35">
        <f t="shared" si="180"/>
        <v>400</v>
      </c>
      <c r="M224" s="35">
        <f t="shared" si="181"/>
        <v>20</v>
      </c>
      <c r="N224" s="35">
        <f t="shared" si="182"/>
        <v>200</v>
      </c>
      <c r="O224" s="35" t="str">
        <f t="shared" si="183"/>
        <v>MTN2</v>
      </c>
      <c r="P224" s="35" t="str">
        <f t="shared" si="184"/>
        <v>CNT2</v>
      </c>
      <c r="Q224" s="35" t="str">
        <f t="shared" si="185"/>
        <v>KNT3</v>
      </c>
      <c r="R224" s="35" t="str">
        <f t="shared" si="186"/>
        <v>E</v>
      </c>
      <c r="S224" s="35" t="str">
        <f t="shared" si="187"/>
        <v>EXP1</v>
      </c>
      <c r="T224" s="58"/>
      <c r="U224" s="58"/>
      <c r="V224" s="58"/>
      <c r="W224" s="58"/>
      <c r="X224" s="58"/>
      <c r="Y224" s="58"/>
      <c r="Z224" s="58"/>
      <c r="AA224" s="95">
        <f t="shared" si="176"/>
        <v>1</v>
      </c>
      <c r="AB224" s="96">
        <f t="shared" si="199"/>
        <v>216.06635446848716</v>
      </c>
      <c r="AC224" s="58"/>
      <c r="AD224" s="58"/>
      <c r="AE224" s="58"/>
      <c r="AF224" s="58"/>
      <c r="AG224" s="58"/>
      <c r="AH224" s="58"/>
      <c r="AI224" s="58"/>
      <c r="AJ224" s="58"/>
      <c r="AK224" s="58"/>
      <c r="AL224" s="58"/>
      <c r="AM224" s="89">
        <f t="shared" si="200"/>
        <v>65</v>
      </c>
      <c r="AN224" s="26">
        <f t="shared" si="188"/>
        <v>35.67</v>
      </c>
      <c r="AO224" s="24">
        <f t="shared" si="189"/>
        <v>2.3948363699526478</v>
      </c>
      <c r="AP224" s="24">
        <f>IF((OR(R224="A",R224="B",R224="C")),INDEX(Coefficients!$S$4:$S$22,MATCH(J224,Coefficients!$R$4:$R$22)),INDEX(Coefficients!$T$4:$T$22,MATCH(J224,Coefficients!$R$4:$R$22)))</f>
        <v>1.3</v>
      </c>
      <c r="AQ224" s="27">
        <f>IF((OR(R224="A",R224="B",R224="C")),INDEX(Coefficients!$S$4:$S$22,MATCH(K224,Coefficients!$R$4:$R$22)),INDEX(Coefficients!$T$4:$T$22,MATCH(K224,Coefficients!$R$4:$R$22)))</f>
        <v>25</v>
      </c>
      <c r="AR224" s="27">
        <f>IF(OR(R224="A",R224="B",R224="C",R224="D"),IF(AN224&gt;=11,IF(AN224&gt;=26,Coefficients!$M$6,Coefficients!$M$5),Coefficients!$M$4),IF(AN224&gt;=11,IF(AN224&gt;=26,Coefficients!$N$6,Coefficients!$N$5),Coefficients!$N$4))</f>
        <v>1</v>
      </c>
      <c r="AS224" s="27">
        <f>INDEX(Coefficients!$X$3:$X$4,MATCH(S224,Coefficients!$W$3:$W$4))</f>
        <v>1</v>
      </c>
      <c r="AT224" s="27">
        <f>INDEX(Coefficients!$X$7:$X$8,MATCH(O224,Coefficients!$W$7:$W$8))</f>
        <v>1</v>
      </c>
      <c r="AU224" s="27">
        <f>INDEX(Coefficients!$X$11:$X$12,MATCH(P224,Coefficients!$W$11:$W$12))</f>
        <v>1</v>
      </c>
      <c r="AV224" s="27">
        <f>INDEX(Coefficients!$X$15:$X$17,MATCH(Q224,Coefficients!$W$15:$W$17))</f>
        <v>1</v>
      </c>
      <c r="AW224" s="27">
        <f t="shared" si="201"/>
        <v>1</v>
      </c>
      <c r="AX224" s="27">
        <f t="shared" si="202"/>
        <v>1</v>
      </c>
      <c r="AY224" s="27">
        <f t="shared" si="203"/>
        <v>1.3</v>
      </c>
      <c r="AZ224" s="24">
        <f t="shared" si="204"/>
        <v>59.870909248816197</v>
      </c>
      <c r="BA224" s="24">
        <f t="shared" si="205"/>
        <v>0</v>
      </c>
      <c r="BB224" s="24">
        <f t="shared" si="206"/>
        <v>3.1132872809384424</v>
      </c>
      <c r="BC224" s="24">
        <f t="shared" si="207"/>
        <v>1.6886712719061556</v>
      </c>
      <c r="BD224" s="24">
        <f t="shared" si="190"/>
        <v>0.33405205050223036</v>
      </c>
      <c r="BE224" s="16">
        <f t="shared" si="191"/>
        <v>216.06635446848716</v>
      </c>
      <c r="BF224" s="16">
        <f t="shared" si="192"/>
        <v>-32.132708936974325</v>
      </c>
      <c r="BG224" s="25">
        <f t="shared" si="193"/>
        <v>1</v>
      </c>
      <c r="BH224" s="24">
        <f t="shared" si="194"/>
        <v>475.34597983067181</v>
      </c>
      <c r="BI224" s="24">
        <f t="shared" si="195"/>
        <v>-550.69195966134362</v>
      </c>
      <c r="BJ224" s="24">
        <f t="shared" si="196"/>
        <v>27.719034899503029</v>
      </c>
    </row>
    <row r="225" spans="1:62" s="86" customFormat="1">
      <c r="A225" s="86" t="s">
        <v>202</v>
      </c>
      <c r="B225" s="86" t="str">
        <f>B226&amp;" "&amp;C226</f>
        <v>A1FI MIROC-Medres</v>
      </c>
      <c r="H225" s="77"/>
      <c r="AA225" s="97"/>
    </row>
    <row r="226" spans="1:62">
      <c r="B226" s="29" t="s">
        <v>91</v>
      </c>
      <c r="C226" s="29" t="str">
        <f>'Cooler&amp;Wetter'!$B$1</f>
        <v>MIROC-Medres</v>
      </c>
      <c r="D226" s="89">
        <v>2000</v>
      </c>
      <c r="E226" s="36">
        <f>'Cooler&amp;Wetter'!AA28</f>
        <v>35.508333333333333</v>
      </c>
      <c r="F226" s="31">
        <f>'Cooler&amp;Wetter'!AC28</f>
        <v>21.658333333333335</v>
      </c>
      <c r="G226" s="35">
        <f>$G$10</f>
        <v>2005</v>
      </c>
      <c r="H226" s="91" t="str">
        <f t="shared" ref="H226:H289" si="208">$H$10</f>
        <v>Pile 32 @ Berth 201</v>
      </c>
      <c r="I226" s="35" t="str">
        <f t="shared" ref="I226:I289" si="209">$I$10</f>
        <v>Turpentine Gum</v>
      </c>
      <c r="J226" s="35" t="str">
        <f t="shared" ref="J226:J289" si="210">$J$10</f>
        <v>HW1</v>
      </c>
      <c r="K226" s="35" t="str">
        <f>$K$10</f>
        <v>SPHU</v>
      </c>
      <c r="L226" s="35">
        <f t="shared" ref="L226:L289" si="211">$L$10</f>
        <v>400</v>
      </c>
      <c r="M226" s="35">
        <f t="shared" ref="M226:M289" si="212">$M$10</f>
        <v>20</v>
      </c>
      <c r="N226" s="35">
        <f t="shared" ref="N226:N289" si="213">$N$10</f>
        <v>200</v>
      </c>
      <c r="O226" s="35" t="str">
        <f t="shared" ref="O226:O289" si="214">$O$10</f>
        <v>MTN2</v>
      </c>
      <c r="P226" s="35" t="str">
        <f t="shared" ref="P226:P289" si="215">$P$10</f>
        <v>CNT2</v>
      </c>
      <c r="Q226" s="35" t="str">
        <f t="shared" ref="Q226:Q289" si="216">$Q$10</f>
        <v>KNT3</v>
      </c>
      <c r="R226" s="35" t="str">
        <f t="shared" ref="R226:R289" si="217">$R$10</f>
        <v>E</v>
      </c>
      <c r="S226" s="35" t="str">
        <f t="shared" ref="S226:S289" si="218">$S$10</f>
        <v>EXP1</v>
      </c>
      <c r="T226" s="58"/>
      <c r="U226" s="58"/>
      <c r="V226" s="58"/>
      <c r="W226" s="58"/>
      <c r="X226" s="58"/>
      <c r="Y226" s="58"/>
      <c r="Z226" s="58"/>
      <c r="AA226" s="95">
        <f t="shared" si="176"/>
        <v>0</v>
      </c>
      <c r="AB226" s="96">
        <f>BE226</f>
        <v>0</v>
      </c>
      <c r="AC226" s="58"/>
      <c r="AD226" s="58"/>
      <c r="AE226" s="58"/>
      <c r="AF226" s="58"/>
      <c r="AG226" s="58"/>
      <c r="AH226" s="58"/>
      <c r="AI226" s="58"/>
      <c r="AJ226" s="58"/>
      <c r="AK226" s="58"/>
      <c r="AL226" s="58"/>
      <c r="AM226" s="89">
        <f>MAX(0,D226-G226)</f>
        <v>0</v>
      </c>
      <c r="AN226" s="30">
        <f t="shared" ref="AN226:AN257" si="219">E226</f>
        <v>35.508333333333333</v>
      </c>
      <c r="AO226" s="29">
        <f t="shared" ref="AO226:AO257" si="220">0.1*EXP(0.13*F226)</f>
        <v>1.6702916306913893</v>
      </c>
      <c r="AP226" s="29">
        <f>IF((OR(R226="A",R226="B",R226="C")),INDEX(Coefficients!$S$4:$S$22,MATCH(J226,Coefficients!$R$4:$R$22)),INDEX(Coefficients!$T$4:$T$22,MATCH(J226,Coefficients!$R$4:$R$22)))</f>
        <v>1.3</v>
      </c>
      <c r="AQ226" s="27">
        <f>IF((OR(R226="A",R226="B",R226="C")),INDEX(Coefficients!$S$4:$S$22,MATCH(K226,Coefficients!$R$4:$R$22)),INDEX(Coefficients!$T$4:$T$22,MATCH(K226,Coefficients!$R$4:$R$22)))</f>
        <v>25</v>
      </c>
      <c r="AR226" s="27">
        <f>IF(OR(R226="A",R226="B",R226="C",R226="D"),IF(AN226&gt;=11,IF(AN226&gt;=26,Coefficients!$M$6,Coefficients!$M$5),Coefficients!$M$4),IF(AN226&gt;=11,IF(AN226&gt;=26,Coefficients!$N$6,Coefficients!$N$5),Coefficients!$N$4))</f>
        <v>1</v>
      </c>
      <c r="AS226" s="27">
        <f>INDEX(Coefficients!$X$3:$X$4,MATCH(S226,Coefficients!$W$3:$W$4))</f>
        <v>1</v>
      </c>
      <c r="AT226" s="27">
        <f>INDEX(Coefficients!$X$7:$X$8,MATCH(O226,Coefficients!$W$7:$W$8))</f>
        <v>1</v>
      </c>
      <c r="AU226" s="27">
        <f>INDEX(Coefficients!$X$11:$X$12,MATCH(P226,Coefficients!$W$11:$W$12))</f>
        <v>1</v>
      </c>
      <c r="AV226" s="27">
        <f>INDEX(Coefficients!$X$15:$X$17,MATCH(Q226,Coefficients!$W$15:$W$17))</f>
        <v>1</v>
      </c>
      <c r="AW226" s="27">
        <f>AR226*AS226</f>
        <v>1</v>
      </c>
      <c r="AX226" s="27">
        <f>AT226*AU226*AV226</f>
        <v>1</v>
      </c>
      <c r="AY226" s="27">
        <f>AP226*AR226*AS226*AT226*AU226*AV226</f>
        <v>1.3</v>
      </c>
      <c r="AZ226" s="29">
        <f>AO226*AQ226*AW226*AX226</f>
        <v>41.757290767284729</v>
      </c>
      <c r="BA226" s="29">
        <f>IF(AZ226&gt;=20,0,2-0.1*AZ226)</f>
        <v>0</v>
      </c>
      <c r="BB226" s="29">
        <f>AO226*AP226*AR226*AS226*AT226*AU226*AV226</f>
        <v>2.1713791198988064</v>
      </c>
      <c r="BC226" s="29">
        <f>IF(BB226&gt;=20,0,2-0.1*BB226)</f>
        <v>1.7828620880101194</v>
      </c>
      <c r="BD226" s="29">
        <f t="shared" ref="BD226:BD257" si="221">M226/AZ226+BA226</f>
        <v>0.47895827608790292</v>
      </c>
      <c r="BE226" s="16">
        <f t="shared" ref="BE226:BE257" si="222">IF(AM226&lt;=0,0,IF(AM226&gt;(BD226+BC226),M226+(AM226-BD226-BC226)*BB226,M226))</f>
        <v>0</v>
      </c>
      <c r="BF226" s="16">
        <f t="shared" ref="BF226:BF257" si="223">L226-2*BE226</f>
        <v>400</v>
      </c>
      <c r="BG226" s="25">
        <f t="shared" ref="BG226:BG257" si="224">IF(2*BE226&gt;(L226-N226),1,BE226/((L226-N226)/2))</f>
        <v>0</v>
      </c>
      <c r="BH226" s="29">
        <f t="shared" ref="BH226:BH257" si="225">BE226*(1+$BF$1*$BF$2)</f>
        <v>0</v>
      </c>
      <c r="BI226" s="29">
        <f t="shared" ref="BI226:BI257" si="226">L226-2*BH226</f>
        <v>400</v>
      </c>
      <c r="BJ226" s="29">
        <f t="shared" ref="BJ226:BJ257" si="227">($BF$3/2-M226)/BB226+BD226+BC226</f>
        <v>39.104764678552087</v>
      </c>
    </row>
    <row r="227" spans="1:62">
      <c r="B227" s="29" t="s">
        <v>91</v>
      </c>
      <c r="C227" s="83" t="str">
        <f>'Cooler&amp;Wetter'!$B$1</f>
        <v>MIROC-Medres</v>
      </c>
      <c r="D227" s="89">
        <v>2001</v>
      </c>
      <c r="E227" s="90">
        <f>'Cooler&amp;Wetter'!AA29</f>
        <v>35.509166666666665</v>
      </c>
      <c r="F227" s="90">
        <f>'Cooler&amp;Wetter'!AC29</f>
        <v>21.674166666666668</v>
      </c>
      <c r="G227" s="35">
        <f t="shared" ref="G227:G290" si="228">$G$10</f>
        <v>2005</v>
      </c>
      <c r="H227" s="91" t="str">
        <f t="shared" si="208"/>
        <v>Pile 32 @ Berth 201</v>
      </c>
      <c r="I227" s="35" t="str">
        <f t="shared" si="209"/>
        <v>Turpentine Gum</v>
      </c>
      <c r="J227" s="35" t="str">
        <f t="shared" si="210"/>
        <v>HW1</v>
      </c>
      <c r="K227" s="35" t="str">
        <f t="shared" ref="K227:K290" si="229">$K$10</f>
        <v>SPHU</v>
      </c>
      <c r="L227" s="35">
        <f t="shared" si="211"/>
        <v>400</v>
      </c>
      <c r="M227" s="35">
        <f t="shared" si="212"/>
        <v>20</v>
      </c>
      <c r="N227" s="35">
        <f t="shared" si="213"/>
        <v>200</v>
      </c>
      <c r="O227" s="35" t="str">
        <f t="shared" si="214"/>
        <v>MTN2</v>
      </c>
      <c r="P227" s="35" t="str">
        <f t="shared" si="215"/>
        <v>CNT2</v>
      </c>
      <c r="Q227" s="35" t="str">
        <f t="shared" si="216"/>
        <v>KNT3</v>
      </c>
      <c r="R227" s="35" t="str">
        <f t="shared" si="217"/>
        <v>E</v>
      </c>
      <c r="S227" s="35" t="str">
        <f t="shared" si="218"/>
        <v>EXP1</v>
      </c>
      <c r="T227" s="58"/>
      <c r="U227" s="58"/>
      <c r="V227" s="58"/>
      <c r="W227" s="58"/>
      <c r="X227" s="58"/>
      <c r="Y227" s="58"/>
      <c r="Z227" s="58"/>
      <c r="AA227" s="95">
        <f t="shared" si="176"/>
        <v>0</v>
      </c>
      <c r="AB227" s="96">
        <f t="shared" ref="AB227:AB290" si="230">BE227</f>
        <v>0</v>
      </c>
      <c r="AC227" s="58"/>
      <c r="AD227" s="58"/>
      <c r="AE227" s="58"/>
      <c r="AF227" s="58"/>
      <c r="AG227" s="58"/>
      <c r="AH227" s="58"/>
      <c r="AI227" s="58"/>
      <c r="AJ227" s="58"/>
      <c r="AK227" s="58"/>
      <c r="AL227" s="58"/>
      <c r="AM227" s="89">
        <f t="shared" ref="AM227:AM290" si="231">MAX(0,D227-G227)</f>
        <v>0</v>
      </c>
      <c r="AN227" s="30">
        <f t="shared" si="219"/>
        <v>35.509166666666665</v>
      </c>
      <c r="AO227" s="29">
        <f t="shared" si="220"/>
        <v>1.6737331883525741</v>
      </c>
      <c r="AP227" s="29">
        <f>IF((OR(R227="A",R227="B",R227="C")),INDEX(Coefficients!$S$4:$S$22,MATCH(J227,Coefficients!$R$4:$R$22)),INDEX(Coefficients!$T$4:$T$22,MATCH(J227,Coefficients!$R$4:$R$22)))</f>
        <v>1.3</v>
      </c>
      <c r="AQ227" s="27">
        <f>IF((OR(R227="A",R227="B",R227="C")),INDEX(Coefficients!$S$4:$S$22,MATCH(K227,Coefficients!$R$4:$R$22)),INDEX(Coefficients!$T$4:$T$22,MATCH(K227,Coefficients!$R$4:$R$22)))</f>
        <v>25</v>
      </c>
      <c r="AR227" s="27">
        <f>IF(OR(R227="A",R227="B",R227="C",R227="D"),IF(AN227&gt;=11,IF(AN227&gt;=26,Coefficients!$M$6,Coefficients!$M$5),Coefficients!$M$4),IF(AN227&gt;=11,IF(AN227&gt;=26,Coefficients!$N$6,Coefficients!$N$5),Coefficients!$N$4))</f>
        <v>1</v>
      </c>
      <c r="AS227" s="27">
        <f>INDEX(Coefficients!$X$3:$X$4,MATCH(S227,Coefficients!$W$3:$W$4))</f>
        <v>1</v>
      </c>
      <c r="AT227" s="27">
        <f>INDEX(Coefficients!$X$7:$X$8,MATCH(O227,Coefficients!$W$7:$W$8))</f>
        <v>1</v>
      </c>
      <c r="AU227" s="27">
        <f>INDEX(Coefficients!$X$11:$X$12,MATCH(P227,Coefficients!$W$11:$W$12))</f>
        <v>1</v>
      </c>
      <c r="AV227" s="27">
        <f>INDEX(Coefficients!$X$15:$X$17,MATCH(Q227,Coefficients!$W$15:$W$17))</f>
        <v>1</v>
      </c>
      <c r="AW227" s="27">
        <f t="shared" ref="AW227:AW290" si="232">AR227*AS227</f>
        <v>1</v>
      </c>
      <c r="AX227" s="27">
        <f t="shared" ref="AX227:AX290" si="233">AT227*AU227*AV227</f>
        <v>1</v>
      </c>
      <c r="AY227" s="27">
        <f t="shared" ref="AY227:AY290" si="234">AP227*AR227*AS227*AT227*AU227*AV227</f>
        <v>1.3</v>
      </c>
      <c r="AZ227" s="29">
        <f t="shared" ref="AZ227:AZ290" si="235">AO227*AQ227*AW227*AX227</f>
        <v>41.843329708814352</v>
      </c>
      <c r="BA227" s="29">
        <f t="shared" ref="BA227:BA290" si="236">IF(AZ227&gt;=20,0,2-0.1*AZ227)</f>
        <v>0</v>
      </c>
      <c r="BB227" s="29">
        <f t="shared" ref="BB227:BB290" si="237">AO227*AP227*AR227*AS227*AT227*AU227*AV227</f>
        <v>2.1758531448583462</v>
      </c>
      <c r="BC227" s="29">
        <f t="shared" ref="BC227:BC290" si="238">IF(BB227&gt;=20,0,2-0.1*BB227)</f>
        <v>1.7824146855141654</v>
      </c>
      <c r="BD227" s="29">
        <f t="shared" si="221"/>
        <v>0.47797343421709038</v>
      </c>
      <c r="BE227" s="16">
        <f t="shared" si="222"/>
        <v>0</v>
      </c>
      <c r="BF227" s="16">
        <f t="shared" si="223"/>
        <v>400</v>
      </c>
      <c r="BG227" s="25">
        <f t="shared" si="224"/>
        <v>0</v>
      </c>
      <c r="BH227" s="29">
        <f t="shared" si="225"/>
        <v>0</v>
      </c>
      <c r="BI227" s="29">
        <f t="shared" si="226"/>
        <v>400</v>
      </c>
      <c r="BJ227" s="29">
        <f t="shared" si="227"/>
        <v>39.027575367199745</v>
      </c>
    </row>
    <row r="228" spans="1:62">
      <c r="B228" s="29" t="s">
        <v>91</v>
      </c>
      <c r="C228" s="83" t="str">
        <f>'Cooler&amp;Wetter'!$B$1</f>
        <v>MIROC-Medres</v>
      </c>
      <c r="D228" s="89">
        <v>2002</v>
      </c>
      <c r="E228" s="90">
        <f>'Cooler&amp;Wetter'!AA30</f>
        <v>35.51</v>
      </c>
      <c r="F228" s="90">
        <f>'Cooler&amp;Wetter'!AC30</f>
        <v>21.69</v>
      </c>
      <c r="G228" s="35">
        <f t="shared" si="228"/>
        <v>2005</v>
      </c>
      <c r="H228" s="91" t="str">
        <f t="shared" si="208"/>
        <v>Pile 32 @ Berth 201</v>
      </c>
      <c r="I228" s="35" t="str">
        <f t="shared" si="209"/>
        <v>Turpentine Gum</v>
      </c>
      <c r="J228" s="35" t="str">
        <f t="shared" si="210"/>
        <v>HW1</v>
      </c>
      <c r="K228" s="35" t="str">
        <f t="shared" si="229"/>
        <v>SPHU</v>
      </c>
      <c r="L228" s="35">
        <f t="shared" si="211"/>
        <v>400</v>
      </c>
      <c r="M228" s="35">
        <f t="shared" si="212"/>
        <v>20</v>
      </c>
      <c r="N228" s="35">
        <f t="shared" si="213"/>
        <v>200</v>
      </c>
      <c r="O228" s="35" t="str">
        <f t="shared" si="214"/>
        <v>MTN2</v>
      </c>
      <c r="P228" s="35" t="str">
        <f t="shared" si="215"/>
        <v>CNT2</v>
      </c>
      <c r="Q228" s="35" t="str">
        <f t="shared" si="216"/>
        <v>KNT3</v>
      </c>
      <c r="R228" s="35" t="str">
        <f t="shared" si="217"/>
        <v>E</v>
      </c>
      <c r="S228" s="35" t="str">
        <f t="shared" si="218"/>
        <v>EXP1</v>
      </c>
      <c r="T228" s="58"/>
      <c r="U228" s="58"/>
      <c r="V228" s="58"/>
      <c r="W228" s="58"/>
      <c r="X228" s="58"/>
      <c r="Y228" s="58"/>
      <c r="Z228" s="58"/>
      <c r="AA228" s="95">
        <f t="shared" si="176"/>
        <v>0</v>
      </c>
      <c r="AB228" s="96">
        <f t="shared" si="230"/>
        <v>0</v>
      </c>
      <c r="AC228" s="58"/>
      <c r="AD228" s="58"/>
      <c r="AE228" s="58"/>
      <c r="AF228" s="58"/>
      <c r="AG228" s="58"/>
      <c r="AH228" s="58"/>
      <c r="AI228" s="58"/>
      <c r="AJ228" s="58"/>
      <c r="AK228" s="58"/>
      <c r="AL228" s="58"/>
      <c r="AM228" s="89">
        <f t="shared" si="231"/>
        <v>0</v>
      </c>
      <c r="AN228" s="30">
        <f t="shared" si="219"/>
        <v>35.51</v>
      </c>
      <c r="AO228" s="29">
        <f t="shared" si="220"/>
        <v>1.6771818371821023</v>
      </c>
      <c r="AP228" s="29">
        <f>IF((OR(R228="A",R228="B",R228="C")),INDEX(Coefficients!$S$4:$S$22,MATCH(J228,Coefficients!$R$4:$R$22)),INDEX(Coefficients!$T$4:$T$22,MATCH(J228,Coefficients!$R$4:$R$22)))</f>
        <v>1.3</v>
      </c>
      <c r="AQ228" s="27">
        <f>IF((OR(R228="A",R228="B",R228="C")),INDEX(Coefficients!$S$4:$S$22,MATCH(K228,Coefficients!$R$4:$R$22)),INDEX(Coefficients!$T$4:$T$22,MATCH(K228,Coefficients!$R$4:$R$22)))</f>
        <v>25</v>
      </c>
      <c r="AR228" s="27">
        <f>IF(OR(R228="A",R228="B",R228="C",R228="D"),IF(AN228&gt;=11,IF(AN228&gt;=26,Coefficients!$M$6,Coefficients!$M$5),Coefficients!$M$4),IF(AN228&gt;=11,IF(AN228&gt;=26,Coefficients!$N$6,Coefficients!$N$5),Coefficients!$N$4))</f>
        <v>1</v>
      </c>
      <c r="AS228" s="27">
        <f>INDEX(Coefficients!$X$3:$X$4,MATCH(S228,Coefficients!$W$3:$W$4))</f>
        <v>1</v>
      </c>
      <c r="AT228" s="27">
        <f>INDEX(Coefficients!$X$7:$X$8,MATCH(O228,Coefficients!$W$7:$W$8))</f>
        <v>1</v>
      </c>
      <c r="AU228" s="27">
        <f>INDEX(Coefficients!$X$11:$X$12,MATCH(P228,Coefficients!$W$11:$W$12))</f>
        <v>1</v>
      </c>
      <c r="AV228" s="27">
        <f>INDEX(Coefficients!$X$15:$X$17,MATCH(Q228,Coefficients!$W$15:$W$17))</f>
        <v>1</v>
      </c>
      <c r="AW228" s="27">
        <f t="shared" si="232"/>
        <v>1</v>
      </c>
      <c r="AX228" s="27">
        <f t="shared" si="233"/>
        <v>1</v>
      </c>
      <c r="AY228" s="27">
        <f t="shared" si="234"/>
        <v>1.3</v>
      </c>
      <c r="AZ228" s="29">
        <f t="shared" si="235"/>
        <v>41.92954592955256</v>
      </c>
      <c r="BA228" s="29">
        <f t="shared" si="236"/>
        <v>0</v>
      </c>
      <c r="BB228" s="29">
        <f t="shared" si="237"/>
        <v>2.180336388336733</v>
      </c>
      <c r="BC228" s="29">
        <f t="shared" si="238"/>
        <v>1.7819663611663268</v>
      </c>
      <c r="BD228" s="29">
        <f t="shared" si="221"/>
        <v>0.47699061739430154</v>
      </c>
      <c r="BE228" s="16">
        <f t="shared" si="222"/>
        <v>0</v>
      </c>
      <c r="BF228" s="16">
        <f t="shared" si="223"/>
        <v>400</v>
      </c>
      <c r="BG228" s="25">
        <f t="shared" si="224"/>
        <v>0</v>
      </c>
      <c r="BH228" s="29">
        <f t="shared" si="225"/>
        <v>0</v>
      </c>
      <c r="BI228" s="29">
        <f t="shared" si="226"/>
        <v>400</v>
      </c>
      <c r="BJ228" s="29">
        <f t="shared" si="227"/>
        <v>38.950542931968442</v>
      </c>
    </row>
    <row r="229" spans="1:62">
      <c r="B229" s="29" t="s">
        <v>91</v>
      </c>
      <c r="C229" s="83" t="str">
        <f>'Cooler&amp;Wetter'!$B$1</f>
        <v>MIROC-Medres</v>
      </c>
      <c r="D229" s="89">
        <v>2003</v>
      </c>
      <c r="E229" s="90">
        <f>'Cooler&amp;Wetter'!AA31</f>
        <v>35.510833333333331</v>
      </c>
      <c r="F229" s="90">
        <f>'Cooler&amp;Wetter'!AC31</f>
        <v>21.705833333333334</v>
      </c>
      <c r="G229" s="35">
        <f t="shared" si="228"/>
        <v>2005</v>
      </c>
      <c r="H229" s="91" t="str">
        <f t="shared" si="208"/>
        <v>Pile 32 @ Berth 201</v>
      </c>
      <c r="I229" s="35" t="str">
        <f t="shared" si="209"/>
        <v>Turpentine Gum</v>
      </c>
      <c r="J229" s="35" t="str">
        <f t="shared" si="210"/>
        <v>HW1</v>
      </c>
      <c r="K229" s="35" t="str">
        <f t="shared" si="229"/>
        <v>SPHU</v>
      </c>
      <c r="L229" s="35">
        <f t="shared" si="211"/>
        <v>400</v>
      </c>
      <c r="M229" s="35">
        <f t="shared" si="212"/>
        <v>20</v>
      </c>
      <c r="N229" s="35">
        <f t="shared" si="213"/>
        <v>200</v>
      </c>
      <c r="O229" s="35" t="str">
        <f t="shared" si="214"/>
        <v>MTN2</v>
      </c>
      <c r="P229" s="35" t="str">
        <f t="shared" si="215"/>
        <v>CNT2</v>
      </c>
      <c r="Q229" s="35" t="str">
        <f t="shared" si="216"/>
        <v>KNT3</v>
      </c>
      <c r="R229" s="35" t="str">
        <f t="shared" si="217"/>
        <v>E</v>
      </c>
      <c r="S229" s="35" t="str">
        <f t="shared" si="218"/>
        <v>EXP1</v>
      </c>
      <c r="T229" s="58"/>
      <c r="U229" s="58"/>
      <c r="V229" s="58"/>
      <c r="W229" s="58"/>
      <c r="X229" s="58"/>
      <c r="Y229" s="58"/>
      <c r="Z229" s="58"/>
      <c r="AA229" s="95">
        <f t="shared" si="176"/>
        <v>0</v>
      </c>
      <c r="AB229" s="96">
        <f t="shared" si="230"/>
        <v>0</v>
      </c>
      <c r="AC229" s="58"/>
      <c r="AD229" s="58"/>
      <c r="AE229" s="58"/>
      <c r="AF229" s="58"/>
      <c r="AG229" s="58"/>
      <c r="AH229" s="58"/>
      <c r="AI229" s="58"/>
      <c r="AJ229" s="58"/>
      <c r="AK229" s="58"/>
      <c r="AL229" s="58"/>
      <c r="AM229" s="89">
        <f t="shared" si="231"/>
        <v>0</v>
      </c>
      <c r="AN229" s="30">
        <f t="shared" si="219"/>
        <v>35.510833333333331</v>
      </c>
      <c r="AO229" s="29">
        <f t="shared" si="220"/>
        <v>1.6806375917909939</v>
      </c>
      <c r="AP229" s="29">
        <f>IF((OR(R229="A",R229="B",R229="C")),INDEX(Coefficients!$S$4:$S$22,MATCH(J229,Coefficients!$R$4:$R$22)),INDEX(Coefficients!$T$4:$T$22,MATCH(J229,Coefficients!$R$4:$R$22)))</f>
        <v>1.3</v>
      </c>
      <c r="AQ229" s="27">
        <f>IF((OR(R229="A",R229="B",R229="C")),INDEX(Coefficients!$S$4:$S$22,MATCH(K229,Coefficients!$R$4:$R$22)),INDEX(Coefficients!$T$4:$T$22,MATCH(K229,Coefficients!$R$4:$R$22)))</f>
        <v>25</v>
      </c>
      <c r="AR229" s="27">
        <f>IF(OR(R229="A",R229="B",R229="C",R229="D"),IF(AN229&gt;=11,IF(AN229&gt;=26,Coefficients!$M$6,Coefficients!$M$5),Coefficients!$M$4),IF(AN229&gt;=11,IF(AN229&gt;=26,Coefficients!$N$6,Coefficients!$N$5),Coefficients!$N$4))</f>
        <v>1</v>
      </c>
      <c r="AS229" s="27">
        <f>INDEX(Coefficients!$X$3:$X$4,MATCH(S229,Coefficients!$W$3:$W$4))</f>
        <v>1</v>
      </c>
      <c r="AT229" s="27">
        <f>INDEX(Coefficients!$X$7:$X$8,MATCH(O229,Coefficients!$W$7:$W$8))</f>
        <v>1</v>
      </c>
      <c r="AU229" s="27">
        <f>INDEX(Coefficients!$X$11:$X$12,MATCH(P229,Coefficients!$W$11:$W$12))</f>
        <v>1</v>
      </c>
      <c r="AV229" s="27">
        <f>INDEX(Coefficients!$X$15:$X$17,MATCH(Q229,Coefficients!$W$15:$W$17))</f>
        <v>1</v>
      </c>
      <c r="AW229" s="27">
        <f t="shared" si="232"/>
        <v>1</v>
      </c>
      <c r="AX229" s="27">
        <f t="shared" si="233"/>
        <v>1</v>
      </c>
      <c r="AY229" s="27">
        <f t="shared" si="234"/>
        <v>1.3</v>
      </c>
      <c r="AZ229" s="29">
        <f t="shared" si="235"/>
        <v>42.015939794774852</v>
      </c>
      <c r="BA229" s="29">
        <f t="shared" si="236"/>
        <v>0</v>
      </c>
      <c r="BB229" s="29">
        <f t="shared" si="237"/>
        <v>2.184828869328292</v>
      </c>
      <c r="BC229" s="29">
        <f t="shared" si="238"/>
        <v>1.7815171130671708</v>
      </c>
      <c r="BD229" s="29">
        <f t="shared" si="221"/>
        <v>0.47600982145559961</v>
      </c>
      <c r="BE229" s="16">
        <f t="shared" si="222"/>
        <v>0</v>
      </c>
      <c r="BF229" s="16">
        <f t="shared" si="223"/>
        <v>400</v>
      </c>
      <c r="BG229" s="25">
        <f t="shared" si="224"/>
        <v>0</v>
      </c>
      <c r="BH229" s="29">
        <f t="shared" si="225"/>
        <v>0</v>
      </c>
      <c r="BI229" s="29">
        <f t="shared" si="226"/>
        <v>400</v>
      </c>
      <c r="BJ229" s="29">
        <f t="shared" si="227"/>
        <v>38.873667046491974</v>
      </c>
    </row>
    <row r="230" spans="1:62">
      <c r="B230" s="29" t="s">
        <v>91</v>
      </c>
      <c r="C230" s="83" t="str">
        <f>'Cooler&amp;Wetter'!$B$1</f>
        <v>MIROC-Medres</v>
      </c>
      <c r="D230" s="89">
        <v>2004</v>
      </c>
      <c r="E230" s="90">
        <f>'Cooler&amp;Wetter'!AA32</f>
        <v>35.511666666666663</v>
      </c>
      <c r="F230" s="90">
        <f>'Cooler&amp;Wetter'!AC32</f>
        <v>21.721666666666668</v>
      </c>
      <c r="G230" s="35">
        <f t="shared" si="228"/>
        <v>2005</v>
      </c>
      <c r="H230" s="91" t="str">
        <f t="shared" si="208"/>
        <v>Pile 32 @ Berth 201</v>
      </c>
      <c r="I230" s="35" t="str">
        <f t="shared" si="209"/>
        <v>Turpentine Gum</v>
      </c>
      <c r="J230" s="35" t="str">
        <f t="shared" si="210"/>
        <v>HW1</v>
      </c>
      <c r="K230" s="35" t="str">
        <f t="shared" si="229"/>
        <v>SPHU</v>
      </c>
      <c r="L230" s="35">
        <f t="shared" si="211"/>
        <v>400</v>
      </c>
      <c r="M230" s="35">
        <f t="shared" si="212"/>
        <v>20</v>
      </c>
      <c r="N230" s="35">
        <f t="shared" si="213"/>
        <v>200</v>
      </c>
      <c r="O230" s="35" t="str">
        <f t="shared" si="214"/>
        <v>MTN2</v>
      </c>
      <c r="P230" s="35" t="str">
        <f t="shared" si="215"/>
        <v>CNT2</v>
      </c>
      <c r="Q230" s="35" t="str">
        <f t="shared" si="216"/>
        <v>KNT3</v>
      </c>
      <c r="R230" s="35" t="str">
        <f t="shared" si="217"/>
        <v>E</v>
      </c>
      <c r="S230" s="35" t="str">
        <f t="shared" si="218"/>
        <v>EXP1</v>
      </c>
      <c r="T230" s="58"/>
      <c r="U230" s="58"/>
      <c r="V230" s="58"/>
      <c r="W230" s="58"/>
      <c r="X230" s="58"/>
      <c r="Y230" s="58"/>
      <c r="Z230" s="58"/>
      <c r="AA230" s="95">
        <f t="shared" si="176"/>
        <v>0</v>
      </c>
      <c r="AB230" s="96">
        <f t="shared" si="230"/>
        <v>0</v>
      </c>
      <c r="AC230" s="58"/>
      <c r="AD230" s="58"/>
      <c r="AE230" s="58"/>
      <c r="AF230" s="58"/>
      <c r="AG230" s="58"/>
      <c r="AH230" s="58"/>
      <c r="AI230" s="58"/>
      <c r="AJ230" s="58"/>
      <c r="AK230" s="58"/>
      <c r="AL230" s="58"/>
      <c r="AM230" s="89">
        <f t="shared" si="231"/>
        <v>0</v>
      </c>
      <c r="AN230" s="30">
        <f t="shared" si="219"/>
        <v>35.511666666666663</v>
      </c>
      <c r="AO230" s="29">
        <f t="shared" si="220"/>
        <v>1.684100466820375</v>
      </c>
      <c r="AP230" s="29">
        <f>IF((OR(R230="A",R230="B",R230="C")),INDEX(Coefficients!$S$4:$S$22,MATCH(J230,Coefficients!$R$4:$R$22)),INDEX(Coefficients!$T$4:$T$22,MATCH(J230,Coefficients!$R$4:$R$22)))</f>
        <v>1.3</v>
      </c>
      <c r="AQ230" s="27">
        <f>IF((OR(R230="A",R230="B",R230="C")),INDEX(Coefficients!$S$4:$S$22,MATCH(K230,Coefficients!$R$4:$R$22)),INDEX(Coefficients!$T$4:$T$22,MATCH(K230,Coefficients!$R$4:$R$22)))</f>
        <v>25</v>
      </c>
      <c r="AR230" s="27">
        <f>IF(OR(R230="A",R230="B",R230="C",R230="D"),IF(AN230&gt;=11,IF(AN230&gt;=26,Coefficients!$M$6,Coefficients!$M$5),Coefficients!$M$4),IF(AN230&gt;=11,IF(AN230&gt;=26,Coefficients!$N$6,Coefficients!$N$5),Coefficients!$N$4))</f>
        <v>1</v>
      </c>
      <c r="AS230" s="27">
        <f>INDEX(Coefficients!$X$3:$X$4,MATCH(S230,Coefficients!$W$3:$W$4))</f>
        <v>1</v>
      </c>
      <c r="AT230" s="27">
        <f>INDEX(Coefficients!$X$7:$X$8,MATCH(O230,Coefficients!$W$7:$W$8))</f>
        <v>1</v>
      </c>
      <c r="AU230" s="27">
        <f>INDEX(Coefficients!$X$11:$X$12,MATCH(P230,Coefficients!$W$11:$W$12))</f>
        <v>1</v>
      </c>
      <c r="AV230" s="27">
        <f>INDEX(Coefficients!$X$15:$X$17,MATCH(Q230,Coefficients!$W$15:$W$17))</f>
        <v>1</v>
      </c>
      <c r="AW230" s="27">
        <f t="shared" si="232"/>
        <v>1</v>
      </c>
      <c r="AX230" s="27">
        <f t="shared" si="233"/>
        <v>1</v>
      </c>
      <c r="AY230" s="27">
        <f t="shared" si="234"/>
        <v>1.3</v>
      </c>
      <c r="AZ230" s="29">
        <f t="shared" si="235"/>
        <v>42.102511670509372</v>
      </c>
      <c r="BA230" s="29">
        <f t="shared" si="236"/>
        <v>0</v>
      </c>
      <c r="BB230" s="29">
        <f t="shared" si="237"/>
        <v>2.1893306068664877</v>
      </c>
      <c r="BC230" s="29">
        <f t="shared" si="238"/>
        <v>1.7810669393133511</v>
      </c>
      <c r="BD230" s="29">
        <f t="shared" si="221"/>
        <v>0.47503104224560938</v>
      </c>
      <c r="BE230" s="16">
        <f t="shared" si="222"/>
        <v>0</v>
      </c>
      <c r="BF230" s="16">
        <f t="shared" si="223"/>
        <v>400</v>
      </c>
      <c r="BG230" s="25">
        <f t="shared" si="224"/>
        <v>0</v>
      </c>
      <c r="BH230" s="29">
        <f t="shared" si="225"/>
        <v>0</v>
      </c>
      <c r="BI230" s="29">
        <f t="shared" si="226"/>
        <v>400</v>
      </c>
      <c r="BJ230" s="29">
        <f t="shared" si="227"/>
        <v>38.796947385067369</v>
      </c>
    </row>
    <row r="231" spans="1:62">
      <c r="B231" s="29" t="s">
        <v>91</v>
      </c>
      <c r="C231" s="83" t="str">
        <f>'Cooler&amp;Wetter'!$B$1</f>
        <v>MIROC-Medres</v>
      </c>
      <c r="D231" s="89">
        <v>2005</v>
      </c>
      <c r="E231" s="90">
        <f>'Cooler&amp;Wetter'!AA33</f>
        <v>35.512500000000003</v>
      </c>
      <c r="F231" s="90">
        <f>'Cooler&amp;Wetter'!AC33</f>
        <v>21.737500000000001</v>
      </c>
      <c r="G231" s="35">
        <f t="shared" si="228"/>
        <v>2005</v>
      </c>
      <c r="H231" s="91" t="str">
        <f t="shared" si="208"/>
        <v>Pile 32 @ Berth 201</v>
      </c>
      <c r="I231" s="35" t="str">
        <f t="shared" si="209"/>
        <v>Turpentine Gum</v>
      </c>
      <c r="J231" s="35" t="str">
        <f t="shared" si="210"/>
        <v>HW1</v>
      </c>
      <c r="K231" s="35" t="str">
        <f t="shared" si="229"/>
        <v>SPHU</v>
      </c>
      <c r="L231" s="35">
        <f t="shared" si="211"/>
        <v>400</v>
      </c>
      <c r="M231" s="35">
        <f t="shared" si="212"/>
        <v>20</v>
      </c>
      <c r="N231" s="35">
        <f t="shared" si="213"/>
        <v>200</v>
      </c>
      <c r="O231" s="35" t="str">
        <f t="shared" si="214"/>
        <v>MTN2</v>
      </c>
      <c r="P231" s="35" t="str">
        <f t="shared" si="215"/>
        <v>CNT2</v>
      </c>
      <c r="Q231" s="35" t="str">
        <f t="shared" si="216"/>
        <v>KNT3</v>
      </c>
      <c r="R231" s="35" t="str">
        <f t="shared" si="217"/>
        <v>E</v>
      </c>
      <c r="S231" s="35" t="str">
        <f t="shared" si="218"/>
        <v>EXP1</v>
      </c>
      <c r="T231" s="58"/>
      <c r="U231" s="58"/>
      <c r="V231" s="58"/>
      <c r="W231" s="58"/>
      <c r="X231" s="58"/>
      <c r="Y231" s="58"/>
      <c r="Z231" s="58"/>
      <c r="AA231" s="95">
        <f t="shared" si="176"/>
        <v>0</v>
      </c>
      <c r="AB231" s="96">
        <f t="shared" si="230"/>
        <v>0</v>
      </c>
      <c r="AC231" s="58"/>
      <c r="AD231" s="58"/>
      <c r="AE231" s="58"/>
      <c r="AF231" s="58"/>
      <c r="AG231" s="58"/>
      <c r="AH231" s="58"/>
      <c r="AI231" s="58"/>
      <c r="AJ231" s="58"/>
      <c r="AK231" s="58"/>
      <c r="AL231" s="58"/>
      <c r="AM231" s="89">
        <f t="shared" si="231"/>
        <v>0</v>
      </c>
      <c r="AN231" s="30">
        <f t="shared" si="219"/>
        <v>35.512500000000003</v>
      </c>
      <c r="AO231" s="29">
        <f t="shared" si="220"/>
        <v>1.6875704769415365</v>
      </c>
      <c r="AP231" s="29">
        <f>IF((OR(R231="A",R231="B",R231="C")),INDEX(Coefficients!$S$4:$S$22,MATCH(J231,Coefficients!$R$4:$R$22)),INDEX(Coefficients!$T$4:$T$22,MATCH(J231,Coefficients!$R$4:$R$22)))</f>
        <v>1.3</v>
      </c>
      <c r="AQ231" s="27">
        <f>IF((OR(R231="A",R231="B",R231="C")),INDEX(Coefficients!$S$4:$S$22,MATCH(K231,Coefficients!$R$4:$R$22)),INDEX(Coefficients!$T$4:$T$22,MATCH(K231,Coefficients!$R$4:$R$22)))</f>
        <v>25</v>
      </c>
      <c r="AR231" s="27">
        <f>IF(OR(R231="A",R231="B",R231="C",R231="D"),IF(AN231&gt;=11,IF(AN231&gt;=26,Coefficients!$M$6,Coefficients!$M$5),Coefficients!$M$4),IF(AN231&gt;=11,IF(AN231&gt;=26,Coefficients!$N$6,Coefficients!$N$5),Coefficients!$N$4))</f>
        <v>1</v>
      </c>
      <c r="AS231" s="27">
        <f>INDEX(Coefficients!$X$3:$X$4,MATCH(S231,Coefficients!$W$3:$W$4))</f>
        <v>1</v>
      </c>
      <c r="AT231" s="27">
        <f>INDEX(Coefficients!$X$7:$X$8,MATCH(O231,Coefficients!$W$7:$W$8))</f>
        <v>1</v>
      </c>
      <c r="AU231" s="27">
        <f>INDEX(Coefficients!$X$11:$X$12,MATCH(P231,Coefficients!$W$11:$W$12))</f>
        <v>1</v>
      </c>
      <c r="AV231" s="27">
        <f>INDEX(Coefficients!$X$15:$X$17,MATCH(Q231,Coefficients!$W$15:$W$17))</f>
        <v>1</v>
      </c>
      <c r="AW231" s="27">
        <f t="shared" si="232"/>
        <v>1</v>
      </c>
      <c r="AX231" s="27">
        <f t="shared" si="233"/>
        <v>1</v>
      </c>
      <c r="AY231" s="27">
        <f t="shared" si="234"/>
        <v>1.3</v>
      </c>
      <c r="AZ231" s="29">
        <f t="shared" si="235"/>
        <v>42.18926192353841</v>
      </c>
      <c r="BA231" s="29">
        <f t="shared" si="236"/>
        <v>0</v>
      </c>
      <c r="BB231" s="29">
        <f t="shared" si="237"/>
        <v>2.1938416200239974</v>
      </c>
      <c r="BC231" s="29">
        <f t="shared" si="238"/>
        <v>1.7806158379976003</v>
      </c>
      <c r="BD231" s="29">
        <f t="shared" si="221"/>
        <v>0.47405427561750058</v>
      </c>
      <c r="BE231" s="16">
        <f t="shared" si="222"/>
        <v>0</v>
      </c>
      <c r="BF231" s="16">
        <f t="shared" si="223"/>
        <v>400</v>
      </c>
      <c r="BG231" s="25">
        <f t="shared" si="224"/>
        <v>0</v>
      </c>
      <c r="BH231" s="29">
        <f t="shared" si="225"/>
        <v>0</v>
      </c>
      <c r="BI231" s="29">
        <f t="shared" si="226"/>
        <v>400</v>
      </c>
      <c r="BJ231" s="29">
        <f t="shared" si="227"/>
        <v>38.7203836226536</v>
      </c>
    </row>
    <row r="232" spans="1:62">
      <c r="B232" s="29" t="s">
        <v>91</v>
      </c>
      <c r="C232" s="83" t="str">
        <f>'Cooler&amp;Wetter'!$B$1</f>
        <v>MIROC-Medres</v>
      </c>
      <c r="D232" s="89">
        <v>2006</v>
      </c>
      <c r="E232" s="90">
        <f>'Cooler&amp;Wetter'!AA34</f>
        <v>35.513333333333335</v>
      </c>
      <c r="F232" s="90">
        <f>'Cooler&amp;Wetter'!AC34</f>
        <v>21.753333333333334</v>
      </c>
      <c r="G232" s="35">
        <f t="shared" si="228"/>
        <v>2005</v>
      </c>
      <c r="H232" s="91" t="str">
        <f t="shared" si="208"/>
        <v>Pile 32 @ Berth 201</v>
      </c>
      <c r="I232" s="35" t="str">
        <f t="shared" si="209"/>
        <v>Turpentine Gum</v>
      </c>
      <c r="J232" s="35" t="str">
        <f t="shared" si="210"/>
        <v>HW1</v>
      </c>
      <c r="K232" s="35" t="str">
        <f t="shared" si="229"/>
        <v>SPHU</v>
      </c>
      <c r="L232" s="35">
        <f t="shared" si="211"/>
        <v>400</v>
      </c>
      <c r="M232" s="35">
        <f t="shared" si="212"/>
        <v>20</v>
      </c>
      <c r="N232" s="35">
        <f t="shared" si="213"/>
        <v>200</v>
      </c>
      <c r="O232" s="35" t="str">
        <f t="shared" si="214"/>
        <v>MTN2</v>
      </c>
      <c r="P232" s="35" t="str">
        <f t="shared" si="215"/>
        <v>CNT2</v>
      </c>
      <c r="Q232" s="35" t="str">
        <f t="shared" si="216"/>
        <v>KNT3</v>
      </c>
      <c r="R232" s="35" t="str">
        <f t="shared" si="217"/>
        <v>E</v>
      </c>
      <c r="S232" s="35" t="str">
        <f t="shared" si="218"/>
        <v>EXP1</v>
      </c>
      <c r="T232" s="58"/>
      <c r="U232" s="58"/>
      <c r="V232" s="58"/>
      <c r="W232" s="58"/>
      <c r="X232" s="58"/>
      <c r="Y232" s="58"/>
      <c r="Z232" s="58"/>
      <c r="AA232" s="95">
        <f t="shared" si="176"/>
        <v>0.2</v>
      </c>
      <c r="AB232" s="96">
        <f t="shared" si="230"/>
        <v>20</v>
      </c>
      <c r="AC232" s="58"/>
      <c r="AD232" s="58"/>
      <c r="AE232" s="58"/>
      <c r="AF232" s="58"/>
      <c r="AG232" s="58"/>
      <c r="AH232" s="58"/>
      <c r="AI232" s="58"/>
      <c r="AJ232" s="58"/>
      <c r="AK232" s="58"/>
      <c r="AL232" s="58"/>
      <c r="AM232" s="89">
        <f t="shared" si="231"/>
        <v>1</v>
      </c>
      <c r="AN232" s="30">
        <f t="shared" si="219"/>
        <v>35.513333333333335</v>
      </c>
      <c r="AO232" s="29">
        <f t="shared" si="220"/>
        <v>1.6910476368560023</v>
      </c>
      <c r="AP232" s="29">
        <f>IF((OR(R232="A",R232="B",R232="C")),INDEX(Coefficients!$S$4:$S$22,MATCH(J232,Coefficients!$R$4:$R$22)),INDEX(Coefficients!$T$4:$T$22,MATCH(J232,Coefficients!$R$4:$R$22)))</f>
        <v>1.3</v>
      </c>
      <c r="AQ232" s="27">
        <f>IF((OR(R232="A",R232="B",R232="C")),INDEX(Coefficients!$S$4:$S$22,MATCH(K232,Coefficients!$R$4:$R$22)),INDEX(Coefficients!$T$4:$T$22,MATCH(K232,Coefficients!$R$4:$R$22)))</f>
        <v>25</v>
      </c>
      <c r="AR232" s="27">
        <f>IF(OR(R232="A",R232="B",R232="C",R232="D"),IF(AN232&gt;=11,IF(AN232&gt;=26,Coefficients!$M$6,Coefficients!$M$5),Coefficients!$M$4),IF(AN232&gt;=11,IF(AN232&gt;=26,Coefficients!$N$6,Coefficients!$N$5),Coefficients!$N$4))</f>
        <v>1</v>
      </c>
      <c r="AS232" s="27">
        <f>INDEX(Coefficients!$X$3:$X$4,MATCH(S232,Coefficients!$W$3:$W$4))</f>
        <v>1</v>
      </c>
      <c r="AT232" s="27">
        <f>INDEX(Coefficients!$X$7:$X$8,MATCH(O232,Coefficients!$W$7:$W$8))</f>
        <v>1</v>
      </c>
      <c r="AU232" s="27">
        <f>INDEX(Coefficients!$X$11:$X$12,MATCH(P232,Coefficients!$W$11:$W$12))</f>
        <v>1</v>
      </c>
      <c r="AV232" s="27">
        <f>INDEX(Coefficients!$X$15:$X$17,MATCH(Q232,Coefficients!$W$15:$W$17))</f>
        <v>1</v>
      </c>
      <c r="AW232" s="27">
        <f t="shared" si="232"/>
        <v>1</v>
      </c>
      <c r="AX232" s="27">
        <f t="shared" si="233"/>
        <v>1</v>
      </c>
      <c r="AY232" s="27">
        <f t="shared" si="234"/>
        <v>1.3</v>
      </c>
      <c r="AZ232" s="29">
        <f t="shared" si="235"/>
        <v>42.276190921400058</v>
      </c>
      <c r="BA232" s="29">
        <f t="shared" si="236"/>
        <v>0</v>
      </c>
      <c r="BB232" s="29">
        <f t="shared" si="237"/>
        <v>2.1983619279128033</v>
      </c>
      <c r="BC232" s="29">
        <f t="shared" si="238"/>
        <v>1.7801638072087196</v>
      </c>
      <c r="BD232" s="29">
        <f t="shared" si="221"/>
        <v>0.47307951743296889</v>
      </c>
      <c r="BE232" s="16">
        <f t="shared" si="222"/>
        <v>20</v>
      </c>
      <c r="BF232" s="16">
        <f t="shared" si="223"/>
        <v>360</v>
      </c>
      <c r="BG232" s="25">
        <f t="shared" si="224"/>
        <v>0.2</v>
      </c>
      <c r="BH232" s="29">
        <f t="shared" si="225"/>
        <v>44</v>
      </c>
      <c r="BI232" s="29">
        <f t="shared" si="226"/>
        <v>312</v>
      </c>
      <c r="BJ232" s="29">
        <f t="shared" si="227"/>
        <v>38.643975434870065</v>
      </c>
    </row>
    <row r="233" spans="1:62">
      <c r="B233" s="29" t="s">
        <v>91</v>
      </c>
      <c r="C233" s="83" t="str">
        <f>'Cooler&amp;Wetter'!$B$1</f>
        <v>MIROC-Medres</v>
      </c>
      <c r="D233" s="89">
        <v>2007</v>
      </c>
      <c r="E233" s="90">
        <f>'Cooler&amp;Wetter'!AA35</f>
        <v>35.514166666666668</v>
      </c>
      <c r="F233" s="90">
        <f>'Cooler&amp;Wetter'!AC35</f>
        <v>21.769166666666667</v>
      </c>
      <c r="G233" s="35">
        <f t="shared" si="228"/>
        <v>2005</v>
      </c>
      <c r="H233" s="91" t="str">
        <f t="shared" si="208"/>
        <v>Pile 32 @ Berth 201</v>
      </c>
      <c r="I233" s="35" t="str">
        <f t="shared" si="209"/>
        <v>Turpentine Gum</v>
      </c>
      <c r="J233" s="35" t="str">
        <f t="shared" si="210"/>
        <v>HW1</v>
      </c>
      <c r="K233" s="35" t="str">
        <f t="shared" si="229"/>
        <v>SPHU</v>
      </c>
      <c r="L233" s="35">
        <f t="shared" si="211"/>
        <v>400</v>
      </c>
      <c r="M233" s="35">
        <f t="shared" si="212"/>
        <v>20</v>
      </c>
      <c r="N233" s="35">
        <f t="shared" si="213"/>
        <v>200</v>
      </c>
      <c r="O233" s="35" t="str">
        <f t="shared" si="214"/>
        <v>MTN2</v>
      </c>
      <c r="P233" s="35" t="str">
        <f t="shared" si="215"/>
        <v>CNT2</v>
      </c>
      <c r="Q233" s="35" t="str">
        <f t="shared" si="216"/>
        <v>KNT3</v>
      </c>
      <c r="R233" s="35" t="str">
        <f t="shared" si="217"/>
        <v>E</v>
      </c>
      <c r="S233" s="35" t="str">
        <f t="shared" si="218"/>
        <v>EXP1</v>
      </c>
      <c r="T233" s="58"/>
      <c r="U233" s="58"/>
      <c r="V233" s="58"/>
      <c r="W233" s="58"/>
      <c r="X233" s="58"/>
      <c r="Y233" s="58"/>
      <c r="Z233" s="58"/>
      <c r="AA233" s="95">
        <f t="shared" si="176"/>
        <v>0.2</v>
      </c>
      <c r="AB233" s="96">
        <f t="shared" si="230"/>
        <v>20</v>
      </c>
      <c r="AC233" s="58"/>
      <c r="AD233" s="58"/>
      <c r="AE233" s="58"/>
      <c r="AF233" s="58"/>
      <c r="AG233" s="58"/>
      <c r="AH233" s="58"/>
      <c r="AI233" s="58"/>
      <c r="AJ233" s="58"/>
      <c r="AK233" s="58"/>
      <c r="AL233" s="58"/>
      <c r="AM233" s="89">
        <f t="shared" si="231"/>
        <v>2</v>
      </c>
      <c r="AN233" s="30">
        <f t="shared" si="219"/>
        <v>35.514166666666668</v>
      </c>
      <c r="AO233" s="29">
        <f t="shared" si="220"/>
        <v>1.6945319612955865</v>
      </c>
      <c r="AP233" s="29">
        <f>IF((OR(R233="A",R233="B",R233="C")),INDEX(Coefficients!$S$4:$S$22,MATCH(J233,Coefficients!$R$4:$R$22)),INDEX(Coefficients!$T$4:$T$22,MATCH(J233,Coefficients!$R$4:$R$22)))</f>
        <v>1.3</v>
      </c>
      <c r="AQ233" s="27">
        <f>IF((OR(R233="A",R233="B",R233="C")),INDEX(Coefficients!$S$4:$S$22,MATCH(K233,Coefficients!$R$4:$R$22)),INDEX(Coefficients!$T$4:$T$22,MATCH(K233,Coefficients!$R$4:$R$22)))</f>
        <v>25</v>
      </c>
      <c r="AR233" s="27">
        <f>IF(OR(R233="A",R233="B",R233="C",R233="D"),IF(AN233&gt;=11,IF(AN233&gt;=26,Coefficients!$M$6,Coefficients!$M$5),Coefficients!$M$4),IF(AN233&gt;=11,IF(AN233&gt;=26,Coefficients!$N$6,Coefficients!$N$5),Coefficients!$N$4))</f>
        <v>1</v>
      </c>
      <c r="AS233" s="27">
        <f>INDEX(Coefficients!$X$3:$X$4,MATCH(S233,Coefficients!$W$3:$W$4))</f>
        <v>1</v>
      </c>
      <c r="AT233" s="27">
        <f>INDEX(Coefficients!$X$7:$X$8,MATCH(O233,Coefficients!$W$7:$W$8))</f>
        <v>1</v>
      </c>
      <c r="AU233" s="27">
        <f>INDEX(Coefficients!$X$11:$X$12,MATCH(P233,Coefficients!$W$11:$W$12))</f>
        <v>1</v>
      </c>
      <c r="AV233" s="27">
        <f>INDEX(Coefficients!$X$15:$X$17,MATCH(Q233,Coefficients!$W$15:$W$17))</f>
        <v>1</v>
      </c>
      <c r="AW233" s="27">
        <f t="shared" si="232"/>
        <v>1</v>
      </c>
      <c r="AX233" s="27">
        <f t="shared" si="233"/>
        <v>1</v>
      </c>
      <c r="AY233" s="27">
        <f t="shared" si="234"/>
        <v>1.3</v>
      </c>
      <c r="AZ233" s="29">
        <f t="shared" si="235"/>
        <v>42.363299032389662</v>
      </c>
      <c r="BA233" s="29">
        <f t="shared" si="236"/>
        <v>0</v>
      </c>
      <c r="BB233" s="29">
        <f t="shared" si="237"/>
        <v>2.2028915496842627</v>
      </c>
      <c r="BC233" s="29">
        <f t="shared" si="238"/>
        <v>1.7797108450315737</v>
      </c>
      <c r="BD233" s="29">
        <f t="shared" si="221"/>
        <v>0.47210676356221976</v>
      </c>
      <c r="BE233" s="16">
        <f t="shared" si="222"/>
        <v>20</v>
      </c>
      <c r="BF233" s="16">
        <f t="shared" si="223"/>
        <v>360</v>
      </c>
      <c r="BG233" s="25">
        <f t="shared" si="224"/>
        <v>0.2</v>
      </c>
      <c r="BH233" s="29">
        <f t="shared" si="225"/>
        <v>44</v>
      </c>
      <c r="BI233" s="29">
        <f t="shared" si="226"/>
        <v>312</v>
      </c>
      <c r="BJ233" s="29">
        <f t="shared" si="227"/>
        <v>38.567722497995305</v>
      </c>
    </row>
    <row r="234" spans="1:62">
      <c r="B234" s="29" t="s">
        <v>91</v>
      </c>
      <c r="C234" s="83" t="str">
        <f>'Cooler&amp;Wetter'!$B$1</f>
        <v>MIROC-Medres</v>
      </c>
      <c r="D234" s="89">
        <v>2008</v>
      </c>
      <c r="E234" s="90">
        <f>'Cooler&amp;Wetter'!AA36</f>
        <v>35.515000000000001</v>
      </c>
      <c r="F234" s="90">
        <f>'Cooler&amp;Wetter'!AC36</f>
        <v>21.785</v>
      </c>
      <c r="G234" s="35">
        <f t="shared" si="228"/>
        <v>2005</v>
      </c>
      <c r="H234" s="91" t="str">
        <f t="shared" si="208"/>
        <v>Pile 32 @ Berth 201</v>
      </c>
      <c r="I234" s="35" t="str">
        <f t="shared" si="209"/>
        <v>Turpentine Gum</v>
      </c>
      <c r="J234" s="35" t="str">
        <f t="shared" si="210"/>
        <v>HW1</v>
      </c>
      <c r="K234" s="35" t="str">
        <f t="shared" si="229"/>
        <v>SPHU</v>
      </c>
      <c r="L234" s="35">
        <f t="shared" si="211"/>
        <v>400</v>
      </c>
      <c r="M234" s="35">
        <f t="shared" si="212"/>
        <v>20</v>
      </c>
      <c r="N234" s="35">
        <f t="shared" si="213"/>
        <v>200</v>
      </c>
      <c r="O234" s="35" t="str">
        <f t="shared" si="214"/>
        <v>MTN2</v>
      </c>
      <c r="P234" s="35" t="str">
        <f t="shared" si="215"/>
        <v>CNT2</v>
      </c>
      <c r="Q234" s="35" t="str">
        <f t="shared" si="216"/>
        <v>KNT3</v>
      </c>
      <c r="R234" s="35" t="str">
        <f t="shared" si="217"/>
        <v>E</v>
      </c>
      <c r="S234" s="35" t="str">
        <f t="shared" si="218"/>
        <v>EXP1</v>
      </c>
      <c r="T234" s="58"/>
      <c r="U234" s="58"/>
      <c r="V234" s="58"/>
      <c r="W234" s="58"/>
      <c r="X234" s="58"/>
      <c r="Y234" s="58"/>
      <c r="Z234" s="58"/>
      <c r="AA234" s="95">
        <f t="shared" si="176"/>
        <v>0.21654705447761796</v>
      </c>
      <c r="AB234" s="96">
        <f t="shared" si="230"/>
        <v>21.654705447761796</v>
      </c>
      <c r="AC234" s="58"/>
      <c r="AD234" s="58"/>
      <c r="AE234" s="58"/>
      <c r="AF234" s="58"/>
      <c r="AG234" s="58"/>
      <c r="AH234" s="58"/>
      <c r="AI234" s="58"/>
      <c r="AJ234" s="58"/>
      <c r="AK234" s="58"/>
      <c r="AL234" s="58"/>
      <c r="AM234" s="89">
        <f t="shared" si="231"/>
        <v>3</v>
      </c>
      <c r="AN234" s="30">
        <f t="shared" si="219"/>
        <v>35.515000000000001</v>
      </c>
      <c r="AO234" s="29">
        <f t="shared" si="220"/>
        <v>1.698023465022457</v>
      </c>
      <c r="AP234" s="29">
        <f>IF((OR(R234="A",R234="B",R234="C")),INDEX(Coefficients!$S$4:$S$22,MATCH(J234,Coefficients!$R$4:$R$22)),INDEX(Coefficients!$T$4:$T$22,MATCH(J234,Coefficients!$R$4:$R$22)))</f>
        <v>1.3</v>
      </c>
      <c r="AQ234" s="27">
        <f>IF((OR(R234="A",R234="B",R234="C")),INDEX(Coefficients!$S$4:$S$22,MATCH(K234,Coefficients!$R$4:$R$22)),INDEX(Coefficients!$T$4:$T$22,MATCH(K234,Coefficients!$R$4:$R$22)))</f>
        <v>25</v>
      </c>
      <c r="AR234" s="27">
        <f>IF(OR(R234="A",R234="B",R234="C",R234="D"),IF(AN234&gt;=11,IF(AN234&gt;=26,Coefficients!$M$6,Coefficients!$M$5),Coefficients!$M$4),IF(AN234&gt;=11,IF(AN234&gt;=26,Coefficients!$N$6,Coefficients!$N$5),Coefficients!$N$4))</f>
        <v>1</v>
      </c>
      <c r="AS234" s="27">
        <f>INDEX(Coefficients!$X$3:$X$4,MATCH(S234,Coefficients!$W$3:$W$4))</f>
        <v>1</v>
      </c>
      <c r="AT234" s="27">
        <f>INDEX(Coefficients!$X$7:$X$8,MATCH(O234,Coefficients!$W$7:$W$8))</f>
        <v>1</v>
      </c>
      <c r="AU234" s="27">
        <f>INDEX(Coefficients!$X$11:$X$12,MATCH(P234,Coefficients!$W$11:$W$12))</f>
        <v>1</v>
      </c>
      <c r="AV234" s="27">
        <f>INDEX(Coefficients!$X$15:$X$17,MATCH(Q234,Coefficients!$W$15:$W$17))</f>
        <v>1</v>
      </c>
      <c r="AW234" s="27">
        <f t="shared" si="232"/>
        <v>1</v>
      </c>
      <c r="AX234" s="27">
        <f t="shared" si="233"/>
        <v>1</v>
      </c>
      <c r="AY234" s="27">
        <f t="shared" si="234"/>
        <v>1.3</v>
      </c>
      <c r="AZ234" s="29">
        <f t="shared" si="235"/>
        <v>42.450586625561428</v>
      </c>
      <c r="BA234" s="29">
        <f t="shared" si="236"/>
        <v>0</v>
      </c>
      <c r="BB234" s="29">
        <f t="shared" si="237"/>
        <v>2.2074305045291944</v>
      </c>
      <c r="BC234" s="29">
        <f t="shared" si="238"/>
        <v>1.7792569495470805</v>
      </c>
      <c r="BD234" s="29">
        <f t="shared" si="221"/>
        <v>0.47113600988395038</v>
      </c>
      <c r="BE234" s="16">
        <f t="shared" si="222"/>
        <v>21.654705447761796</v>
      </c>
      <c r="BF234" s="16">
        <f t="shared" si="223"/>
        <v>356.69058910447643</v>
      </c>
      <c r="BG234" s="25">
        <f t="shared" si="224"/>
        <v>0.21654705447761796</v>
      </c>
      <c r="BH234" s="29">
        <f t="shared" si="225"/>
        <v>47.640351985075952</v>
      </c>
      <c r="BI234" s="29">
        <f t="shared" si="226"/>
        <v>304.71929602984812</v>
      </c>
      <c r="BJ234" s="29">
        <f t="shared" si="227"/>
        <v>38.49162448896567</v>
      </c>
    </row>
    <row r="235" spans="1:62">
      <c r="B235" s="29" t="s">
        <v>91</v>
      </c>
      <c r="C235" s="83" t="str">
        <f>'Cooler&amp;Wetter'!$B$1</f>
        <v>MIROC-Medres</v>
      </c>
      <c r="D235" s="89">
        <v>2009</v>
      </c>
      <c r="E235" s="90">
        <f>'Cooler&amp;Wetter'!AA37</f>
        <v>35.515833333333333</v>
      </c>
      <c r="F235" s="90">
        <f>'Cooler&amp;Wetter'!AC37</f>
        <v>21.800833333333333</v>
      </c>
      <c r="G235" s="35">
        <f t="shared" si="228"/>
        <v>2005</v>
      </c>
      <c r="H235" s="91" t="str">
        <f t="shared" si="208"/>
        <v>Pile 32 @ Berth 201</v>
      </c>
      <c r="I235" s="35" t="str">
        <f t="shared" si="209"/>
        <v>Turpentine Gum</v>
      </c>
      <c r="J235" s="35" t="str">
        <f t="shared" si="210"/>
        <v>HW1</v>
      </c>
      <c r="K235" s="35" t="str">
        <f t="shared" si="229"/>
        <v>SPHU</v>
      </c>
      <c r="L235" s="35">
        <f t="shared" si="211"/>
        <v>400</v>
      </c>
      <c r="M235" s="35">
        <f t="shared" si="212"/>
        <v>20</v>
      </c>
      <c r="N235" s="35">
        <f t="shared" si="213"/>
        <v>200</v>
      </c>
      <c r="O235" s="35" t="str">
        <f t="shared" si="214"/>
        <v>MTN2</v>
      </c>
      <c r="P235" s="35" t="str">
        <f t="shared" si="215"/>
        <v>CNT2</v>
      </c>
      <c r="Q235" s="35" t="str">
        <f t="shared" si="216"/>
        <v>KNT3</v>
      </c>
      <c r="R235" s="35" t="str">
        <f t="shared" si="217"/>
        <v>E</v>
      </c>
      <c r="S235" s="35" t="str">
        <f t="shared" si="218"/>
        <v>EXP1</v>
      </c>
      <c r="T235" s="58"/>
      <c r="U235" s="58"/>
      <c r="V235" s="58"/>
      <c r="W235" s="58"/>
      <c r="X235" s="58"/>
      <c r="Y235" s="58"/>
      <c r="Z235" s="58"/>
      <c r="AA235" s="95">
        <f t="shared" si="176"/>
        <v>0.23873242649687143</v>
      </c>
      <c r="AB235" s="96">
        <f t="shared" si="230"/>
        <v>23.873242649687143</v>
      </c>
      <c r="AC235" s="58"/>
      <c r="AD235" s="58"/>
      <c r="AE235" s="58"/>
      <c r="AF235" s="58"/>
      <c r="AG235" s="58"/>
      <c r="AH235" s="58"/>
      <c r="AI235" s="58"/>
      <c r="AJ235" s="58"/>
      <c r="AK235" s="58"/>
      <c r="AL235" s="58"/>
      <c r="AM235" s="89">
        <f t="shared" si="231"/>
        <v>4</v>
      </c>
      <c r="AN235" s="30">
        <f t="shared" si="219"/>
        <v>35.515833333333333</v>
      </c>
      <c r="AO235" s="29">
        <f t="shared" si="220"/>
        <v>1.7015221628291997</v>
      </c>
      <c r="AP235" s="29">
        <f>IF((OR(R235="A",R235="B",R235="C")),INDEX(Coefficients!$S$4:$S$22,MATCH(J235,Coefficients!$R$4:$R$22)),INDEX(Coefficients!$T$4:$T$22,MATCH(J235,Coefficients!$R$4:$R$22)))</f>
        <v>1.3</v>
      </c>
      <c r="AQ235" s="27">
        <f>IF((OR(R235="A",R235="B",R235="C")),INDEX(Coefficients!$S$4:$S$22,MATCH(K235,Coefficients!$R$4:$R$22)),INDEX(Coefficients!$T$4:$T$22,MATCH(K235,Coefficients!$R$4:$R$22)))</f>
        <v>25</v>
      </c>
      <c r="AR235" s="27">
        <f>IF(OR(R235="A",R235="B",R235="C",R235="D"),IF(AN235&gt;=11,IF(AN235&gt;=26,Coefficients!$M$6,Coefficients!$M$5),Coefficients!$M$4),IF(AN235&gt;=11,IF(AN235&gt;=26,Coefficients!$N$6,Coefficients!$N$5),Coefficients!$N$4))</f>
        <v>1</v>
      </c>
      <c r="AS235" s="27">
        <f>INDEX(Coefficients!$X$3:$X$4,MATCH(S235,Coefficients!$W$3:$W$4))</f>
        <v>1</v>
      </c>
      <c r="AT235" s="27">
        <f>INDEX(Coefficients!$X$7:$X$8,MATCH(O235,Coefficients!$W$7:$W$8))</f>
        <v>1</v>
      </c>
      <c r="AU235" s="27">
        <f>INDEX(Coefficients!$X$11:$X$12,MATCH(P235,Coefficients!$W$11:$W$12))</f>
        <v>1</v>
      </c>
      <c r="AV235" s="27">
        <f>INDEX(Coefficients!$X$15:$X$17,MATCH(Q235,Coefficients!$W$15:$W$17))</f>
        <v>1</v>
      </c>
      <c r="AW235" s="27">
        <f t="shared" si="232"/>
        <v>1</v>
      </c>
      <c r="AX235" s="27">
        <f t="shared" si="233"/>
        <v>1</v>
      </c>
      <c r="AY235" s="27">
        <f t="shared" si="234"/>
        <v>1.3</v>
      </c>
      <c r="AZ235" s="29">
        <f t="shared" si="235"/>
        <v>42.538054070729991</v>
      </c>
      <c r="BA235" s="29">
        <f t="shared" si="236"/>
        <v>0</v>
      </c>
      <c r="BB235" s="29">
        <f t="shared" si="237"/>
        <v>2.2119788116779597</v>
      </c>
      <c r="BC235" s="29">
        <f t="shared" si="238"/>
        <v>1.7788021188322041</v>
      </c>
      <c r="BD235" s="29">
        <f t="shared" si="221"/>
        <v>0.47016725228533196</v>
      </c>
      <c r="BE235" s="16">
        <f t="shared" si="222"/>
        <v>23.873242649687143</v>
      </c>
      <c r="BF235" s="16">
        <f t="shared" si="223"/>
        <v>352.25351470062571</v>
      </c>
      <c r="BG235" s="25">
        <f t="shared" si="224"/>
        <v>0.23873242649687143</v>
      </c>
      <c r="BH235" s="29">
        <f t="shared" si="225"/>
        <v>52.521133829311715</v>
      </c>
      <c r="BI235" s="29">
        <f t="shared" si="226"/>
        <v>294.95773234137658</v>
      </c>
      <c r="BJ235" s="29">
        <f t="shared" si="227"/>
        <v>38.415681085373834</v>
      </c>
    </row>
    <row r="236" spans="1:62">
      <c r="B236" s="29" t="s">
        <v>91</v>
      </c>
      <c r="C236" s="83" t="str">
        <f>'Cooler&amp;Wetter'!$B$1</f>
        <v>MIROC-Medres</v>
      </c>
      <c r="D236" s="89">
        <v>2010</v>
      </c>
      <c r="E236" s="90">
        <f>'Cooler&amp;Wetter'!AA38</f>
        <v>35.516666666666666</v>
      </c>
      <c r="F236" s="90">
        <f>'Cooler&amp;Wetter'!AC38</f>
        <v>21.816666666666666</v>
      </c>
      <c r="G236" s="35">
        <f t="shared" si="228"/>
        <v>2005</v>
      </c>
      <c r="H236" s="91" t="str">
        <f t="shared" si="208"/>
        <v>Pile 32 @ Berth 201</v>
      </c>
      <c r="I236" s="35" t="str">
        <f t="shared" si="209"/>
        <v>Turpentine Gum</v>
      </c>
      <c r="J236" s="35" t="str">
        <f t="shared" si="210"/>
        <v>HW1</v>
      </c>
      <c r="K236" s="35" t="str">
        <f t="shared" si="229"/>
        <v>SPHU</v>
      </c>
      <c r="L236" s="35">
        <f t="shared" si="211"/>
        <v>400</v>
      </c>
      <c r="M236" s="35">
        <f t="shared" si="212"/>
        <v>20</v>
      </c>
      <c r="N236" s="35">
        <f t="shared" si="213"/>
        <v>200</v>
      </c>
      <c r="O236" s="35" t="str">
        <f t="shared" si="214"/>
        <v>MTN2</v>
      </c>
      <c r="P236" s="35" t="str">
        <f t="shared" si="215"/>
        <v>CNT2</v>
      </c>
      <c r="Q236" s="35" t="str">
        <f t="shared" si="216"/>
        <v>KNT3</v>
      </c>
      <c r="R236" s="35" t="str">
        <f t="shared" si="217"/>
        <v>E</v>
      </c>
      <c r="S236" s="35" t="str">
        <f t="shared" si="218"/>
        <v>EXP1</v>
      </c>
      <c r="T236" s="58"/>
      <c r="U236" s="58"/>
      <c r="V236" s="58"/>
      <c r="W236" s="58"/>
      <c r="X236" s="58"/>
      <c r="Y236" s="58"/>
      <c r="Z236" s="58"/>
      <c r="AA236" s="95">
        <f t="shared" si="176"/>
        <v>0.26100912872529336</v>
      </c>
      <c r="AB236" s="96">
        <f t="shared" si="230"/>
        <v>26.100912872529339</v>
      </c>
      <c r="AC236" s="58"/>
      <c r="AD236" s="58"/>
      <c r="AE236" s="58"/>
      <c r="AF236" s="58"/>
      <c r="AG236" s="58"/>
      <c r="AH236" s="58"/>
      <c r="AI236" s="58"/>
      <c r="AJ236" s="58"/>
      <c r="AK236" s="58"/>
      <c r="AL236" s="58"/>
      <c r="AM236" s="89">
        <f t="shared" si="231"/>
        <v>5</v>
      </c>
      <c r="AN236" s="30">
        <f t="shared" si="219"/>
        <v>35.516666666666666</v>
      </c>
      <c r="AO236" s="29">
        <f t="shared" si="220"/>
        <v>1.7050280695388782</v>
      </c>
      <c r="AP236" s="29">
        <f>IF((OR(R236="A",R236="B",R236="C")),INDEX(Coefficients!$S$4:$S$22,MATCH(J236,Coefficients!$R$4:$R$22)),INDEX(Coefficients!$T$4:$T$22,MATCH(J236,Coefficients!$R$4:$R$22)))</f>
        <v>1.3</v>
      </c>
      <c r="AQ236" s="27">
        <f>IF((OR(R236="A",R236="B",R236="C")),INDEX(Coefficients!$S$4:$S$22,MATCH(K236,Coefficients!$R$4:$R$22)),INDEX(Coefficients!$T$4:$T$22,MATCH(K236,Coefficients!$R$4:$R$22)))</f>
        <v>25</v>
      </c>
      <c r="AR236" s="27">
        <f>IF(OR(R236="A",R236="B",R236="C",R236="D"),IF(AN236&gt;=11,IF(AN236&gt;=26,Coefficients!$M$6,Coefficients!$M$5),Coefficients!$M$4),IF(AN236&gt;=11,IF(AN236&gt;=26,Coefficients!$N$6,Coefficients!$N$5),Coefficients!$N$4))</f>
        <v>1</v>
      </c>
      <c r="AS236" s="27">
        <f>INDEX(Coefficients!$X$3:$X$4,MATCH(S236,Coefficients!$W$3:$W$4))</f>
        <v>1</v>
      </c>
      <c r="AT236" s="27">
        <f>INDEX(Coefficients!$X$7:$X$8,MATCH(O236,Coefficients!$W$7:$W$8))</f>
        <v>1</v>
      </c>
      <c r="AU236" s="27">
        <f>INDEX(Coefficients!$X$11:$X$12,MATCH(P236,Coefficients!$W$11:$W$12))</f>
        <v>1</v>
      </c>
      <c r="AV236" s="27">
        <f>INDEX(Coefficients!$X$15:$X$17,MATCH(Q236,Coefficients!$W$15:$W$17))</f>
        <v>1</v>
      </c>
      <c r="AW236" s="27">
        <f t="shared" si="232"/>
        <v>1</v>
      </c>
      <c r="AX236" s="27">
        <f t="shared" si="233"/>
        <v>1</v>
      </c>
      <c r="AY236" s="27">
        <f t="shared" si="234"/>
        <v>1.3</v>
      </c>
      <c r="AZ236" s="29">
        <f t="shared" si="235"/>
        <v>42.625701738471953</v>
      </c>
      <c r="BA236" s="29">
        <f t="shared" si="236"/>
        <v>0</v>
      </c>
      <c r="BB236" s="29">
        <f t="shared" si="237"/>
        <v>2.2165364904005416</v>
      </c>
      <c r="BC236" s="29">
        <f t="shared" si="238"/>
        <v>1.7783463509599458</v>
      </c>
      <c r="BD236" s="29">
        <f t="shared" si="221"/>
        <v>0.46920048666199299</v>
      </c>
      <c r="BE236" s="16">
        <f t="shared" si="222"/>
        <v>26.100912872529339</v>
      </c>
      <c r="BF236" s="16">
        <f t="shared" si="223"/>
        <v>347.79817425494133</v>
      </c>
      <c r="BG236" s="25">
        <f t="shared" si="224"/>
        <v>0.26100912872529336</v>
      </c>
      <c r="BH236" s="29">
        <f t="shared" si="225"/>
        <v>57.422008319564547</v>
      </c>
      <c r="BI236" s="29">
        <f t="shared" si="226"/>
        <v>285.15598336087089</v>
      </c>
      <c r="BJ236" s="29">
        <f t="shared" si="227"/>
        <v>38.339891965467544</v>
      </c>
    </row>
    <row r="237" spans="1:62">
      <c r="B237" s="29" t="s">
        <v>91</v>
      </c>
      <c r="C237" s="83" t="str">
        <f>'Cooler&amp;Wetter'!$B$1</f>
        <v>MIROC-Medres</v>
      </c>
      <c r="D237" s="89">
        <v>2011</v>
      </c>
      <c r="E237" s="90">
        <f>'Cooler&amp;Wetter'!AA39</f>
        <v>35.518333333333331</v>
      </c>
      <c r="F237" s="90">
        <f>'Cooler&amp;Wetter'!AC39</f>
        <v>21.848333333333333</v>
      </c>
      <c r="G237" s="35">
        <f t="shared" si="228"/>
        <v>2005</v>
      </c>
      <c r="H237" s="91" t="str">
        <f t="shared" si="208"/>
        <v>Pile 32 @ Berth 201</v>
      </c>
      <c r="I237" s="35" t="str">
        <f t="shared" si="209"/>
        <v>Turpentine Gum</v>
      </c>
      <c r="J237" s="35" t="str">
        <f t="shared" si="210"/>
        <v>HW1</v>
      </c>
      <c r="K237" s="35" t="str">
        <f t="shared" si="229"/>
        <v>SPHU</v>
      </c>
      <c r="L237" s="35">
        <f t="shared" si="211"/>
        <v>400</v>
      </c>
      <c r="M237" s="35">
        <f t="shared" si="212"/>
        <v>20</v>
      </c>
      <c r="N237" s="35">
        <f t="shared" si="213"/>
        <v>200</v>
      </c>
      <c r="O237" s="35" t="str">
        <f t="shared" si="214"/>
        <v>MTN2</v>
      </c>
      <c r="P237" s="35" t="str">
        <f t="shared" si="215"/>
        <v>CNT2</v>
      </c>
      <c r="Q237" s="35" t="str">
        <f t="shared" si="216"/>
        <v>KNT3</v>
      </c>
      <c r="R237" s="35" t="str">
        <f t="shared" si="217"/>
        <v>E</v>
      </c>
      <c r="S237" s="35" t="str">
        <f t="shared" si="218"/>
        <v>EXP1</v>
      </c>
      <c r="T237" s="58"/>
      <c r="U237" s="58"/>
      <c r="V237" s="58"/>
      <c r="W237" s="58"/>
      <c r="X237" s="58"/>
      <c r="Y237" s="58"/>
      <c r="Z237" s="58"/>
      <c r="AA237" s="95">
        <f t="shared" si="176"/>
        <v>0.28358085323359555</v>
      </c>
      <c r="AB237" s="96">
        <f t="shared" si="230"/>
        <v>28.358085323359557</v>
      </c>
      <c r="AC237" s="58"/>
      <c r="AD237" s="58"/>
      <c r="AE237" s="58"/>
      <c r="AF237" s="58"/>
      <c r="AG237" s="58"/>
      <c r="AH237" s="58"/>
      <c r="AI237" s="58"/>
      <c r="AJ237" s="58"/>
      <c r="AK237" s="58"/>
      <c r="AL237" s="58"/>
      <c r="AM237" s="89">
        <f t="shared" si="231"/>
        <v>6</v>
      </c>
      <c r="AN237" s="30">
        <f t="shared" si="219"/>
        <v>35.518333333333331</v>
      </c>
      <c r="AO237" s="29">
        <f t="shared" si="220"/>
        <v>1.7120615691120769</v>
      </c>
      <c r="AP237" s="29">
        <f>IF((OR(R237="A",R237="B",R237="C")),INDEX(Coefficients!$S$4:$S$22,MATCH(J237,Coefficients!$R$4:$R$22)),INDEX(Coefficients!$T$4:$T$22,MATCH(J237,Coefficients!$R$4:$R$22)))</f>
        <v>1.3</v>
      </c>
      <c r="AQ237" s="27">
        <f>IF((OR(R237="A",R237="B",R237="C")),INDEX(Coefficients!$S$4:$S$22,MATCH(K237,Coefficients!$R$4:$R$22)),INDEX(Coefficients!$T$4:$T$22,MATCH(K237,Coefficients!$R$4:$R$22)))</f>
        <v>25</v>
      </c>
      <c r="AR237" s="27">
        <f>IF(OR(R237="A",R237="B",R237="C",R237="D"),IF(AN237&gt;=11,IF(AN237&gt;=26,Coefficients!$M$6,Coefficients!$M$5),Coefficients!$M$4),IF(AN237&gt;=11,IF(AN237&gt;=26,Coefficients!$N$6,Coefficients!$N$5),Coefficients!$N$4))</f>
        <v>1</v>
      </c>
      <c r="AS237" s="27">
        <f>INDEX(Coefficients!$X$3:$X$4,MATCH(S237,Coefficients!$W$3:$W$4))</f>
        <v>1</v>
      </c>
      <c r="AT237" s="27">
        <f>INDEX(Coefficients!$X$7:$X$8,MATCH(O237,Coefficients!$W$7:$W$8))</f>
        <v>1</v>
      </c>
      <c r="AU237" s="27">
        <f>INDEX(Coefficients!$X$11:$X$12,MATCH(P237,Coefficients!$W$11:$W$12))</f>
        <v>1</v>
      </c>
      <c r="AV237" s="27">
        <f>INDEX(Coefficients!$X$15:$X$17,MATCH(Q237,Coefficients!$W$15:$W$17))</f>
        <v>1</v>
      </c>
      <c r="AW237" s="27">
        <f t="shared" si="232"/>
        <v>1</v>
      </c>
      <c r="AX237" s="27">
        <f t="shared" si="233"/>
        <v>1</v>
      </c>
      <c r="AY237" s="27">
        <f t="shared" si="234"/>
        <v>1.3</v>
      </c>
      <c r="AZ237" s="29">
        <f t="shared" si="235"/>
        <v>42.801539227801925</v>
      </c>
      <c r="BA237" s="29">
        <f t="shared" si="236"/>
        <v>0</v>
      </c>
      <c r="BB237" s="29">
        <f t="shared" si="237"/>
        <v>2.2256800398457002</v>
      </c>
      <c r="BC237" s="29">
        <f t="shared" si="238"/>
        <v>1.7774319960154299</v>
      </c>
      <c r="BD237" s="29">
        <f t="shared" si="221"/>
        <v>0.46727291496584578</v>
      </c>
      <c r="BE237" s="16">
        <f t="shared" si="222"/>
        <v>28.358085323359557</v>
      </c>
      <c r="BF237" s="16">
        <f t="shared" si="223"/>
        <v>343.28382935328091</v>
      </c>
      <c r="BG237" s="25">
        <f t="shared" si="224"/>
        <v>0.28358085323359555</v>
      </c>
      <c r="BH237" s="29">
        <f t="shared" si="225"/>
        <v>62.387787711391027</v>
      </c>
      <c r="BI237" s="29">
        <f t="shared" si="226"/>
        <v>275.22442457721797</v>
      </c>
      <c r="BJ237" s="29">
        <f t="shared" si="227"/>
        <v>38.18877529296941</v>
      </c>
    </row>
    <row r="238" spans="1:62">
      <c r="B238" s="29" t="s">
        <v>91</v>
      </c>
      <c r="C238" s="83" t="str">
        <f>'Cooler&amp;Wetter'!$B$1</f>
        <v>MIROC-Medres</v>
      </c>
      <c r="D238" s="89">
        <v>2012</v>
      </c>
      <c r="E238" s="90">
        <f>'Cooler&amp;Wetter'!AA40</f>
        <v>35.520000000000003</v>
      </c>
      <c r="F238" s="90">
        <f>'Cooler&amp;Wetter'!AC40</f>
        <v>21.88</v>
      </c>
      <c r="G238" s="35">
        <f t="shared" si="228"/>
        <v>2005</v>
      </c>
      <c r="H238" s="91" t="str">
        <f t="shared" si="208"/>
        <v>Pile 32 @ Berth 201</v>
      </c>
      <c r="I238" s="35" t="str">
        <f t="shared" si="209"/>
        <v>Turpentine Gum</v>
      </c>
      <c r="J238" s="35" t="str">
        <f t="shared" si="210"/>
        <v>HW1</v>
      </c>
      <c r="K238" s="35" t="str">
        <f t="shared" si="229"/>
        <v>SPHU</v>
      </c>
      <c r="L238" s="35">
        <f t="shared" si="211"/>
        <v>400</v>
      </c>
      <c r="M238" s="35">
        <f t="shared" si="212"/>
        <v>20</v>
      </c>
      <c r="N238" s="35">
        <f t="shared" si="213"/>
        <v>200</v>
      </c>
      <c r="O238" s="35" t="str">
        <f t="shared" si="214"/>
        <v>MTN2</v>
      </c>
      <c r="P238" s="35" t="str">
        <f t="shared" si="215"/>
        <v>CNT2</v>
      </c>
      <c r="Q238" s="35" t="str">
        <f t="shared" si="216"/>
        <v>KNT3</v>
      </c>
      <c r="R238" s="35" t="str">
        <f t="shared" si="217"/>
        <v>E</v>
      </c>
      <c r="S238" s="35" t="str">
        <f t="shared" si="218"/>
        <v>EXP1</v>
      </c>
      <c r="T238" s="58"/>
      <c r="U238" s="58"/>
      <c r="V238" s="58"/>
      <c r="W238" s="58"/>
      <c r="X238" s="58"/>
      <c r="Y238" s="58"/>
      <c r="Z238" s="58"/>
      <c r="AA238" s="95">
        <f t="shared" si="176"/>
        <v>0.30633767045619709</v>
      </c>
      <c r="AB238" s="96">
        <f t="shared" si="230"/>
        <v>30.633767045619706</v>
      </c>
      <c r="AC238" s="58"/>
      <c r="AD238" s="58"/>
      <c r="AE238" s="58"/>
      <c r="AF238" s="58"/>
      <c r="AG238" s="58"/>
      <c r="AH238" s="58"/>
      <c r="AI238" s="58"/>
      <c r="AJ238" s="58"/>
      <c r="AK238" s="58"/>
      <c r="AL238" s="58"/>
      <c r="AM238" s="89">
        <f t="shared" si="231"/>
        <v>7</v>
      </c>
      <c r="AN238" s="30">
        <f t="shared" si="219"/>
        <v>35.520000000000003</v>
      </c>
      <c r="AO238" s="29">
        <f t="shared" si="220"/>
        <v>1.7191240829385479</v>
      </c>
      <c r="AP238" s="29">
        <f>IF((OR(R238="A",R238="B",R238="C")),INDEX(Coefficients!$S$4:$S$22,MATCH(J238,Coefficients!$R$4:$R$22)),INDEX(Coefficients!$T$4:$T$22,MATCH(J238,Coefficients!$R$4:$R$22)))</f>
        <v>1.3</v>
      </c>
      <c r="AQ238" s="27">
        <f>IF((OR(R238="A",R238="B",R238="C")),INDEX(Coefficients!$S$4:$S$22,MATCH(K238,Coefficients!$R$4:$R$22)),INDEX(Coefficients!$T$4:$T$22,MATCH(K238,Coefficients!$R$4:$R$22)))</f>
        <v>25</v>
      </c>
      <c r="AR238" s="27">
        <f>IF(OR(R238="A",R238="B",R238="C",R238="D"),IF(AN238&gt;=11,IF(AN238&gt;=26,Coefficients!$M$6,Coefficients!$M$5),Coefficients!$M$4),IF(AN238&gt;=11,IF(AN238&gt;=26,Coefficients!$N$6,Coefficients!$N$5),Coefficients!$N$4))</f>
        <v>1</v>
      </c>
      <c r="AS238" s="27">
        <f>INDEX(Coefficients!$X$3:$X$4,MATCH(S238,Coefficients!$W$3:$W$4))</f>
        <v>1</v>
      </c>
      <c r="AT238" s="27">
        <f>INDEX(Coefficients!$X$7:$X$8,MATCH(O238,Coefficients!$W$7:$W$8))</f>
        <v>1</v>
      </c>
      <c r="AU238" s="27">
        <f>INDEX(Coefficients!$X$11:$X$12,MATCH(P238,Coefficients!$W$11:$W$12))</f>
        <v>1</v>
      </c>
      <c r="AV238" s="27">
        <f>INDEX(Coefficients!$X$15:$X$17,MATCH(Q238,Coefficients!$W$15:$W$17))</f>
        <v>1</v>
      </c>
      <c r="AW238" s="27">
        <f t="shared" si="232"/>
        <v>1</v>
      </c>
      <c r="AX238" s="27">
        <f t="shared" si="233"/>
        <v>1</v>
      </c>
      <c r="AY238" s="27">
        <f t="shared" si="234"/>
        <v>1.3</v>
      </c>
      <c r="AZ238" s="29">
        <f t="shared" si="235"/>
        <v>42.978102073463695</v>
      </c>
      <c r="BA238" s="29">
        <f t="shared" si="236"/>
        <v>0</v>
      </c>
      <c r="BB238" s="29">
        <f t="shared" si="237"/>
        <v>2.2348613078201125</v>
      </c>
      <c r="BC238" s="29">
        <f t="shared" si="238"/>
        <v>1.7765138692179887</v>
      </c>
      <c r="BD238" s="29">
        <f t="shared" si="221"/>
        <v>0.46535326212901235</v>
      </c>
      <c r="BE238" s="16">
        <f t="shared" si="222"/>
        <v>30.633767045619706</v>
      </c>
      <c r="BF238" s="16">
        <f t="shared" si="223"/>
        <v>338.73246590876056</v>
      </c>
      <c r="BG238" s="25">
        <f t="shared" si="224"/>
        <v>0.30633767045619709</v>
      </c>
      <c r="BH238" s="29">
        <f t="shared" si="225"/>
        <v>67.394287500363362</v>
      </c>
      <c r="BI238" s="29">
        <f t="shared" si="226"/>
        <v>265.21142499927328</v>
      </c>
      <c r="BJ238" s="29">
        <f t="shared" si="227"/>
        <v>38.038271910501791</v>
      </c>
    </row>
    <row r="239" spans="1:62">
      <c r="B239" s="29" t="s">
        <v>91</v>
      </c>
      <c r="C239" s="83" t="str">
        <f>'Cooler&amp;Wetter'!$B$1</f>
        <v>MIROC-Medres</v>
      </c>
      <c r="D239" s="89">
        <v>2013</v>
      </c>
      <c r="E239" s="90">
        <f>'Cooler&amp;Wetter'!AA41</f>
        <v>35.521666666666668</v>
      </c>
      <c r="F239" s="90">
        <f>'Cooler&amp;Wetter'!AC41</f>
        <v>21.911666666666665</v>
      </c>
      <c r="G239" s="35">
        <f t="shared" si="228"/>
        <v>2005</v>
      </c>
      <c r="H239" s="91" t="str">
        <f t="shared" si="208"/>
        <v>Pile 32 @ Berth 201</v>
      </c>
      <c r="I239" s="35" t="str">
        <f t="shared" si="209"/>
        <v>Turpentine Gum</v>
      </c>
      <c r="J239" s="35" t="str">
        <f t="shared" si="210"/>
        <v>HW1</v>
      </c>
      <c r="K239" s="35" t="str">
        <f t="shared" si="229"/>
        <v>SPHU</v>
      </c>
      <c r="L239" s="35">
        <f t="shared" si="211"/>
        <v>400</v>
      </c>
      <c r="M239" s="35">
        <f t="shared" si="212"/>
        <v>20</v>
      </c>
      <c r="N239" s="35">
        <f t="shared" si="213"/>
        <v>200</v>
      </c>
      <c r="O239" s="35" t="str">
        <f t="shared" si="214"/>
        <v>MTN2</v>
      </c>
      <c r="P239" s="35" t="str">
        <f t="shared" si="215"/>
        <v>CNT2</v>
      </c>
      <c r="Q239" s="35" t="str">
        <f t="shared" si="216"/>
        <v>KNT3</v>
      </c>
      <c r="R239" s="35" t="str">
        <f t="shared" si="217"/>
        <v>E</v>
      </c>
      <c r="S239" s="35" t="str">
        <f t="shared" si="218"/>
        <v>EXP1</v>
      </c>
      <c r="T239" s="58"/>
      <c r="U239" s="58"/>
      <c r="V239" s="58"/>
      <c r="W239" s="58"/>
      <c r="X239" s="58"/>
      <c r="Y239" s="58"/>
      <c r="Z239" s="58"/>
      <c r="AA239" s="95">
        <f t="shared" si="176"/>
        <v>0.32928072406081232</v>
      </c>
      <c r="AB239" s="96">
        <f t="shared" si="230"/>
        <v>32.928072406081235</v>
      </c>
      <c r="AC239" s="58"/>
      <c r="AD239" s="58"/>
      <c r="AE239" s="58"/>
      <c r="AF239" s="58"/>
      <c r="AG239" s="58"/>
      <c r="AH239" s="58"/>
      <c r="AI239" s="58"/>
      <c r="AJ239" s="58"/>
      <c r="AK239" s="58"/>
      <c r="AL239" s="58"/>
      <c r="AM239" s="89">
        <f t="shared" si="231"/>
        <v>8</v>
      </c>
      <c r="AN239" s="30">
        <f t="shared" si="219"/>
        <v>35.521666666666668</v>
      </c>
      <c r="AO239" s="29">
        <f t="shared" si="220"/>
        <v>1.7262157307064898</v>
      </c>
      <c r="AP239" s="29">
        <f>IF((OR(R239="A",R239="B",R239="C")),INDEX(Coefficients!$S$4:$S$22,MATCH(J239,Coefficients!$R$4:$R$22)),INDEX(Coefficients!$T$4:$T$22,MATCH(J239,Coefficients!$R$4:$R$22)))</f>
        <v>1.3</v>
      </c>
      <c r="AQ239" s="27">
        <f>IF((OR(R239="A",R239="B",R239="C")),INDEX(Coefficients!$S$4:$S$22,MATCH(K239,Coefficients!$R$4:$R$22)),INDEX(Coefficients!$T$4:$T$22,MATCH(K239,Coefficients!$R$4:$R$22)))</f>
        <v>25</v>
      </c>
      <c r="AR239" s="27">
        <f>IF(OR(R239="A",R239="B",R239="C",R239="D"),IF(AN239&gt;=11,IF(AN239&gt;=26,Coefficients!$M$6,Coefficients!$M$5),Coefficients!$M$4),IF(AN239&gt;=11,IF(AN239&gt;=26,Coefficients!$N$6,Coefficients!$N$5),Coefficients!$N$4))</f>
        <v>1</v>
      </c>
      <c r="AS239" s="27">
        <f>INDEX(Coefficients!$X$3:$X$4,MATCH(S239,Coefficients!$W$3:$W$4))</f>
        <v>1</v>
      </c>
      <c r="AT239" s="27">
        <f>INDEX(Coefficients!$X$7:$X$8,MATCH(O239,Coefficients!$W$7:$W$8))</f>
        <v>1</v>
      </c>
      <c r="AU239" s="27">
        <f>INDEX(Coefficients!$X$11:$X$12,MATCH(P239,Coefficients!$W$11:$W$12))</f>
        <v>1</v>
      </c>
      <c r="AV239" s="27">
        <f>INDEX(Coefficients!$X$15:$X$17,MATCH(Q239,Coefficients!$W$15:$W$17))</f>
        <v>1</v>
      </c>
      <c r="AW239" s="27">
        <f t="shared" si="232"/>
        <v>1</v>
      </c>
      <c r="AX239" s="27">
        <f t="shared" si="233"/>
        <v>1</v>
      </c>
      <c r="AY239" s="27">
        <f t="shared" si="234"/>
        <v>1.3</v>
      </c>
      <c r="AZ239" s="29">
        <f t="shared" si="235"/>
        <v>43.155393267662248</v>
      </c>
      <c r="BA239" s="29">
        <f t="shared" si="236"/>
        <v>0</v>
      </c>
      <c r="BB239" s="29">
        <f t="shared" si="237"/>
        <v>2.244080449918437</v>
      </c>
      <c r="BC239" s="29">
        <f t="shared" si="238"/>
        <v>1.7755919550081563</v>
      </c>
      <c r="BD239" s="29">
        <f t="shared" si="221"/>
        <v>0.46344149561919662</v>
      </c>
      <c r="BE239" s="16">
        <f t="shared" si="222"/>
        <v>32.928072406081235</v>
      </c>
      <c r="BF239" s="16">
        <f t="shared" si="223"/>
        <v>334.14385518783752</v>
      </c>
      <c r="BG239" s="25">
        <f t="shared" si="224"/>
        <v>0.32928072406081232</v>
      </c>
      <c r="BH239" s="29">
        <f t="shared" si="225"/>
        <v>72.441759293378723</v>
      </c>
      <c r="BI239" s="29">
        <f t="shared" si="226"/>
        <v>255.11648141324255</v>
      </c>
      <c r="BJ239" s="29">
        <f t="shared" si="227"/>
        <v>37.888379267488624</v>
      </c>
    </row>
    <row r="240" spans="1:62">
      <c r="B240" s="29" t="s">
        <v>91</v>
      </c>
      <c r="C240" s="83" t="str">
        <f>'Cooler&amp;Wetter'!$B$1</f>
        <v>MIROC-Medres</v>
      </c>
      <c r="D240" s="89">
        <v>2014</v>
      </c>
      <c r="E240" s="90">
        <f>'Cooler&amp;Wetter'!AA42</f>
        <v>35.523333333333333</v>
      </c>
      <c r="F240" s="90">
        <f>'Cooler&amp;Wetter'!AC42</f>
        <v>21.943333333333335</v>
      </c>
      <c r="G240" s="35">
        <f t="shared" si="228"/>
        <v>2005</v>
      </c>
      <c r="H240" s="91" t="str">
        <f t="shared" si="208"/>
        <v>Pile 32 @ Berth 201</v>
      </c>
      <c r="I240" s="35" t="str">
        <f t="shared" si="209"/>
        <v>Turpentine Gum</v>
      </c>
      <c r="J240" s="35" t="str">
        <f t="shared" si="210"/>
        <v>HW1</v>
      </c>
      <c r="K240" s="35" t="str">
        <f t="shared" si="229"/>
        <v>SPHU</v>
      </c>
      <c r="L240" s="35">
        <f t="shared" si="211"/>
        <v>400</v>
      </c>
      <c r="M240" s="35">
        <f t="shared" si="212"/>
        <v>20</v>
      </c>
      <c r="N240" s="35">
        <f t="shared" si="213"/>
        <v>200</v>
      </c>
      <c r="O240" s="35" t="str">
        <f t="shared" si="214"/>
        <v>MTN2</v>
      </c>
      <c r="P240" s="35" t="str">
        <f t="shared" si="215"/>
        <v>CNT2</v>
      </c>
      <c r="Q240" s="35" t="str">
        <f t="shared" si="216"/>
        <v>KNT3</v>
      </c>
      <c r="R240" s="35" t="str">
        <f t="shared" si="217"/>
        <v>E</v>
      </c>
      <c r="S240" s="35" t="str">
        <f t="shared" si="218"/>
        <v>EXP1</v>
      </c>
      <c r="T240" s="58"/>
      <c r="U240" s="58"/>
      <c r="V240" s="58"/>
      <c r="W240" s="58"/>
      <c r="X240" s="58"/>
      <c r="Y240" s="58"/>
      <c r="Z240" s="58"/>
      <c r="AA240" s="95">
        <f t="shared" si="176"/>
        <v>0.35241116400682343</v>
      </c>
      <c r="AB240" s="96">
        <f t="shared" si="230"/>
        <v>35.241116400682344</v>
      </c>
      <c r="AC240" s="58"/>
      <c r="AD240" s="58"/>
      <c r="AE240" s="58"/>
      <c r="AF240" s="58"/>
      <c r="AG240" s="58"/>
      <c r="AH240" s="58"/>
      <c r="AI240" s="58"/>
      <c r="AJ240" s="58"/>
      <c r="AK240" s="58"/>
      <c r="AL240" s="58"/>
      <c r="AM240" s="89">
        <f t="shared" si="231"/>
        <v>9</v>
      </c>
      <c r="AN240" s="30">
        <f t="shared" si="219"/>
        <v>35.523333333333333</v>
      </c>
      <c r="AO240" s="29">
        <f t="shared" si="220"/>
        <v>1.7333366325978348</v>
      </c>
      <c r="AP240" s="29">
        <f>IF((OR(R240="A",R240="B",R240="C")),INDEX(Coefficients!$S$4:$S$22,MATCH(J240,Coefficients!$R$4:$R$22)),INDEX(Coefficients!$T$4:$T$22,MATCH(J240,Coefficients!$R$4:$R$22)))</f>
        <v>1.3</v>
      </c>
      <c r="AQ240" s="27">
        <f>IF((OR(R240="A",R240="B",R240="C")),INDEX(Coefficients!$S$4:$S$22,MATCH(K240,Coefficients!$R$4:$R$22)),INDEX(Coefficients!$T$4:$T$22,MATCH(K240,Coefficients!$R$4:$R$22)))</f>
        <v>25</v>
      </c>
      <c r="AR240" s="27">
        <f>IF(OR(R240="A",R240="B",R240="C",R240="D"),IF(AN240&gt;=11,IF(AN240&gt;=26,Coefficients!$M$6,Coefficients!$M$5),Coefficients!$M$4),IF(AN240&gt;=11,IF(AN240&gt;=26,Coefficients!$N$6,Coefficients!$N$5),Coefficients!$N$4))</f>
        <v>1</v>
      </c>
      <c r="AS240" s="27">
        <f>INDEX(Coefficients!$X$3:$X$4,MATCH(S240,Coefficients!$W$3:$W$4))</f>
        <v>1</v>
      </c>
      <c r="AT240" s="27">
        <f>INDEX(Coefficients!$X$7:$X$8,MATCH(O240,Coefficients!$W$7:$W$8))</f>
        <v>1</v>
      </c>
      <c r="AU240" s="27">
        <f>INDEX(Coefficients!$X$11:$X$12,MATCH(P240,Coefficients!$W$11:$W$12))</f>
        <v>1</v>
      </c>
      <c r="AV240" s="27">
        <f>INDEX(Coefficients!$X$15:$X$17,MATCH(Q240,Coefficients!$W$15:$W$17))</f>
        <v>1</v>
      </c>
      <c r="AW240" s="27">
        <f t="shared" si="232"/>
        <v>1</v>
      </c>
      <c r="AX240" s="27">
        <f t="shared" si="233"/>
        <v>1</v>
      </c>
      <c r="AY240" s="27">
        <f t="shared" si="234"/>
        <v>1.3</v>
      </c>
      <c r="AZ240" s="29">
        <f t="shared" si="235"/>
        <v>43.333415814945866</v>
      </c>
      <c r="BA240" s="29">
        <f t="shared" si="236"/>
        <v>0</v>
      </c>
      <c r="BB240" s="29">
        <f t="shared" si="237"/>
        <v>2.2533376223771855</v>
      </c>
      <c r="BC240" s="29">
        <f t="shared" si="238"/>
        <v>1.7746662377622815</v>
      </c>
      <c r="BD240" s="29">
        <f t="shared" si="221"/>
        <v>0.46153758303775172</v>
      </c>
      <c r="BE240" s="16">
        <f t="shared" si="222"/>
        <v>35.241116400682344</v>
      </c>
      <c r="BF240" s="16">
        <f t="shared" si="223"/>
        <v>329.51776719863528</v>
      </c>
      <c r="BG240" s="25">
        <f t="shared" si="224"/>
        <v>0.35241116400682343</v>
      </c>
      <c r="BH240" s="29">
        <f t="shared" si="225"/>
        <v>77.530456081501157</v>
      </c>
      <c r="BI240" s="29">
        <f t="shared" si="226"/>
        <v>244.93908783699769</v>
      </c>
      <c r="BJ240" s="29">
        <f t="shared" si="227"/>
        <v>37.739094823704008</v>
      </c>
    </row>
    <row r="241" spans="2:62">
      <c r="B241" s="29" t="s">
        <v>91</v>
      </c>
      <c r="C241" s="83" t="str">
        <f>'Cooler&amp;Wetter'!$B$1</f>
        <v>MIROC-Medres</v>
      </c>
      <c r="D241" s="89">
        <v>2015</v>
      </c>
      <c r="E241" s="90">
        <f>'Cooler&amp;Wetter'!AA43</f>
        <v>35.524999999999999</v>
      </c>
      <c r="F241" s="90">
        <f>'Cooler&amp;Wetter'!AC43</f>
        <v>21.975000000000001</v>
      </c>
      <c r="G241" s="35">
        <f t="shared" si="228"/>
        <v>2005</v>
      </c>
      <c r="H241" s="91" t="str">
        <f t="shared" si="208"/>
        <v>Pile 32 @ Berth 201</v>
      </c>
      <c r="I241" s="35" t="str">
        <f t="shared" si="209"/>
        <v>Turpentine Gum</v>
      </c>
      <c r="J241" s="35" t="str">
        <f t="shared" si="210"/>
        <v>HW1</v>
      </c>
      <c r="K241" s="35" t="str">
        <f t="shared" si="229"/>
        <v>SPHU</v>
      </c>
      <c r="L241" s="35">
        <f t="shared" si="211"/>
        <v>400</v>
      </c>
      <c r="M241" s="35">
        <f t="shared" si="212"/>
        <v>20</v>
      </c>
      <c r="N241" s="35">
        <f t="shared" si="213"/>
        <v>200</v>
      </c>
      <c r="O241" s="35" t="str">
        <f t="shared" si="214"/>
        <v>MTN2</v>
      </c>
      <c r="P241" s="35" t="str">
        <f t="shared" si="215"/>
        <v>CNT2</v>
      </c>
      <c r="Q241" s="35" t="str">
        <f t="shared" si="216"/>
        <v>KNT3</v>
      </c>
      <c r="R241" s="35" t="str">
        <f t="shared" si="217"/>
        <v>E</v>
      </c>
      <c r="S241" s="35" t="str">
        <f t="shared" si="218"/>
        <v>EXP1</v>
      </c>
      <c r="T241" s="58"/>
      <c r="U241" s="58"/>
      <c r="V241" s="58"/>
      <c r="W241" s="58"/>
      <c r="X241" s="58"/>
      <c r="Y241" s="58"/>
      <c r="Z241" s="58"/>
      <c r="AA241" s="95">
        <f t="shared" si="176"/>
        <v>0.37573014657777321</v>
      </c>
      <c r="AB241" s="96">
        <f t="shared" si="230"/>
        <v>37.573014657777321</v>
      </c>
      <c r="AC241" s="58"/>
      <c r="AD241" s="58"/>
      <c r="AE241" s="58"/>
      <c r="AF241" s="58"/>
      <c r="AG241" s="58"/>
      <c r="AH241" s="58"/>
      <c r="AI241" s="58"/>
      <c r="AJ241" s="58"/>
      <c r="AK241" s="58"/>
      <c r="AL241" s="58"/>
      <c r="AM241" s="89">
        <f t="shared" si="231"/>
        <v>10</v>
      </c>
      <c r="AN241" s="30">
        <f t="shared" si="219"/>
        <v>35.524999999999999</v>
      </c>
      <c r="AO241" s="29">
        <f t="shared" si="220"/>
        <v>1.7404869092902786</v>
      </c>
      <c r="AP241" s="29">
        <f>IF((OR(R241="A",R241="B",R241="C")),INDEX(Coefficients!$S$4:$S$22,MATCH(J241,Coefficients!$R$4:$R$22)),INDEX(Coefficients!$T$4:$T$22,MATCH(J241,Coefficients!$R$4:$R$22)))</f>
        <v>1.3</v>
      </c>
      <c r="AQ241" s="27">
        <f>IF((OR(R241="A",R241="B",R241="C")),INDEX(Coefficients!$S$4:$S$22,MATCH(K241,Coefficients!$R$4:$R$22)),INDEX(Coefficients!$T$4:$T$22,MATCH(K241,Coefficients!$R$4:$R$22)))</f>
        <v>25</v>
      </c>
      <c r="AR241" s="27">
        <f>IF(OR(R241="A",R241="B",R241="C",R241="D"),IF(AN241&gt;=11,IF(AN241&gt;=26,Coefficients!$M$6,Coefficients!$M$5),Coefficients!$M$4),IF(AN241&gt;=11,IF(AN241&gt;=26,Coefficients!$N$6,Coefficients!$N$5),Coefficients!$N$4))</f>
        <v>1</v>
      </c>
      <c r="AS241" s="27">
        <f>INDEX(Coefficients!$X$3:$X$4,MATCH(S241,Coefficients!$W$3:$W$4))</f>
        <v>1</v>
      </c>
      <c r="AT241" s="27">
        <f>INDEX(Coefficients!$X$7:$X$8,MATCH(O241,Coefficients!$W$7:$W$8))</f>
        <v>1</v>
      </c>
      <c r="AU241" s="27">
        <f>INDEX(Coefficients!$X$11:$X$12,MATCH(P241,Coefficients!$W$11:$W$12))</f>
        <v>1</v>
      </c>
      <c r="AV241" s="27">
        <f>INDEX(Coefficients!$X$15:$X$17,MATCH(Q241,Coefficients!$W$15:$W$17))</f>
        <v>1</v>
      </c>
      <c r="AW241" s="27">
        <f t="shared" si="232"/>
        <v>1</v>
      </c>
      <c r="AX241" s="27">
        <f t="shared" si="233"/>
        <v>1</v>
      </c>
      <c r="AY241" s="27">
        <f t="shared" si="234"/>
        <v>1.3</v>
      </c>
      <c r="AZ241" s="29">
        <f t="shared" si="235"/>
        <v>43.512172732256964</v>
      </c>
      <c r="BA241" s="29">
        <f t="shared" si="236"/>
        <v>0</v>
      </c>
      <c r="BB241" s="29">
        <f t="shared" si="237"/>
        <v>2.2626329820773621</v>
      </c>
      <c r="BC241" s="29">
        <f t="shared" si="238"/>
        <v>1.7737367017922638</v>
      </c>
      <c r="BD241" s="29">
        <f t="shared" si="221"/>
        <v>0.45964149211913202</v>
      </c>
      <c r="BE241" s="16">
        <f t="shared" si="222"/>
        <v>37.573014657777321</v>
      </c>
      <c r="BF241" s="16">
        <f t="shared" si="223"/>
        <v>324.85397068444536</v>
      </c>
      <c r="BG241" s="25">
        <f t="shared" si="224"/>
        <v>0.37573014657777321</v>
      </c>
      <c r="BH241" s="29">
        <f t="shared" si="225"/>
        <v>82.660632247110115</v>
      </c>
      <c r="BI241" s="29">
        <f t="shared" si="226"/>
        <v>234.67873550577977</v>
      </c>
      <c r="BJ241" s="29">
        <f t="shared" si="227"/>
        <v>37.590416049229248</v>
      </c>
    </row>
    <row r="242" spans="2:62">
      <c r="B242" s="29" t="s">
        <v>91</v>
      </c>
      <c r="C242" s="83" t="str">
        <f>'Cooler&amp;Wetter'!$B$1</f>
        <v>MIROC-Medres</v>
      </c>
      <c r="D242" s="89">
        <v>2016</v>
      </c>
      <c r="E242" s="90">
        <f>'Cooler&amp;Wetter'!AA44</f>
        <v>35.526666666666664</v>
      </c>
      <c r="F242" s="90">
        <f>'Cooler&amp;Wetter'!AC44</f>
        <v>22.006666666666668</v>
      </c>
      <c r="G242" s="35">
        <f t="shared" si="228"/>
        <v>2005</v>
      </c>
      <c r="H242" s="91" t="str">
        <f t="shared" si="208"/>
        <v>Pile 32 @ Berth 201</v>
      </c>
      <c r="I242" s="35" t="str">
        <f t="shared" si="209"/>
        <v>Turpentine Gum</v>
      </c>
      <c r="J242" s="35" t="str">
        <f t="shared" si="210"/>
        <v>HW1</v>
      </c>
      <c r="K242" s="35" t="str">
        <f t="shared" si="229"/>
        <v>SPHU</v>
      </c>
      <c r="L242" s="35">
        <f t="shared" si="211"/>
        <v>400</v>
      </c>
      <c r="M242" s="35">
        <f t="shared" si="212"/>
        <v>20</v>
      </c>
      <c r="N242" s="35">
        <f t="shared" si="213"/>
        <v>200</v>
      </c>
      <c r="O242" s="35" t="str">
        <f t="shared" si="214"/>
        <v>MTN2</v>
      </c>
      <c r="P242" s="35" t="str">
        <f t="shared" si="215"/>
        <v>CNT2</v>
      </c>
      <c r="Q242" s="35" t="str">
        <f t="shared" si="216"/>
        <v>KNT3</v>
      </c>
      <c r="R242" s="35" t="str">
        <f t="shared" si="217"/>
        <v>E</v>
      </c>
      <c r="S242" s="35" t="str">
        <f t="shared" si="218"/>
        <v>EXP1</v>
      </c>
      <c r="T242" s="58"/>
      <c r="U242" s="58"/>
      <c r="V242" s="58"/>
      <c r="W242" s="58"/>
      <c r="X242" s="58"/>
      <c r="Y242" s="58"/>
      <c r="Z242" s="58"/>
      <c r="AA242" s="95">
        <f t="shared" si="176"/>
        <v>0.39923883441402225</v>
      </c>
      <c r="AB242" s="96">
        <f t="shared" si="230"/>
        <v>39.923883441402225</v>
      </c>
      <c r="AC242" s="58"/>
      <c r="AD242" s="58"/>
      <c r="AE242" s="58"/>
      <c r="AF242" s="58"/>
      <c r="AG242" s="58"/>
      <c r="AH242" s="58"/>
      <c r="AI242" s="58"/>
      <c r="AJ242" s="58"/>
      <c r="AK242" s="58"/>
      <c r="AL242" s="58"/>
      <c r="AM242" s="89">
        <f t="shared" si="231"/>
        <v>11</v>
      </c>
      <c r="AN242" s="30">
        <f t="shared" si="219"/>
        <v>35.526666666666664</v>
      </c>
      <c r="AO242" s="29">
        <f t="shared" si="220"/>
        <v>1.7476666819593358</v>
      </c>
      <c r="AP242" s="29">
        <f>IF((OR(R242="A",R242="B",R242="C")),INDEX(Coefficients!$S$4:$S$22,MATCH(J242,Coefficients!$R$4:$R$22)),INDEX(Coefficients!$T$4:$T$22,MATCH(J242,Coefficients!$R$4:$R$22)))</f>
        <v>1.3</v>
      </c>
      <c r="AQ242" s="27">
        <f>IF((OR(R242="A",R242="B",R242="C")),INDEX(Coefficients!$S$4:$S$22,MATCH(K242,Coefficients!$R$4:$R$22)),INDEX(Coefficients!$T$4:$T$22,MATCH(K242,Coefficients!$R$4:$R$22)))</f>
        <v>25</v>
      </c>
      <c r="AR242" s="27">
        <f>IF(OR(R242="A",R242="B",R242="C",R242="D"),IF(AN242&gt;=11,IF(AN242&gt;=26,Coefficients!$M$6,Coefficients!$M$5),Coefficients!$M$4),IF(AN242&gt;=11,IF(AN242&gt;=26,Coefficients!$N$6,Coefficients!$N$5),Coefficients!$N$4))</f>
        <v>1</v>
      </c>
      <c r="AS242" s="27">
        <f>INDEX(Coefficients!$X$3:$X$4,MATCH(S242,Coefficients!$W$3:$W$4))</f>
        <v>1</v>
      </c>
      <c r="AT242" s="27">
        <f>INDEX(Coefficients!$X$7:$X$8,MATCH(O242,Coefficients!$W$7:$W$8))</f>
        <v>1</v>
      </c>
      <c r="AU242" s="27">
        <f>INDEX(Coefficients!$X$11:$X$12,MATCH(P242,Coefficients!$W$11:$W$12))</f>
        <v>1</v>
      </c>
      <c r="AV242" s="27">
        <f>INDEX(Coefficients!$X$15:$X$17,MATCH(Q242,Coefficients!$W$15:$W$17))</f>
        <v>1</v>
      </c>
      <c r="AW242" s="27">
        <f t="shared" si="232"/>
        <v>1</v>
      </c>
      <c r="AX242" s="27">
        <f t="shared" si="233"/>
        <v>1</v>
      </c>
      <c r="AY242" s="27">
        <f t="shared" si="234"/>
        <v>1.3</v>
      </c>
      <c r="AZ242" s="29">
        <f t="shared" si="235"/>
        <v>43.691667048983398</v>
      </c>
      <c r="BA242" s="29">
        <f t="shared" si="236"/>
        <v>0</v>
      </c>
      <c r="BB242" s="29">
        <f t="shared" si="237"/>
        <v>2.2719666865471368</v>
      </c>
      <c r="BC242" s="29">
        <f t="shared" si="238"/>
        <v>1.7728033313452862</v>
      </c>
      <c r="BD242" s="29">
        <f t="shared" si="221"/>
        <v>0.45775319073034437</v>
      </c>
      <c r="BE242" s="16">
        <f t="shared" si="222"/>
        <v>39.923883441402225</v>
      </c>
      <c r="BF242" s="16">
        <f t="shared" si="223"/>
        <v>320.15223311719558</v>
      </c>
      <c r="BG242" s="25">
        <f t="shared" si="224"/>
        <v>0.39923883441402225</v>
      </c>
      <c r="BH242" s="29">
        <f t="shared" si="225"/>
        <v>87.832543571084898</v>
      </c>
      <c r="BI242" s="29">
        <f t="shared" si="226"/>
        <v>224.3349128578302</v>
      </c>
      <c r="BJ242" s="29">
        <f t="shared" si="227"/>
        <v>37.442340424409814</v>
      </c>
    </row>
    <row r="243" spans="2:62">
      <c r="B243" s="29" t="s">
        <v>91</v>
      </c>
      <c r="C243" s="83" t="str">
        <f>'Cooler&amp;Wetter'!$B$1</f>
        <v>MIROC-Medres</v>
      </c>
      <c r="D243" s="89">
        <v>2017</v>
      </c>
      <c r="E243" s="90">
        <f>'Cooler&amp;Wetter'!AA45</f>
        <v>35.528333333333336</v>
      </c>
      <c r="F243" s="90">
        <f>'Cooler&amp;Wetter'!AC45</f>
        <v>22.038333333333334</v>
      </c>
      <c r="G243" s="35">
        <f t="shared" si="228"/>
        <v>2005</v>
      </c>
      <c r="H243" s="91" t="str">
        <f t="shared" si="208"/>
        <v>Pile 32 @ Berth 201</v>
      </c>
      <c r="I243" s="35" t="str">
        <f t="shared" si="209"/>
        <v>Turpentine Gum</v>
      </c>
      <c r="J243" s="35" t="str">
        <f t="shared" si="210"/>
        <v>HW1</v>
      </c>
      <c r="K243" s="35" t="str">
        <f t="shared" si="229"/>
        <v>SPHU</v>
      </c>
      <c r="L243" s="35">
        <f t="shared" si="211"/>
        <v>400</v>
      </c>
      <c r="M243" s="35">
        <f t="shared" si="212"/>
        <v>20</v>
      </c>
      <c r="N243" s="35">
        <f t="shared" si="213"/>
        <v>200</v>
      </c>
      <c r="O243" s="35" t="str">
        <f t="shared" si="214"/>
        <v>MTN2</v>
      </c>
      <c r="P243" s="35" t="str">
        <f t="shared" si="215"/>
        <v>CNT2</v>
      </c>
      <c r="Q243" s="35" t="str">
        <f t="shared" si="216"/>
        <v>KNT3</v>
      </c>
      <c r="R243" s="35" t="str">
        <f t="shared" si="217"/>
        <v>E</v>
      </c>
      <c r="S243" s="35" t="str">
        <f t="shared" si="218"/>
        <v>EXP1</v>
      </c>
      <c r="T243" s="58"/>
      <c r="U243" s="58"/>
      <c r="V243" s="58"/>
      <c r="W243" s="58"/>
      <c r="X243" s="58"/>
      <c r="Y243" s="58"/>
      <c r="Z243" s="58"/>
      <c r="AA243" s="95">
        <f t="shared" si="176"/>
        <v>0.42293839654556548</v>
      </c>
      <c r="AB243" s="96">
        <f t="shared" si="230"/>
        <v>42.29383965455655</v>
      </c>
      <c r="AC243" s="58"/>
      <c r="AD243" s="58"/>
      <c r="AE243" s="58"/>
      <c r="AF243" s="58"/>
      <c r="AG243" s="58"/>
      <c r="AH243" s="58"/>
      <c r="AI243" s="58"/>
      <c r="AJ243" s="58"/>
      <c r="AK243" s="58"/>
      <c r="AL243" s="58"/>
      <c r="AM243" s="89">
        <f t="shared" si="231"/>
        <v>12</v>
      </c>
      <c r="AN243" s="30">
        <f t="shared" si="219"/>
        <v>35.528333333333336</v>
      </c>
      <c r="AO243" s="29">
        <f t="shared" si="220"/>
        <v>1.7548760722803871</v>
      </c>
      <c r="AP243" s="29">
        <f>IF((OR(R243="A",R243="B",R243="C")),INDEX(Coefficients!$S$4:$S$22,MATCH(J243,Coefficients!$R$4:$R$22)),INDEX(Coefficients!$T$4:$T$22,MATCH(J243,Coefficients!$R$4:$R$22)))</f>
        <v>1.3</v>
      </c>
      <c r="AQ243" s="27">
        <f>IF((OR(R243="A",R243="B",R243="C")),INDEX(Coefficients!$S$4:$S$22,MATCH(K243,Coefficients!$R$4:$R$22)),INDEX(Coefficients!$T$4:$T$22,MATCH(K243,Coefficients!$R$4:$R$22)))</f>
        <v>25</v>
      </c>
      <c r="AR243" s="27">
        <f>IF(OR(R243="A",R243="B",R243="C",R243="D"),IF(AN243&gt;=11,IF(AN243&gt;=26,Coefficients!$M$6,Coefficients!$M$5),Coefficients!$M$4),IF(AN243&gt;=11,IF(AN243&gt;=26,Coefficients!$N$6,Coefficients!$N$5),Coefficients!$N$4))</f>
        <v>1</v>
      </c>
      <c r="AS243" s="27">
        <f>INDEX(Coefficients!$X$3:$X$4,MATCH(S243,Coefficients!$W$3:$W$4))</f>
        <v>1</v>
      </c>
      <c r="AT243" s="27">
        <f>INDEX(Coefficients!$X$7:$X$8,MATCH(O243,Coefficients!$W$7:$W$8))</f>
        <v>1</v>
      </c>
      <c r="AU243" s="27">
        <f>INDEX(Coefficients!$X$11:$X$12,MATCH(P243,Coefficients!$W$11:$W$12))</f>
        <v>1</v>
      </c>
      <c r="AV243" s="27">
        <f>INDEX(Coefficients!$X$15:$X$17,MATCH(Q243,Coefficients!$W$15:$W$17))</f>
        <v>1</v>
      </c>
      <c r="AW243" s="27">
        <f t="shared" si="232"/>
        <v>1</v>
      </c>
      <c r="AX243" s="27">
        <f t="shared" si="233"/>
        <v>1</v>
      </c>
      <c r="AY243" s="27">
        <f t="shared" si="234"/>
        <v>1.3</v>
      </c>
      <c r="AZ243" s="29">
        <f t="shared" si="235"/>
        <v>43.871901807009678</v>
      </c>
      <c r="BA243" s="29">
        <f t="shared" si="236"/>
        <v>0</v>
      </c>
      <c r="BB243" s="29">
        <f t="shared" si="237"/>
        <v>2.2813388939645032</v>
      </c>
      <c r="BC243" s="29">
        <f t="shared" si="238"/>
        <v>1.7718661106035496</v>
      </c>
      <c r="BD243" s="29">
        <f t="shared" si="221"/>
        <v>0.45587264687040485</v>
      </c>
      <c r="BE243" s="16">
        <f t="shared" si="222"/>
        <v>42.29383965455655</v>
      </c>
      <c r="BF243" s="16">
        <f t="shared" si="223"/>
        <v>315.41232069088687</v>
      </c>
      <c r="BG243" s="25">
        <f t="shared" si="224"/>
        <v>0.42293839654556548</v>
      </c>
      <c r="BH243" s="29">
        <f t="shared" si="225"/>
        <v>93.04644724002442</v>
      </c>
      <c r="BI243" s="29">
        <f t="shared" si="226"/>
        <v>213.90710551995116</v>
      </c>
      <c r="BJ243" s="29">
        <f t="shared" si="227"/>
        <v>37.294865439812789</v>
      </c>
    </row>
    <row r="244" spans="2:62">
      <c r="B244" s="29" t="s">
        <v>91</v>
      </c>
      <c r="C244" s="83" t="str">
        <f>'Cooler&amp;Wetter'!$B$1</f>
        <v>MIROC-Medres</v>
      </c>
      <c r="D244" s="89">
        <v>2018</v>
      </c>
      <c r="E244" s="90">
        <f>'Cooler&amp;Wetter'!AA46</f>
        <v>35.53</v>
      </c>
      <c r="F244" s="90">
        <f>'Cooler&amp;Wetter'!AC46</f>
        <v>22.07</v>
      </c>
      <c r="G244" s="35">
        <f t="shared" si="228"/>
        <v>2005</v>
      </c>
      <c r="H244" s="91" t="str">
        <f t="shared" si="208"/>
        <v>Pile 32 @ Berth 201</v>
      </c>
      <c r="I244" s="35" t="str">
        <f t="shared" si="209"/>
        <v>Turpentine Gum</v>
      </c>
      <c r="J244" s="35" t="str">
        <f t="shared" si="210"/>
        <v>HW1</v>
      </c>
      <c r="K244" s="35" t="str">
        <f t="shared" si="229"/>
        <v>SPHU</v>
      </c>
      <c r="L244" s="35">
        <f t="shared" si="211"/>
        <v>400</v>
      </c>
      <c r="M244" s="35">
        <f t="shared" si="212"/>
        <v>20</v>
      </c>
      <c r="N244" s="35">
        <f t="shared" si="213"/>
        <v>200</v>
      </c>
      <c r="O244" s="35" t="str">
        <f t="shared" si="214"/>
        <v>MTN2</v>
      </c>
      <c r="P244" s="35" t="str">
        <f t="shared" si="215"/>
        <v>CNT2</v>
      </c>
      <c r="Q244" s="35" t="str">
        <f t="shared" si="216"/>
        <v>KNT3</v>
      </c>
      <c r="R244" s="35" t="str">
        <f t="shared" si="217"/>
        <v>E</v>
      </c>
      <c r="S244" s="35" t="str">
        <f t="shared" si="218"/>
        <v>EXP1</v>
      </c>
      <c r="T244" s="58"/>
      <c r="U244" s="58"/>
      <c r="V244" s="58"/>
      <c r="W244" s="58"/>
      <c r="X244" s="58"/>
      <c r="Y244" s="58"/>
      <c r="Z244" s="58"/>
      <c r="AA244" s="95">
        <f t="shared" si="176"/>
        <v>0.44683000842501358</v>
      </c>
      <c r="AB244" s="96">
        <f t="shared" si="230"/>
        <v>44.683000842501357</v>
      </c>
      <c r="AC244" s="58"/>
      <c r="AD244" s="58"/>
      <c r="AE244" s="58"/>
      <c r="AF244" s="58"/>
      <c r="AG244" s="58"/>
      <c r="AH244" s="58"/>
      <c r="AI244" s="58"/>
      <c r="AJ244" s="58"/>
      <c r="AK244" s="58"/>
      <c r="AL244" s="58"/>
      <c r="AM244" s="89">
        <f t="shared" si="231"/>
        <v>13</v>
      </c>
      <c r="AN244" s="30">
        <f t="shared" si="219"/>
        <v>35.53</v>
      </c>
      <c r="AO244" s="29">
        <f t="shared" si="220"/>
        <v>1.762115202430742</v>
      </c>
      <c r="AP244" s="29">
        <f>IF((OR(R244="A",R244="B",R244="C")),INDEX(Coefficients!$S$4:$S$22,MATCH(J244,Coefficients!$R$4:$R$22)),INDEX(Coefficients!$T$4:$T$22,MATCH(J244,Coefficients!$R$4:$R$22)))</f>
        <v>1.3</v>
      </c>
      <c r="AQ244" s="27">
        <f>IF((OR(R244="A",R244="B",R244="C")),INDEX(Coefficients!$S$4:$S$22,MATCH(K244,Coefficients!$R$4:$R$22)),INDEX(Coefficients!$T$4:$T$22,MATCH(K244,Coefficients!$R$4:$R$22)))</f>
        <v>25</v>
      </c>
      <c r="AR244" s="27">
        <f>IF(OR(R244="A",R244="B",R244="C",R244="D"),IF(AN244&gt;=11,IF(AN244&gt;=26,Coefficients!$M$6,Coefficients!$M$5),Coefficients!$M$4),IF(AN244&gt;=11,IF(AN244&gt;=26,Coefficients!$N$6,Coefficients!$N$5),Coefficients!$N$4))</f>
        <v>1</v>
      </c>
      <c r="AS244" s="27">
        <f>INDEX(Coefficients!$X$3:$X$4,MATCH(S244,Coefficients!$W$3:$W$4))</f>
        <v>1</v>
      </c>
      <c r="AT244" s="27">
        <f>INDEX(Coefficients!$X$7:$X$8,MATCH(O244,Coefficients!$W$7:$W$8))</f>
        <v>1</v>
      </c>
      <c r="AU244" s="27">
        <f>INDEX(Coefficients!$X$11:$X$12,MATCH(P244,Coefficients!$W$11:$W$12))</f>
        <v>1</v>
      </c>
      <c r="AV244" s="27">
        <f>INDEX(Coefficients!$X$15:$X$17,MATCH(Q244,Coefficients!$W$15:$W$17))</f>
        <v>1</v>
      </c>
      <c r="AW244" s="27">
        <f t="shared" si="232"/>
        <v>1</v>
      </c>
      <c r="AX244" s="27">
        <f t="shared" si="233"/>
        <v>1</v>
      </c>
      <c r="AY244" s="27">
        <f t="shared" si="234"/>
        <v>1.3</v>
      </c>
      <c r="AZ244" s="29">
        <f t="shared" si="235"/>
        <v>44.052880060768551</v>
      </c>
      <c r="BA244" s="29">
        <f t="shared" si="236"/>
        <v>0</v>
      </c>
      <c r="BB244" s="29">
        <f t="shared" si="237"/>
        <v>2.2907497631599649</v>
      </c>
      <c r="BC244" s="29">
        <f t="shared" si="238"/>
        <v>1.7709250236840035</v>
      </c>
      <c r="BD244" s="29">
        <f t="shared" si="221"/>
        <v>0.4539998286697961</v>
      </c>
      <c r="BE244" s="16">
        <f t="shared" si="222"/>
        <v>44.683000842501357</v>
      </c>
      <c r="BF244" s="16">
        <f t="shared" si="223"/>
        <v>310.63399831499726</v>
      </c>
      <c r="BG244" s="25">
        <f t="shared" si="224"/>
        <v>0.44683000842501358</v>
      </c>
      <c r="BH244" s="29">
        <f t="shared" si="225"/>
        <v>98.302601853502992</v>
      </c>
      <c r="BI244" s="29">
        <f t="shared" si="226"/>
        <v>203.39479629299402</v>
      </c>
      <c r="BJ244" s="29">
        <f t="shared" si="227"/>
        <v>37.147988596184263</v>
      </c>
    </row>
    <row r="245" spans="2:62">
      <c r="B245" s="29" t="s">
        <v>91</v>
      </c>
      <c r="C245" s="83" t="str">
        <f>'Cooler&amp;Wetter'!$B$1</f>
        <v>MIROC-Medres</v>
      </c>
      <c r="D245" s="89">
        <v>2019</v>
      </c>
      <c r="E245" s="90">
        <f>'Cooler&amp;Wetter'!AA47</f>
        <v>35.531666666666666</v>
      </c>
      <c r="F245" s="90">
        <f>'Cooler&amp;Wetter'!AC47</f>
        <v>22.101666666666667</v>
      </c>
      <c r="G245" s="35">
        <f t="shared" si="228"/>
        <v>2005</v>
      </c>
      <c r="H245" s="91" t="str">
        <f t="shared" si="208"/>
        <v>Pile 32 @ Berth 201</v>
      </c>
      <c r="I245" s="35" t="str">
        <f t="shared" si="209"/>
        <v>Turpentine Gum</v>
      </c>
      <c r="J245" s="35" t="str">
        <f t="shared" si="210"/>
        <v>HW1</v>
      </c>
      <c r="K245" s="35" t="str">
        <f t="shared" si="229"/>
        <v>SPHU</v>
      </c>
      <c r="L245" s="35">
        <f t="shared" si="211"/>
        <v>400</v>
      </c>
      <c r="M245" s="35">
        <f t="shared" si="212"/>
        <v>20</v>
      </c>
      <c r="N245" s="35">
        <f t="shared" si="213"/>
        <v>200</v>
      </c>
      <c r="O245" s="35" t="str">
        <f t="shared" si="214"/>
        <v>MTN2</v>
      </c>
      <c r="P245" s="35" t="str">
        <f t="shared" si="215"/>
        <v>CNT2</v>
      </c>
      <c r="Q245" s="35" t="str">
        <f t="shared" si="216"/>
        <v>KNT3</v>
      </c>
      <c r="R245" s="35" t="str">
        <f t="shared" si="217"/>
        <v>E</v>
      </c>
      <c r="S245" s="35" t="str">
        <f t="shared" si="218"/>
        <v>EXP1</v>
      </c>
      <c r="T245" s="58"/>
      <c r="U245" s="58"/>
      <c r="V245" s="58"/>
      <c r="W245" s="58"/>
      <c r="X245" s="58"/>
      <c r="Y245" s="58"/>
      <c r="Z245" s="58"/>
      <c r="AA245" s="95">
        <f t="shared" si="176"/>
        <v>0.47091485196073718</v>
      </c>
      <c r="AB245" s="96">
        <f t="shared" si="230"/>
        <v>47.09148519607372</v>
      </c>
      <c r="AC245" s="58"/>
      <c r="AD245" s="58"/>
      <c r="AE245" s="58"/>
      <c r="AF245" s="58"/>
      <c r="AG245" s="58"/>
      <c r="AH245" s="58"/>
      <c r="AI245" s="58"/>
      <c r="AJ245" s="58"/>
      <c r="AK245" s="58"/>
      <c r="AL245" s="58"/>
      <c r="AM245" s="89">
        <f t="shared" si="231"/>
        <v>14</v>
      </c>
      <c r="AN245" s="30">
        <f t="shared" si="219"/>
        <v>35.531666666666666</v>
      </c>
      <c r="AO245" s="29">
        <f t="shared" si="220"/>
        <v>1.7693841950917115</v>
      </c>
      <c r="AP245" s="29">
        <f>IF((OR(R245="A",R245="B",R245="C")),INDEX(Coefficients!$S$4:$S$22,MATCH(J245,Coefficients!$R$4:$R$22)),INDEX(Coefficients!$T$4:$T$22,MATCH(J245,Coefficients!$R$4:$R$22)))</f>
        <v>1.3</v>
      </c>
      <c r="AQ245" s="27">
        <f>IF((OR(R245="A",R245="B",R245="C")),INDEX(Coefficients!$S$4:$S$22,MATCH(K245,Coefficients!$R$4:$R$22)),INDEX(Coefficients!$T$4:$T$22,MATCH(K245,Coefficients!$R$4:$R$22)))</f>
        <v>25</v>
      </c>
      <c r="AR245" s="27">
        <f>IF(OR(R245="A",R245="B",R245="C",R245="D"),IF(AN245&gt;=11,IF(AN245&gt;=26,Coefficients!$M$6,Coefficients!$M$5),Coefficients!$M$4),IF(AN245&gt;=11,IF(AN245&gt;=26,Coefficients!$N$6,Coefficients!$N$5),Coefficients!$N$4))</f>
        <v>1</v>
      </c>
      <c r="AS245" s="27">
        <f>INDEX(Coefficients!$X$3:$X$4,MATCH(S245,Coefficients!$W$3:$W$4))</f>
        <v>1</v>
      </c>
      <c r="AT245" s="27">
        <f>INDEX(Coefficients!$X$7:$X$8,MATCH(O245,Coefficients!$W$7:$W$8))</f>
        <v>1</v>
      </c>
      <c r="AU245" s="27">
        <f>INDEX(Coefficients!$X$11:$X$12,MATCH(P245,Coefficients!$W$11:$W$12))</f>
        <v>1</v>
      </c>
      <c r="AV245" s="27">
        <f>INDEX(Coefficients!$X$15:$X$17,MATCH(Q245,Coefficients!$W$15:$W$17))</f>
        <v>1</v>
      </c>
      <c r="AW245" s="27">
        <f t="shared" si="232"/>
        <v>1</v>
      </c>
      <c r="AX245" s="27">
        <f t="shared" si="233"/>
        <v>1</v>
      </c>
      <c r="AY245" s="27">
        <f t="shared" si="234"/>
        <v>1.3</v>
      </c>
      <c r="AZ245" s="29">
        <f t="shared" si="235"/>
        <v>44.234604877292789</v>
      </c>
      <c r="BA245" s="29">
        <f t="shared" si="236"/>
        <v>0</v>
      </c>
      <c r="BB245" s="29">
        <f t="shared" si="237"/>
        <v>2.300199453619225</v>
      </c>
      <c r="BC245" s="29">
        <f t="shared" si="238"/>
        <v>1.7699800546380775</v>
      </c>
      <c r="BD245" s="29">
        <f t="shared" si="221"/>
        <v>0.45213470438992703</v>
      </c>
      <c r="BE245" s="16">
        <f t="shared" si="222"/>
        <v>47.09148519607372</v>
      </c>
      <c r="BF245" s="16">
        <f t="shared" si="223"/>
        <v>305.81702960785253</v>
      </c>
      <c r="BG245" s="25">
        <f t="shared" si="224"/>
        <v>0.47091485196073718</v>
      </c>
      <c r="BH245" s="29">
        <f t="shared" si="225"/>
        <v>103.60126743136219</v>
      </c>
      <c r="BI245" s="29">
        <f t="shared" si="226"/>
        <v>192.79746513727562</v>
      </c>
      <c r="BJ245" s="29">
        <f t="shared" si="227"/>
        <v>37.001707404407007</v>
      </c>
    </row>
    <row r="246" spans="2:62">
      <c r="B246" s="29" t="s">
        <v>91</v>
      </c>
      <c r="C246" s="83" t="str">
        <f>'Cooler&amp;Wetter'!$B$1</f>
        <v>MIROC-Medres</v>
      </c>
      <c r="D246" s="89">
        <v>2020</v>
      </c>
      <c r="E246" s="90">
        <f>'Cooler&amp;Wetter'!AA48</f>
        <v>35.533333333333331</v>
      </c>
      <c r="F246" s="90">
        <f>'Cooler&amp;Wetter'!AC48</f>
        <v>22.133333333333333</v>
      </c>
      <c r="G246" s="35">
        <f t="shared" si="228"/>
        <v>2005</v>
      </c>
      <c r="H246" s="91" t="str">
        <f t="shared" si="208"/>
        <v>Pile 32 @ Berth 201</v>
      </c>
      <c r="I246" s="35" t="str">
        <f t="shared" si="209"/>
        <v>Turpentine Gum</v>
      </c>
      <c r="J246" s="35" t="str">
        <f t="shared" si="210"/>
        <v>HW1</v>
      </c>
      <c r="K246" s="35" t="str">
        <f t="shared" si="229"/>
        <v>SPHU</v>
      </c>
      <c r="L246" s="35">
        <f t="shared" si="211"/>
        <v>400</v>
      </c>
      <c r="M246" s="35">
        <f t="shared" si="212"/>
        <v>20</v>
      </c>
      <c r="N246" s="35">
        <f t="shared" si="213"/>
        <v>200</v>
      </c>
      <c r="O246" s="35" t="str">
        <f t="shared" si="214"/>
        <v>MTN2</v>
      </c>
      <c r="P246" s="35" t="str">
        <f t="shared" si="215"/>
        <v>CNT2</v>
      </c>
      <c r="Q246" s="35" t="str">
        <f t="shared" si="216"/>
        <v>KNT3</v>
      </c>
      <c r="R246" s="35" t="str">
        <f t="shared" si="217"/>
        <v>E</v>
      </c>
      <c r="S246" s="35" t="str">
        <f t="shared" si="218"/>
        <v>EXP1</v>
      </c>
      <c r="T246" s="58"/>
      <c r="U246" s="58"/>
      <c r="V246" s="58"/>
      <c r="W246" s="58"/>
      <c r="X246" s="58"/>
      <c r="Y246" s="58"/>
      <c r="Z246" s="58"/>
      <c r="AA246" s="95">
        <f t="shared" si="176"/>
        <v>0.4951941155501759</v>
      </c>
      <c r="AB246" s="96">
        <f t="shared" si="230"/>
        <v>49.519411555017591</v>
      </c>
      <c r="AC246" s="58"/>
      <c r="AD246" s="58"/>
      <c r="AE246" s="58"/>
      <c r="AF246" s="58"/>
      <c r="AG246" s="58"/>
      <c r="AH246" s="58"/>
      <c r="AI246" s="58"/>
      <c r="AJ246" s="58"/>
      <c r="AK246" s="58"/>
      <c r="AL246" s="58"/>
      <c r="AM246" s="89">
        <f t="shared" si="231"/>
        <v>15</v>
      </c>
      <c r="AN246" s="30">
        <f t="shared" si="219"/>
        <v>35.533333333333331</v>
      </c>
      <c r="AO246" s="29">
        <f t="shared" si="220"/>
        <v>1.7766831734506825</v>
      </c>
      <c r="AP246" s="29">
        <f>IF((OR(R246="A",R246="B",R246="C")),INDEX(Coefficients!$S$4:$S$22,MATCH(J246,Coefficients!$R$4:$R$22)),INDEX(Coefficients!$T$4:$T$22,MATCH(J246,Coefficients!$R$4:$R$22)))</f>
        <v>1.3</v>
      </c>
      <c r="AQ246" s="27">
        <f>IF((OR(R246="A",R246="B",R246="C")),INDEX(Coefficients!$S$4:$S$22,MATCH(K246,Coefficients!$R$4:$R$22)),INDEX(Coefficients!$T$4:$T$22,MATCH(K246,Coefficients!$R$4:$R$22)))</f>
        <v>25</v>
      </c>
      <c r="AR246" s="27">
        <f>IF(OR(R246="A",R246="B",R246="C",R246="D"),IF(AN246&gt;=11,IF(AN246&gt;=26,Coefficients!$M$6,Coefficients!$M$5),Coefficients!$M$4),IF(AN246&gt;=11,IF(AN246&gt;=26,Coefficients!$N$6,Coefficients!$N$5),Coefficients!$N$4))</f>
        <v>1</v>
      </c>
      <c r="AS246" s="27">
        <f>INDEX(Coefficients!$X$3:$X$4,MATCH(S246,Coefficients!$W$3:$W$4))</f>
        <v>1</v>
      </c>
      <c r="AT246" s="27">
        <f>INDEX(Coefficients!$X$7:$X$8,MATCH(O246,Coefficients!$W$7:$W$8))</f>
        <v>1</v>
      </c>
      <c r="AU246" s="27">
        <f>INDEX(Coefficients!$X$11:$X$12,MATCH(P246,Coefficients!$W$11:$W$12))</f>
        <v>1</v>
      </c>
      <c r="AV246" s="27">
        <f>INDEX(Coefficients!$X$15:$X$17,MATCH(Q246,Coefficients!$W$15:$W$17))</f>
        <v>1</v>
      </c>
      <c r="AW246" s="27">
        <f t="shared" si="232"/>
        <v>1</v>
      </c>
      <c r="AX246" s="27">
        <f t="shared" si="233"/>
        <v>1</v>
      </c>
      <c r="AY246" s="27">
        <f t="shared" si="234"/>
        <v>1.3</v>
      </c>
      <c r="AZ246" s="29">
        <f t="shared" si="235"/>
        <v>44.417079336267065</v>
      </c>
      <c r="BA246" s="29">
        <f t="shared" si="236"/>
        <v>0</v>
      </c>
      <c r="BB246" s="29">
        <f t="shared" si="237"/>
        <v>2.3096881254858874</v>
      </c>
      <c r="BC246" s="29">
        <f t="shared" si="238"/>
        <v>1.7690311874514113</v>
      </c>
      <c r="BD246" s="29">
        <f t="shared" si="221"/>
        <v>0.45027724242259587</v>
      </c>
      <c r="BE246" s="16">
        <f t="shared" si="222"/>
        <v>49.519411555017591</v>
      </c>
      <c r="BF246" s="16">
        <f t="shared" si="223"/>
        <v>300.9611768899648</v>
      </c>
      <c r="BG246" s="25">
        <f t="shared" si="224"/>
        <v>0.4951941155501759</v>
      </c>
      <c r="BH246" s="29">
        <f t="shared" si="225"/>
        <v>108.94270542103871</v>
      </c>
      <c r="BI246" s="29">
        <f t="shared" si="226"/>
        <v>182.11458915792258</v>
      </c>
      <c r="BJ246" s="29">
        <f t="shared" si="227"/>
        <v>36.856019385458303</v>
      </c>
    </row>
    <row r="247" spans="2:62">
      <c r="B247" s="29" t="s">
        <v>91</v>
      </c>
      <c r="C247" s="83" t="str">
        <f>'Cooler&amp;Wetter'!$B$1</f>
        <v>MIROC-Medres</v>
      </c>
      <c r="D247" s="89">
        <v>2021</v>
      </c>
      <c r="E247" s="90">
        <f>'Cooler&amp;Wetter'!AA49</f>
        <v>35.534999999999997</v>
      </c>
      <c r="F247" s="90">
        <f>'Cooler&amp;Wetter'!AC49</f>
        <v>22.164999999999999</v>
      </c>
      <c r="G247" s="35">
        <f t="shared" si="228"/>
        <v>2005</v>
      </c>
      <c r="H247" s="91" t="str">
        <f t="shared" si="208"/>
        <v>Pile 32 @ Berth 201</v>
      </c>
      <c r="I247" s="35" t="str">
        <f t="shared" si="209"/>
        <v>Turpentine Gum</v>
      </c>
      <c r="J247" s="35" t="str">
        <f t="shared" si="210"/>
        <v>HW1</v>
      </c>
      <c r="K247" s="35" t="str">
        <f t="shared" si="229"/>
        <v>SPHU</v>
      </c>
      <c r="L247" s="35">
        <f t="shared" si="211"/>
        <v>400</v>
      </c>
      <c r="M247" s="35">
        <f t="shared" si="212"/>
        <v>20</v>
      </c>
      <c r="N247" s="35">
        <f t="shared" si="213"/>
        <v>200</v>
      </c>
      <c r="O247" s="35" t="str">
        <f t="shared" si="214"/>
        <v>MTN2</v>
      </c>
      <c r="P247" s="35" t="str">
        <f t="shared" si="215"/>
        <v>CNT2</v>
      </c>
      <c r="Q247" s="35" t="str">
        <f t="shared" si="216"/>
        <v>KNT3</v>
      </c>
      <c r="R247" s="35" t="str">
        <f t="shared" si="217"/>
        <v>E</v>
      </c>
      <c r="S247" s="35" t="str">
        <f t="shared" si="218"/>
        <v>EXP1</v>
      </c>
      <c r="T247" s="58"/>
      <c r="U247" s="58"/>
      <c r="V247" s="58"/>
      <c r="W247" s="58"/>
      <c r="X247" s="58"/>
      <c r="Y247" s="58"/>
      <c r="Z247" s="58"/>
      <c r="AA247" s="95">
        <f t="shared" si="176"/>
        <v>0.51966899411331302</v>
      </c>
      <c r="AB247" s="96">
        <f t="shared" si="230"/>
        <v>51.966899411331298</v>
      </c>
      <c r="AC247" s="58"/>
      <c r="AD247" s="58"/>
      <c r="AE247" s="58"/>
      <c r="AF247" s="58"/>
      <c r="AG247" s="58"/>
      <c r="AH247" s="58"/>
      <c r="AI247" s="58"/>
      <c r="AJ247" s="58"/>
      <c r="AK247" s="58"/>
      <c r="AL247" s="58"/>
      <c r="AM247" s="89">
        <f t="shared" si="231"/>
        <v>16</v>
      </c>
      <c r="AN247" s="30">
        <f t="shared" si="219"/>
        <v>35.534999999999997</v>
      </c>
      <c r="AO247" s="29">
        <f t="shared" si="220"/>
        <v>1.7840122612032108</v>
      </c>
      <c r="AP247" s="29">
        <f>IF((OR(R247="A",R247="B",R247="C")),INDEX(Coefficients!$S$4:$S$22,MATCH(J247,Coefficients!$R$4:$R$22)),INDEX(Coefficients!$T$4:$T$22,MATCH(J247,Coefficients!$R$4:$R$22)))</f>
        <v>1.3</v>
      </c>
      <c r="AQ247" s="27">
        <f>IF((OR(R247="A",R247="B",R247="C")),INDEX(Coefficients!$S$4:$S$22,MATCH(K247,Coefficients!$R$4:$R$22)),INDEX(Coefficients!$T$4:$T$22,MATCH(K247,Coefficients!$R$4:$R$22)))</f>
        <v>25</v>
      </c>
      <c r="AR247" s="27">
        <f>IF(OR(R247="A",R247="B",R247="C",R247="D"),IF(AN247&gt;=11,IF(AN247&gt;=26,Coefficients!$M$6,Coefficients!$M$5),Coefficients!$M$4),IF(AN247&gt;=11,IF(AN247&gt;=26,Coefficients!$N$6,Coefficients!$N$5),Coefficients!$N$4))</f>
        <v>1</v>
      </c>
      <c r="AS247" s="27">
        <f>INDEX(Coefficients!$X$3:$X$4,MATCH(S247,Coefficients!$W$3:$W$4))</f>
        <v>1</v>
      </c>
      <c r="AT247" s="27">
        <f>INDEX(Coefficients!$X$7:$X$8,MATCH(O247,Coefficients!$W$7:$W$8))</f>
        <v>1</v>
      </c>
      <c r="AU247" s="27">
        <f>INDEX(Coefficients!$X$11:$X$12,MATCH(P247,Coefficients!$W$11:$W$12))</f>
        <v>1</v>
      </c>
      <c r="AV247" s="27">
        <f>INDEX(Coefficients!$X$15:$X$17,MATCH(Q247,Coefficients!$W$15:$W$17))</f>
        <v>1</v>
      </c>
      <c r="AW247" s="27">
        <f t="shared" si="232"/>
        <v>1</v>
      </c>
      <c r="AX247" s="27">
        <f t="shared" si="233"/>
        <v>1</v>
      </c>
      <c r="AY247" s="27">
        <f t="shared" si="234"/>
        <v>1.3</v>
      </c>
      <c r="AZ247" s="29">
        <f t="shared" si="235"/>
        <v>44.600306530080267</v>
      </c>
      <c r="BA247" s="29">
        <f t="shared" si="236"/>
        <v>0</v>
      </c>
      <c r="BB247" s="29">
        <f t="shared" si="237"/>
        <v>2.3192159395641743</v>
      </c>
      <c r="BC247" s="29">
        <f t="shared" si="238"/>
        <v>1.7680784060435826</v>
      </c>
      <c r="BD247" s="29">
        <f t="shared" si="221"/>
        <v>0.44842741128945346</v>
      </c>
      <c r="BE247" s="16">
        <f t="shared" si="222"/>
        <v>51.966899411331298</v>
      </c>
      <c r="BF247" s="16">
        <f t="shared" si="223"/>
        <v>296.0662011773374</v>
      </c>
      <c r="BG247" s="25">
        <f t="shared" si="224"/>
        <v>0.51966899411331302</v>
      </c>
      <c r="BH247" s="29">
        <f t="shared" si="225"/>
        <v>114.32717870492887</v>
      </c>
      <c r="BI247" s="29">
        <f t="shared" si="226"/>
        <v>171.34564259014226</v>
      </c>
      <c r="BJ247" s="29">
        <f t="shared" si="227"/>
        <v>36.710922070367914</v>
      </c>
    </row>
    <row r="248" spans="2:62">
      <c r="B248" s="29" t="s">
        <v>91</v>
      </c>
      <c r="C248" s="83" t="str">
        <f>'Cooler&amp;Wetter'!$B$1</f>
        <v>MIROC-Medres</v>
      </c>
      <c r="D248" s="89">
        <v>2022</v>
      </c>
      <c r="E248" s="90">
        <f>'Cooler&amp;Wetter'!AA50</f>
        <v>35.536666666666669</v>
      </c>
      <c r="F248" s="90">
        <f>'Cooler&amp;Wetter'!AC50</f>
        <v>22.196666666666665</v>
      </c>
      <c r="G248" s="35">
        <f t="shared" si="228"/>
        <v>2005</v>
      </c>
      <c r="H248" s="91" t="str">
        <f t="shared" si="208"/>
        <v>Pile 32 @ Berth 201</v>
      </c>
      <c r="I248" s="35" t="str">
        <f t="shared" si="209"/>
        <v>Turpentine Gum</v>
      </c>
      <c r="J248" s="35" t="str">
        <f t="shared" si="210"/>
        <v>HW1</v>
      </c>
      <c r="K248" s="35" t="str">
        <f t="shared" si="229"/>
        <v>SPHU</v>
      </c>
      <c r="L248" s="35">
        <f t="shared" si="211"/>
        <v>400</v>
      </c>
      <c r="M248" s="35">
        <f t="shared" si="212"/>
        <v>20</v>
      </c>
      <c r="N248" s="35">
        <f t="shared" si="213"/>
        <v>200</v>
      </c>
      <c r="O248" s="35" t="str">
        <f t="shared" si="214"/>
        <v>MTN2</v>
      </c>
      <c r="P248" s="35" t="str">
        <f t="shared" si="215"/>
        <v>CNT2</v>
      </c>
      <c r="Q248" s="35" t="str">
        <f t="shared" si="216"/>
        <v>KNT3</v>
      </c>
      <c r="R248" s="35" t="str">
        <f t="shared" si="217"/>
        <v>E</v>
      </c>
      <c r="S248" s="35" t="str">
        <f t="shared" si="218"/>
        <v>EXP1</v>
      </c>
      <c r="T248" s="58"/>
      <c r="U248" s="58"/>
      <c r="V248" s="58"/>
      <c r="W248" s="58"/>
      <c r="X248" s="58"/>
      <c r="Y248" s="58"/>
      <c r="Z248" s="58"/>
      <c r="AA248" s="95">
        <f t="shared" si="176"/>
        <v>0.54434068912631584</v>
      </c>
      <c r="AB248" s="96">
        <f t="shared" si="230"/>
        <v>54.434068912631581</v>
      </c>
      <c r="AC248" s="58"/>
      <c r="AD248" s="58"/>
      <c r="AE248" s="58"/>
      <c r="AF248" s="58"/>
      <c r="AG248" s="58"/>
      <c r="AH248" s="58"/>
      <c r="AI248" s="58"/>
      <c r="AJ248" s="58"/>
      <c r="AK248" s="58"/>
      <c r="AL248" s="58"/>
      <c r="AM248" s="89">
        <f t="shared" si="231"/>
        <v>17</v>
      </c>
      <c r="AN248" s="30">
        <f t="shared" si="219"/>
        <v>35.536666666666669</v>
      </c>
      <c r="AO248" s="29">
        <f t="shared" si="220"/>
        <v>1.7913715825551151</v>
      </c>
      <c r="AP248" s="29">
        <f>IF((OR(R248="A",R248="B",R248="C")),INDEX(Coefficients!$S$4:$S$22,MATCH(J248,Coefficients!$R$4:$R$22)),INDEX(Coefficients!$T$4:$T$22,MATCH(J248,Coefficients!$R$4:$R$22)))</f>
        <v>1.3</v>
      </c>
      <c r="AQ248" s="27">
        <f>IF((OR(R248="A",R248="B",R248="C")),INDEX(Coefficients!$S$4:$S$22,MATCH(K248,Coefficients!$R$4:$R$22)),INDEX(Coefficients!$T$4:$T$22,MATCH(K248,Coefficients!$R$4:$R$22)))</f>
        <v>25</v>
      </c>
      <c r="AR248" s="27">
        <f>IF(OR(R248="A",R248="B",R248="C",R248="D"),IF(AN248&gt;=11,IF(AN248&gt;=26,Coefficients!$M$6,Coefficients!$M$5),Coefficients!$M$4),IF(AN248&gt;=11,IF(AN248&gt;=26,Coefficients!$N$6,Coefficients!$N$5),Coefficients!$N$4))</f>
        <v>1</v>
      </c>
      <c r="AS248" s="27">
        <f>INDEX(Coefficients!$X$3:$X$4,MATCH(S248,Coefficients!$W$3:$W$4))</f>
        <v>1</v>
      </c>
      <c r="AT248" s="27">
        <f>INDEX(Coefficients!$X$7:$X$8,MATCH(O248,Coefficients!$W$7:$W$8))</f>
        <v>1</v>
      </c>
      <c r="AU248" s="27">
        <f>INDEX(Coefficients!$X$11:$X$12,MATCH(P248,Coefficients!$W$11:$W$12))</f>
        <v>1</v>
      </c>
      <c r="AV248" s="27">
        <f>INDEX(Coefficients!$X$15:$X$17,MATCH(Q248,Coefficients!$W$15:$W$17))</f>
        <v>1</v>
      </c>
      <c r="AW248" s="27">
        <f t="shared" si="232"/>
        <v>1</v>
      </c>
      <c r="AX248" s="27">
        <f t="shared" si="233"/>
        <v>1</v>
      </c>
      <c r="AY248" s="27">
        <f t="shared" si="234"/>
        <v>1.3</v>
      </c>
      <c r="AZ248" s="29">
        <f t="shared" si="235"/>
        <v>44.784289563877877</v>
      </c>
      <c r="BA248" s="29">
        <f t="shared" si="236"/>
        <v>0</v>
      </c>
      <c r="BB248" s="29">
        <f t="shared" si="237"/>
        <v>2.3287830573216497</v>
      </c>
      <c r="BC248" s="29">
        <f t="shared" si="238"/>
        <v>1.7671216942678349</v>
      </c>
      <c r="BD248" s="29">
        <f t="shared" si="221"/>
        <v>0.44658517964146971</v>
      </c>
      <c r="BE248" s="16">
        <f t="shared" si="222"/>
        <v>54.434068912631581</v>
      </c>
      <c r="BF248" s="16">
        <f t="shared" si="223"/>
        <v>291.13186217473685</v>
      </c>
      <c r="BG248" s="25">
        <f t="shared" si="224"/>
        <v>0.54434068912631584</v>
      </c>
      <c r="BH248" s="29">
        <f t="shared" si="225"/>
        <v>119.75495160778949</v>
      </c>
      <c r="BI248" s="29">
        <f t="shared" si="226"/>
        <v>160.49009678442101</v>
      </c>
      <c r="BJ248" s="29">
        <f t="shared" si="227"/>
        <v>36.566413000176205</v>
      </c>
    </row>
    <row r="249" spans="2:62">
      <c r="B249" s="29" t="s">
        <v>91</v>
      </c>
      <c r="C249" s="83" t="str">
        <f>'Cooler&amp;Wetter'!$B$1</f>
        <v>MIROC-Medres</v>
      </c>
      <c r="D249" s="89">
        <v>2023</v>
      </c>
      <c r="E249" s="90">
        <f>'Cooler&amp;Wetter'!AA51</f>
        <v>35.538333333333334</v>
      </c>
      <c r="F249" s="90">
        <f>'Cooler&amp;Wetter'!AC51</f>
        <v>22.228333333333332</v>
      </c>
      <c r="G249" s="35">
        <f t="shared" si="228"/>
        <v>2005</v>
      </c>
      <c r="H249" s="91" t="str">
        <f t="shared" si="208"/>
        <v>Pile 32 @ Berth 201</v>
      </c>
      <c r="I249" s="35" t="str">
        <f t="shared" si="209"/>
        <v>Turpentine Gum</v>
      </c>
      <c r="J249" s="35" t="str">
        <f t="shared" si="210"/>
        <v>HW1</v>
      </c>
      <c r="K249" s="35" t="str">
        <f t="shared" si="229"/>
        <v>SPHU</v>
      </c>
      <c r="L249" s="35">
        <f t="shared" si="211"/>
        <v>400</v>
      </c>
      <c r="M249" s="35">
        <f t="shared" si="212"/>
        <v>20</v>
      </c>
      <c r="N249" s="35">
        <f t="shared" si="213"/>
        <v>200</v>
      </c>
      <c r="O249" s="35" t="str">
        <f t="shared" si="214"/>
        <v>MTN2</v>
      </c>
      <c r="P249" s="35" t="str">
        <f t="shared" si="215"/>
        <v>CNT2</v>
      </c>
      <c r="Q249" s="35" t="str">
        <f t="shared" si="216"/>
        <v>KNT3</v>
      </c>
      <c r="R249" s="35" t="str">
        <f t="shared" si="217"/>
        <v>E</v>
      </c>
      <c r="S249" s="35" t="str">
        <f t="shared" si="218"/>
        <v>EXP1</v>
      </c>
      <c r="T249" s="58"/>
      <c r="U249" s="58"/>
      <c r="V249" s="58"/>
      <c r="W249" s="58"/>
      <c r="X249" s="58"/>
      <c r="Y249" s="58"/>
      <c r="Z249" s="58"/>
      <c r="AA249" s="95">
        <f t="shared" si="176"/>
        <v>0.56921040865534378</v>
      </c>
      <c r="AB249" s="96">
        <f t="shared" si="230"/>
        <v>56.92104086553438</v>
      </c>
      <c r="AC249" s="58"/>
      <c r="AD249" s="58"/>
      <c r="AE249" s="58"/>
      <c r="AF249" s="58"/>
      <c r="AG249" s="58"/>
      <c r="AH249" s="58"/>
      <c r="AI249" s="58"/>
      <c r="AJ249" s="58"/>
      <c r="AK249" s="58"/>
      <c r="AL249" s="58"/>
      <c r="AM249" s="89">
        <f t="shared" si="231"/>
        <v>18</v>
      </c>
      <c r="AN249" s="30">
        <f t="shared" si="219"/>
        <v>35.538333333333334</v>
      </c>
      <c r="AO249" s="29">
        <f t="shared" si="220"/>
        <v>1.7987612622245817</v>
      </c>
      <c r="AP249" s="29">
        <f>IF((OR(R249="A",R249="B",R249="C")),INDEX(Coefficients!$S$4:$S$22,MATCH(J249,Coefficients!$R$4:$R$22)),INDEX(Coefficients!$T$4:$T$22,MATCH(J249,Coefficients!$R$4:$R$22)))</f>
        <v>1.3</v>
      </c>
      <c r="AQ249" s="27">
        <f>IF((OR(R249="A",R249="B",R249="C")),INDEX(Coefficients!$S$4:$S$22,MATCH(K249,Coefficients!$R$4:$R$22)),INDEX(Coefficients!$T$4:$T$22,MATCH(K249,Coefficients!$R$4:$R$22)))</f>
        <v>25</v>
      </c>
      <c r="AR249" s="27">
        <f>IF(OR(R249="A",R249="B",R249="C",R249="D"),IF(AN249&gt;=11,IF(AN249&gt;=26,Coefficients!$M$6,Coefficients!$M$5),Coefficients!$M$4),IF(AN249&gt;=11,IF(AN249&gt;=26,Coefficients!$N$6,Coefficients!$N$5),Coefficients!$N$4))</f>
        <v>1</v>
      </c>
      <c r="AS249" s="27">
        <f>INDEX(Coefficients!$X$3:$X$4,MATCH(S249,Coefficients!$W$3:$W$4))</f>
        <v>1</v>
      </c>
      <c r="AT249" s="27">
        <f>INDEX(Coefficients!$X$7:$X$8,MATCH(O249,Coefficients!$W$7:$W$8))</f>
        <v>1</v>
      </c>
      <c r="AU249" s="27">
        <f>INDEX(Coefficients!$X$11:$X$12,MATCH(P249,Coefficients!$W$11:$W$12))</f>
        <v>1</v>
      </c>
      <c r="AV249" s="27">
        <f>INDEX(Coefficients!$X$15:$X$17,MATCH(Q249,Coefficients!$W$15:$W$17))</f>
        <v>1</v>
      </c>
      <c r="AW249" s="27">
        <f t="shared" si="232"/>
        <v>1</v>
      </c>
      <c r="AX249" s="27">
        <f t="shared" si="233"/>
        <v>1</v>
      </c>
      <c r="AY249" s="27">
        <f t="shared" si="234"/>
        <v>1.3</v>
      </c>
      <c r="AZ249" s="29">
        <f t="shared" si="235"/>
        <v>44.969031555614542</v>
      </c>
      <c r="BA249" s="29">
        <f t="shared" si="236"/>
        <v>0</v>
      </c>
      <c r="BB249" s="29">
        <f t="shared" si="237"/>
        <v>2.3383896408919562</v>
      </c>
      <c r="BC249" s="29">
        <f t="shared" si="238"/>
        <v>1.7661610359108044</v>
      </c>
      <c r="BD249" s="29">
        <f t="shared" si="221"/>
        <v>0.44475051625840339</v>
      </c>
      <c r="BE249" s="16">
        <f t="shared" si="222"/>
        <v>56.92104086553438</v>
      </c>
      <c r="BF249" s="16">
        <f t="shared" si="223"/>
        <v>286.15791826893121</v>
      </c>
      <c r="BG249" s="25">
        <f t="shared" si="224"/>
        <v>0.56921040865534378</v>
      </c>
      <c r="BH249" s="29">
        <f t="shared" si="225"/>
        <v>125.22628990417564</v>
      </c>
      <c r="BI249" s="29">
        <f t="shared" si="226"/>
        <v>149.54742019164871</v>
      </c>
      <c r="BJ249" s="29">
        <f t="shared" si="227"/>
        <v>36.422489725892547</v>
      </c>
    </row>
    <row r="250" spans="2:62">
      <c r="B250" s="29" t="s">
        <v>91</v>
      </c>
      <c r="C250" s="83" t="str">
        <f>'Cooler&amp;Wetter'!$B$1</f>
        <v>MIROC-Medres</v>
      </c>
      <c r="D250" s="89">
        <v>2024</v>
      </c>
      <c r="E250" s="90">
        <f>'Cooler&amp;Wetter'!AA52</f>
        <v>35.54</v>
      </c>
      <c r="F250" s="90">
        <f>'Cooler&amp;Wetter'!AC52</f>
        <v>22.259999999999998</v>
      </c>
      <c r="G250" s="35">
        <f t="shared" si="228"/>
        <v>2005</v>
      </c>
      <c r="H250" s="91" t="str">
        <f t="shared" si="208"/>
        <v>Pile 32 @ Berth 201</v>
      </c>
      <c r="I250" s="35" t="str">
        <f t="shared" si="209"/>
        <v>Turpentine Gum</v>
      </c>
      <c r="J250" s="35" t="str">
        <f t="shared" si="210"/>
        <v>HW1</v>
      </c>
      <c r="K250" s="35" t="str">
        <f t="shared" si="229"/>
        <v>SPHU</v>
      </c>
      <c r="L250" s="35">
        <f t="shared" si="211"/>
        <v>400</v>
      </c>
      <c r="M250" s="35">
        <f t="shared" si="212"/>
        <v>20</v>
      </c>
      <c r="N250" s="35">
        <f t="shared" si="213"/>
        <v>200</v>
      </c>
      <c r="O250" s="35" t="str">
        <f t="shared" si="214"/>
        <v>MTN2</v>
      </c>
      <c r="P250" s="35" t="str">
        <f t="shared" si="215"/>
        <v>CNT2</v>
      </c>
      <c r="Q250" s="35" t="str">
        <f t="shared" si="216"/>
        <v>KNT3</v>
      </c>
      <c r="R250" s="35" t="str">
        <f t="shared" si="217"/>
        <v>E</v>
      </c>
      <c r="S250" s="35" t="str">
        <f t="shared" si="218"/>
        <v>EXP1</v>
      </c>
      <c r="T250" s="58"/>
      <c r="U250" s="58"/>
      <c r="V250" s="58"/>
      <c r="W250" s="58"/>
      <c r="X250" s="58"/>
      <c r="Y250" s="58"/>
      <c r="Z250" s="58"/>
      <c r="AA250" s="95">
        <f t="shared" si="176"/>
        <v>0.59427936739052323</v>
      </c>
      <c r="AB250" s="96">
        <f t="shared" si="230"/>
        <v>59.427936739052328</v>
      </c>
      <c r="AC250" s="58"/>
      <c r="AD250" s="58"/>
      <c r="AE250" s="58"/>
      <c r="AF250" s="58"/>
      <c r="AG250" s="58"/>
      <c r="AH250" s="58"/>
      <c r="AI250" s="58"/>
      <c r="AJ250" s="58"/>
      <c r="AK250" s="58"/>
      <c r="AL250" s="58"/>
      <c r="AM250" s="89">
        <f t="shared" si="231"/>
        <v>19</v>
      </c>
      <c r="AN250" s="30">
        <f t="shared" si="219"/>
        <v>35.54</v>
      </c>
      <c r="AO250" s="29">
        <f t="shared" si="220"/>
        <v>1.8061814254442785</v>
      </c>
      <c r="AP250" s="29">
        <f>IF((OR(R250="A",R250="B",R250="C")),INDEX(Coefficients!$S$4:$S$22,MATCH(J250,Coefficients!$R$4:$R$22)),INDEX(Coefficients!$T$4:$T$22,MATCH(J250,Coefficients!$R$4:$R$22)))</f>
        <v>1.3</v>
      </c>
      <c r="AQ250" s="27">
        <f>IF((OR(R250="A",R250="B",R250="C")),INDEX(Coefficients!$S$4:$S$22,MATCH(K250,Coefficients!$R$4:$R$22)),INDEX(Coefficients!$T$4:$T$22,MATCH(K250,Coefficients!$R$4:$R$22)))</f>
        <v>25</v>
      </c>
      <c r="AR250" s="27">
        <f>IF(OR(R250="A",R250="B",R250="C",R250="D"),IF(AN250&gt;=11,IF(AN250&gt;=26,Coefficients!$M$6,Coefficients!$M$5),Coefficients!$M$4),IF(AN250&gt;=11,IF(AN250&gt;=26,Coefficients!$N$6,Coefficients!$N$5),Coefficients!$N$4))</f>
        <v>1</v>
      </c>
      <c r="AS250" s="27">
        <f>INDEX(Coefficients!$X$3:$X$4,MATCH(S250,Coefficients!$W$3:$W$4))</f>
        <v>1</v>
      </c>
      <c r="AT250" s="27">
        <f>INDEX(Coefficients!$X$7:$X$8,MATCH(O250,Coefficients!$W$7:$W$8))</f>
        <v>1</v>
      </c>
      <c r="AU250" s="27">
        <f>INDEX(Coefficients!$X$11:$X$12,MATCH(P250,Coefficients!$W$11:$W$12))</f>
        <v>1</v>
      </c>
      <c r="AV250" s="27">
        <f>INDEX(Coefficients!$X$15:$X$17,MATCH(Q250,Coefficients!$W$15:$W$17))</f>
        <v>1</v>
      </c>
      <c r="AW250" s="27">
        <f t="shared" si="232"/>
        <v>1</v>
      </c>
      <c r="AX250" s="27">
        <f t="shared" si="233"/>
        <v>1</v>
      </c>
      <c r="AY250" s="27">
        <f t="shared" si="234"/>
        <v>1.3</v>
      </c>
      <c r="AZ250" s="29">
        <f t="shared" si="235"/>
        <v>45.154535636106964</v>
      </c>
      <c r="BA250" s="29">
        <f t="shared" si="236"/>
        <v>0</v>
      </c>
      <c r="BB250" s="29">
        <f t="shared" si="237"/>
        <v>2.3480358530775622</v>
      </c>
      <c r="BC250" s="29">
        <f t="shared" si="238"/>
        <v>1.7651964146922436</v>
      </c>
      <c r="BD250" s="29">
        <f t="shared" si="221"/>
        <v>0.44292339004827197</v>
      </c>
      <c r="BE250" s="16">
        <f t="shared" si="222"/>
        <v>59.427936739052328</v>
      </c>
      <c r="BF250" s="16">
        <f t="shared" si="223"/>
        <v>281.14412652189537</v>
      </c>
      <c r="BG250" s="25">
        <f t="shared" si="224"/>
        <v>0.59427936739052323</v>
      </c>
      <c r="BH250" s="29">
        <f t="shared" si="225"/>
        <v>130.74146082591514</v>
      </c>
      <c r="BI250" s="29">
        <f t="shared" si="226"/>
        <v>138.51707834816972</v>
      </c>
      <c r="BJ250" s="29">
        <f t="shared" si="227"/>
        <v>36.279149808453738</v>
      </c>
    </row>
    <row r="251" spans="2:62">
      <c r="B251" s="29" t="s">
        <v>91</v>
      </c>
      <c r="C251" s="83" t="str">
        <f>'Cooler&amp;Wetter'!$B$1</f>
        <v>MIROC-Medres</v>
      </c>
      <c r="D251" s="89">
        <v>2025</v>
      </c>
      <c r="E251" s="90">
        <f>'Cooler&amp;Wetter'!AA53</f>
        <v>35.541666666666664</v>
      </c>
      <c r="F251" s="90">
        <f>'Cooler&amp;Wetter'!AC53</f>
        <v>22.291666666666668</v>
      </c>
      <c r="G251" s="35">
        <f t="shared" si="228"/>
        <v>2005</v>
      </c>
      <c r="H251" s="91" t="str">
        <f t="shared" si="208"/>
        <v>Pile 32 @ Berth 201</v>
      </c>
      <c r="I251" s="35" t="str">
        <f t="shared" si="209"/>
        <v>Turpentine Gum</v>
      </c>
      <c r="J251" s="35" t="str">
        <f t="shared" si="210"/>
        <v>HW1</v>
      </c>
      <c r="K251" s="35" t="str">
        <f t="shared" si="229"/>
        <v>SPHU</v>
      </c>
      <c r="L251" s="35">
        <f t="shared" si="211"/>
        <v>400</v>
      </c>
      <c r="M251" s="35">
        <f t="shared" si="212"/>
        <v>20</v>
      </c>
      <c r="N251" s="35">
        <f t="shared" si="213"/>
        <v>200</v>
      </c>
      <c r="O251" s="35" t="str">
        <f t="shared" si="214"/>
        <v>MTN2</v>
      </c>
      <c r="P251" s="35" t="str">
        <f t="shared" si="215"/>
        <v>CNT2</v>
      </c>
      <c r="Q251" s="35" t="str">
        <f t="shared" si="216"/>
        <v>KNT3</v>
      </c>
      <c r="R251" s="35" t="str">
        <f t="shared" si="217"/>
        <v>E</v>
      </c>
      <c r="S251" s="35" t="str">
        <f t="shared" si="218"/>
        <v>EXP1</v>
      </c>
      <c r="T251" s="58"/>
      <c r="U251" s="58"/>
      <c r="V251" s="58"/>
      <c r="W251" s="58"/>
      <c r="X251" s="58"/>
      <c r="Y251" s="58"/>
      <c r="Z251" s="58"/>
      <c r="AA251" s="95">
        <f t="shared" si="176"/>
        <v>0.61954878668009172</v>
      </c>
      <c r="AB251" s="96">
        <f t="shared" si="230"/>
        <v>61.954878668009172</v>
      </c>
      <c r="AC251" s="58"/>
      <c r="AD251" s="58"/>
      <c r="AE251" s="58"/>
      <c r="AF251" s="58"/>
      <c r="AG251" s="58"/>
      <c r="AH251" s="58"/>
      <c r="AI251" s="58"/>
      <c r="AJ251" s="58"/>
      <c r="AK251" s="58"/>
      <c r="AL251" s="58"/>
      <c r="AM251" s="89">
        <f t="shared" si="231"/>
        <v>20</v>
      </c>
      <c r="AN251" s="30">
        <f t="shared" si="219"/>
        <v>35.541666666666664</v>
      </c>
      <c r="AO251" s="29">
        <f t="shared" si="220"/>
        <v>1.813632197963478</v>
      </c>
      <c r="AP251" s="29">
        <f>IF((OR(R251="A",R251="B",R251="C")),INDEX(Coefficients!$S$4:$S$22,MATCH(J251,Coefficients!$R$4:$R$22)),INDEX(Coefficients!$T$4:$T$22,MATCH(J251,Coefficients!$R$4:$R$22)))</f>
        <v>1.3</v>
      </c>
      <c r="AQ251" s="27">
        <f>IF((OR(R251="A",R251="B",R251="C")),INDEX(Coefficients!$S$4:$S$22,MATCH(K251,Coefficients!$R$4:$R$22)),INDEX(Coefficients!$T$4:$T$22,MATCH(K251,Coefficients!$R$4:$R$22)))</f>
        <v>25</v>
      </c>
      <c r="AR251" s="27">
        <f>IF(OR(R251="A",R251="B",R251="C",R251="D"),IF(AN251&gt;=11,IF(AN251&gt;=26,Coefficients!$M$6,Coefficients!$M$5),Coefficients!$M$4),IF(AN251&gt;=11,IF(AN251&gt;=26,Coefficients!$N$6,Coefficients!$N$5),Coefficients!$N$4))</f>
        <v>1</v>
      </c>
      <c r="AS251" s="27">
        <f>INDEX(Coefficients!$X$3:$X$4,MATCH(S251,Coefficients!$W$3:$W$4))</f>
        <v>1</v>
      </c>
      <c r="AT251" s="27">
        <f>INDEX(Coefficients!$X$7:$X$8,MATCH(O251,Coefficients!$W$7:$W$8))</f>
        <v>1</v>
      </c>
      <c r="AU251" s="27">
        <f>INDEX(Coefficients!$X$11:$X$12,MATCH(P251,Coefficients!$W$11:$W$12))</f>
        <v>1</v>
      </c>
      <c r="AV251" s="27">
        <f>INDEX(Coefficients!$X$15:$X$17,MATCH(Q251,Coefficients!$W$15:$W$17))</f>
        <v>1</v>
      </c>
      <c r="AW251" s="27">
        <f t="shared" si="232"/>
        <v>1</v>
      </c>
      <c r="AX251" s="27">
        <f t="shared" si="233"/>
        <v>1</v>
      </c>
      <c r="AY251" s="27">
        <f t="shared" si="234"/>
        <v>1.3</v>
      </c>
      <c r="AZ251" s="29">
        <f t="shared" si="235"/>
        <v>45.340804949086952</v>
      </c>
      <c r="BA251" s="29">
        <f t="shared" si="236"/>
        <v>0</v>
      </c>
      <c r="BB251" s="29">
        <f t="shared" si="237"/>
        <v>2.3577218573525216</v>
      </c>
      <c r="BC251" s="29">
        <f t="shared" si="238"/>
        <v>1.7642278142647478</v>
      </c>
      <c r="BD251" s="29">
        <f t="shared" si="221"/>
        <v>0.44110377004682511</v>
      </c>
      <c r="BE251" s="16">
        <f t="shared" si="222"/>
        <v>61.954878668009172</v>
      </c>
      <c r="BF251" s="16">
        <f t="shared" si="223"/>
        <v>276.09024266398166</v>
      </c>
      <c r="BG251" s="25">
        <f t="shared" si="224"/>
        <v>0.61954878668009172</v>
      </c>
      <c r="BH251" s="29">
        <f t="shared" si="225"/>
        <v>136.30073306962018</v>
      </c>
      <c r="BI251" s="29">
        <f t="shared" si="226"/>
        <v>127.39853386075964</v>
      </c>
      <c r="BJ251" s="29">
        <f t="shared" si="227"/>
        <v>36.136390818682735</v>
      </c>
    </row>
    <row r="252" spans="2:62">
      <c r="B252" s="29" t="s">
        <v>91</v>
      </c>
      <c r="C252" s="83" t="str">
        <f>'Cooler&amp;Wetter'!$B$1</f>
        <v>MIROC-Medres</v>
      </c>
      <c r="D252" s="89">
        <v>2026</v>
      </c>
      <c r="E252" s="90">
        <f>'Cooler&amp;Wetter'!AA54</f>
        <v>35.543333333333337</v>
      </c>
      <c r="F252" s="90">
        <f>'Cooler&amp;Wetter'!AC54</f>
        <v>22.323333333333334</v>
      </c>
      <c r="G252" s="35">
        <f t="shared" si="228"/>
        <v>2005</v>
      </c>
      <c r="H252" s="91" t="str">
        <f t="shared" si="208"/>
        <v>Pile 32 @ Berth 201</v>
      </c>
      <c r="I252" s="35" t="str">
        <f t="shared" si="209"/>
        <v>Turpentine Gum</v>
      </c>
      <c r="J252" s="35" t="str">
        <f t="shared" si="210"/>
        <v>HW1</v>
      </c>
      <c r="K252" s="35" t="str">
        <f t="shared" si="229"/>
        <v>SPHU</v>
      </c>
      <c r="L252" s="35">
        <f t="shared" si="211"/>
        <v>400</v>
      </c>
      <c r="M252" s="35">
        <f t="shared" si="212"/>
        <v>20</v>
      </c>
      <c r="N252" s="35">
        <f t="shared" si="213"/>
        <v>200</v>
      </c>
      <c r="O252" s="35" t="str">
        <f t="shared" si="214"/>
        <v>MTN2</v>
      </c>
      <c r="P252" s="35" t="str">
        <f t="shared" si="215"/>
        <v>CNT2</v>
      </c>
      <c r="Q252" s="35" t="str">
        <f t="shared" si="216"/>
        <v>KNT3</v>
      </c>
      <c r="R252" s="35" t="str">
        <f t="shared" si="217"/>
        <v>E</v>
      </c>
      <c r="S252" s="35" t="str">
        <f t="shared" si="218"/>
        <v>EXP1</v>
      </c>
      <c r="T252" s="58"/>
      <c r="U252" s="58"/>
      <c r="V252" s="58"/>
      <c r="W252" s="58"/>
      <c r="X252" s="58"/>
      <c r="Y252" s="58"/>
      <c r="Z252" s="58"/>
      <c r="AA252" s="95">
        <f t="shared" si="176"/>
        <v>0.64501989456471021</v>
      </c>
      <c r="AB252" s="96">
        <f t="shared" si="230"/>
        <v>64.501989456471023</v>
      </c>
      <c r="AC252" s="58"/>
      <c r="AD252" s="58"/>
      <c r="AE252" s="58"/>
      <c r="AF252" s="58"/>
      <c r="AG252" s="58"/>
      <c r="AH252" s="58"/>
      <c r="AI252" s="58"/>
      <c r="AJ252" s="58"/>
      <c r="AK252" s="58"/>
      <c r="AL252" s="58"/>
      <c r="AM252" s="89">
        <f t="shared" si="231"/>
        <v>21</v>
      </c>
      <c r="AN252" s="30">
        <f t="shared" si="219"/>
        <v>35.543333333333337</v>
      </c>
      <c r="AO252" s="29">
        <f t="shared" si="220"/>
        <v>1.8211137060501839</v>
      </c>
      <c r="AP252" s="29">
        <f>IF((OR(R252="A",R252="B",R252="C")),INDEX(Coefficients!$S$4:$S$22,MATCH(J252,Coefficients!$R$4:$R$22)),INDEX(Coefficients!$T$4:$T$22,MATCH(J252,Coefficients!$R$4:$R$22)))</f>
        <v>1.3</v>
      </c>
      <c r="AQ252" s="27">
        <f>IF((OR(R252="A",R252="B",R252="C")),INDEX(Coefficients!$S$4:$S$22,MATCH(K252,Coefficients!$R$4:$R$22)),INDEX(Coefficients!$T$4:$T$22,MATCH(K252,Coefficients!$R$4:$R$22)))</f>
        <v>25</v>
      </c>
      <c r="AR252" s="27">
        <f>IF(OR(R252="A",R252="B",R252="C",R252="D"),IF(AN252&gt;=11,IF(AN252&gt;=26,Coefficients!$M$6,Coefficients!$M$5),Coefficients!$M$4),IF(AN252&gt;=11,IF(AN252&gt;=26,Coefficients!$N$6,Coefficients!$N$5),Coefficients!$N$4))</f>
        <v>1</v>
      </c>
      <c r="AS252" s="27">
        <f>INDEX(Coefficients!$X$3:$X$4,MATCH(S252,Coefficients!$W$3:$W$4))</f>
        <v>1</v>
      </c>
      <c r="AT252" s="27">
        <f>INDEX(Coefficients!$X$7:$X$8,MATCH(O252,Coefficients!$W$7:$W$8))</f>
        <v>1</v>
      </c>
      <c r="AU252" s="27">
        <f>INDEX(Coefficients!$X$11:$X$12,MATCH(P252,Coefficients!$W$11:$W$12))</f>
        <v>1</v>
      </c>
      <c r="AV252" s="27">
        <f>INDEX(Coefficients!$X$15:$X$17,MATCH(Q252,Coefficients!$W$15:$W$17))</f>
        <v>1</v>
      </c>
      <c r="AW252" s="27">
        <f t="shared" si="232"/>
        <v>1</v>
      </c>
      <c r="AX252" s="27">
        <f t="shared" si="233"/>
        <v>1</v>
      </c>
      <c r="AY252" s="27">
        <f t="shared" si="234"/>
        <v>1.3</v>
      </c>
      <c r="AZ252" s="29">
        <f t="shared" si="235"/>
        <v>45.527842651254595</v>
      </c>
      <c r="BA252" s="29">
        <f t="shared" si="236"/>
        <v>0</v>
      </c>
      <c r="BB252" s="29">
        <f t="shared" si="237"/>
        <v>2.3674478178652389</v>
      </c>
      <c r="BC252" s="29">
        <f t="shared" si="238"/>
        <v>1.7632552182134762</v>
      </c>
      <c r="BD252" s="29">
        <f t="shared" si="221"/>
        <v>0.43929162541702088</v>
      </c>
      <c r="BE252" s="16">
        <f t="shared" si="222"/>
        <v>64.501989456471023</v>
      </c>
      <c r="BF252" s="16">
        <f t="shared" si="223"/>
        <v>270.99602108705795</v>
      </c>
      <c r="BG252" s="25">
        <f t="shared" si="224"/>
        <v>0.64501989456471021</v>
      </c>
      <c r="BH252" s="29">
        <f t="shared" si="225"/>
        <v>141.90437680423625</v>
      </c>
      <c r="BI252" s="29">
        <f t="shared" si="226"/>
        <v>116.1912463915275</v>
      </c>
      <c r="BJ252" s="29">
        <f t="shared" si="227"/>
        <v>35.99421033724748</v>
      </c>
    </row>
    <row r="253" spans="2:62">
      <c r="B253" s="29" t="s">
        <v>91</v>
      </c>
      <c r="C253" s="83" t="str">
        <f>'Cooler&amp;Wetter'!$B$1</f>
        <v>MIROC-Medres</v>
      </c>
      <c r="D253" s="89">
        <v>2027</v>
      </c>
      <c r="E253" s="90">
        <f>'Cooler&amp;Wetter'!AA55</f>
        <v>35.545000000000002</v>
      </c>
      <c r="F253" s="90">
        <f>'Cooler&amp;Wetter'!AC55</f>
        <v>22.355</v>
      </c>
      <c r="G253" s="35">
        <f t="shared" si="228"/>
        <v>2005</v>
      </c>
      <c r="H253" s="91" t="str">
        <f t="shared" si="208"/>
        <v>Pile 32 @ Berth 201</v>
      </c>
      <c r="I253" s="35" t="str">
        <f t="shared" si="209"/>
        <v>Turpentine Gum</v>
      </c>
      <c r="J253" s="35" t="str">
        <f t="shared" si="210"/>
        <v>HW1</v>
      </c>
      <c r="K253" s="35" t="str">
        <f t="shared" si="229"/>
        <v>SPHU</v>
      </c>
      <c r="L253" s="35">
        <f t="shared" si="211"/>
        <v>400</v>
      </c>
      <c r="M253" s="35">
        <f t="shared" si="212"/>
        <v>20</v>
      </c>
      <c r="N253" s="35">
        <f t="shared" si="213"/>
        <v>200</v>
      </c>
      <c r="O253" s="35" t="str">
        <f t="shared" si="214"/>
        <v>MTN2</v>
      </c>
      <c r="P253" s="35" t="str">
        <f t="shared" si="215"/>
        <v>CNT2</v>
      </c>
      <c r="Q253" s="35" t="str">
        <f t="shared" si="216"/>
        <v>KNT3</v>
      </c>
      <c r="R253" s="35" t="str">
        <f t="shared" si="217"/>
        <v>E</v>
      </c>
      <c r="S253" s="35" t="str">
        <f t="shared" si="218"/>
        <v>EXP1</v>
      </c>
      <c r="T253" s="58"/>
      <c r="U253" s="58"/>
      <c r="V253" s="58"/>
      <c r="W253" s="58"/>
      <c r="X253" s="58"/>
      <c r="Y253" s="58"/>
      <c r="Z253" s="58"/>
      <c r="AA253" s="95">
        <f t="shared" si="176"/>
        <v>0.67069392581194909</v>
      </c>
      <c r="AB253" s="96">
        <f t="shared" si="230"/>
        <v>67.069392581194904</v>
      </c>
      <c r="AC253" s="58"/>
      <c r="AD253" s="58"/>
      <c r="AE253" s="58"/>
      <c r="AF253" s="58"/>
      <c r="AG253" s="58"/>
      <c r="AH253" s="58"/>
      <c r="AI253" s="58"/>
      <c r="AJ253" s="58"/>
      <c r="AK253" s="58"/>
      <c r="AL253" s="58"/>
      <c r="AM253" s="89">
        <f t="shared" si="231"/>
        <v>22</v>
      </c>
      <c r="AN253" s="30">
        <f t="shared" si="219"/>
        <v>35.545000000000002</v>
      </c>
      <c r="AO253" s="29">
        <f t="shared" si="220"/>
        <v>1.8286260764932782</v>
      </c>
      <c r="AP253" s="29">
        <f>IF((OR(R253="A",R253="B",R253="C")),INDEX(Coefficients!$S$4:$S$22,MATCH(J253,Coefficients!$R$4:$R$22)),INDEX(Coefficients!$T$4:$T$22,MATCH(J253,Coefficients!$R$4:$R$22)))</f>
        <v>1.3</v>
      </c>
      <c r="AQ253" s="27">
        <f>IF((OR(R253="A",R253="B",R253="C")),INDEX(Coefficients!$S$4:$S$22,MATCH(K253,Coefficients!$R$4:$R$22)),INDEX(Coefficients!$T$4:$T$22,MATCH(K253,Coefficients!$R$4:$R$22)))</f>
        <v>25</v>
      </c>
      <c r="AR253" s="27">
        <f>IF(OR(R253="A",R253="B",R253="C",R253="D"),IF(AN253&gt;=11,IF(AN253&gt;=26,Coefficients!$M$6,Coefficients!$M$5),Coefficients!$M$4),IF(AN253&gt;=11,IF(AN253&gt;=26,Coefficients!$N$6,Coefficients!$N$5),Coefficients!$N$4))</f>
        <v>1</v>
      </c>
      <c r="AS253" s="27">
        <f>INDEX(Coefficients!$X$3:$X$4,MATCH(S253,Coefficients!$W$3:$W$4))</f>
        <v>1</v>
      </c>
      <c r="AT253" s="27">
        <f>INDEX(Coefficients!$X$7:$X$8,MATCH(O253,Coefficients!$W$7:$W$8))</f>
        <v>1</v>
      </c>
      <c r="AU253" s="27">
        <f>INDEX(Coefficients!$X$11:$X$12,MATCH(P253,Coefficients!$W$11:$W$12))</f>
        <v>1</v>
      </c>
      <c r="AV253" s="27">
        <f>INDEX(Coefficients!$X$15:$X$17,MATCH(Q253,Coefficients!$W$15:$W$17))</f>
        <v>1</v>
      </c>
      <c r="AW253" s="27">
        <f t="shared" si="232"/>
        <v>1</v>
      </c>
      <c r="AX253" s="27">
        <f t="shared" si="233"/>
        <v>1</v>
      </c>
      <c r="AY253" s="27">
        <f t="shared" si="234"/>
        <v>1.3</v>
      </c>
      <c r="AZ253" s="29">
        <f t="shared" si="235"/>
        <v>45.715651912331957</v>
      </c>
      <c r="BA253" s="29">
        <f t="shared" si="236"/>
        <v>0</v>
      </c>
      <c r="BB253" s="29">
        <f t="shared" si="237"/>
        <v>2.3772138994412617</v>
      </c>
      <c r="BC253" s="29">
        <f t="shared" si="238"/>
        <v>1.7622786100558738</v>
      </c>
      <c r="BD253" s="29">
        <f t="shared" si="221"/>
        <v>0.43748692544850115</v>
      </c>
      <c r="BE253" s="16">
        <f t="shared" si="222"/>
        <v>67.069392581194904</v>
      </c>
      <c r="BF253" s="16">
        <f t="shared" si="223"/>
        <v>265.86121483761019</v>
      </c>
      <c r="BG253" s="25">
        <f t="shared" si="224"/>
        <v>0.67069392581194909</v>
      </c>
      <c r="BH253" s="29">
        <f t="shared" si="225"/>
        <v>147.55266367862879</v>
      </c>
      <c r="BI253" s="29">
        <f t="shared" si="226"/>
        <v>104.89467264274242</v>
      </c>
      <c r="BJ253" s="29">
        <f t="shared" si="227"/>
        <v>35.852605954619847</v>
      </c>
    </row>
    <row r="254" spans="2:62">
      <c r="B254" s="29" t="s">
        <v>91</v>
      </c>
      <c r="C254" s="83" t="str">
        <f>'Cooler&amp;Wetter'!$B$1</f>
        <v>MIROC-Medres</v>
      </c>
      <c r="D254" s="89">
        <v>2028</v>
      </c>
      <c r="E254" s="90">
        <f>'Cooler&amp;Wetter'!AA56</f>
        <v>35.546666666666667</v>
      </c>
      <c r="F254" s="90">
        <f>'Cooler&amp;Wetter'!AC56</f>
        <v>22.386666666666667</v>
      </c>
      <c r="G254" s="35">
        <f t="shared" si="228"/>
        <v>2005</v>
      </c>
      <c r="H254" s="91" t="str">
        <f t="shared" si="208"/>
        <v>Pile 32 @ Berth 201</v>
      </c>
      <c r="I254" s="35" t="str">
        <f t="shared" si="209"/>
        <v>Turpentine Gum</v>
      </c>
      <c r="J254" s="35" t="str">
        <f t="shared" si="210"/>
        <v>HW1</v>
      </c>
      <c r="K254" s="35" t="str">
        <f t="shared" si="229"/>
        <v>SPHU</v>
      </c>
      <c r="L254" s="35">
        <f t="shared" si="211"/>
        <v>400</v>
      </c>
      <c r="M254" s="35">
        <f t="shared" si="212"/>
        <v>20</v>
      </c>
      <c r="N254" s="35">
        <f t="shared" si="213"/>
        <v>200</v>
      </c>
      <c r="O254" s="35" t="str">
        <f t="shared" si="214"/>
        <v>MTN2</v>
      </c>
      <c r="P254" s="35" t="str">
        <f t="shared" si="215"/>
        <v>CNT2</v>
      </c>
      <c r="Q254" s="35" t="str">
        <f t="shared" si="216"/>
        <v>KNT3</v>
      </c>
      <c r="R254" s="35" t="str">
        <f t="shared" si="217"/>
        <v>E</v>
      </c>
      <c r="S254" s="35" t="str">
        <f t="shared" si="218"/>
        <v>EXP1</v>
      </c>
      <c r="T254" s="58"/>
      <c r="U254" s="58"/>
      <c r="V254" s="58"/>
      <c r="W254" s="58"/>
      <c r="X254" s="58"/>
      <c r="Y254" s="58"/>
      <c r="Z254" s="58"/>
      <c r="AA254" s="95">
        <f t="shared" si="176"/>
        <v>0.69657212195094043</v>
      </c>
      <c r="AB254" s="96">
        <f t="shared" si="230"/>
        <v>69.657212195094047</v>
      </c>
      <c r="AC254" s="58"/>
      <c r="AD254" s="58"/>
      <c r="AE254" s="58"/>
      <c r="AF254" s="58"/>
      <c r="AG254" s="58"/>
      <c r="AH254" s="58"/>
      <c r="AI254" s="58"/>
      <c r="AJ254" s="58"/>
      <c r="AK254" s="58"/>
      <c r="AL254" s="58"/>
      <c r="AM254" s="89">
        <f t="shared" si="231"/>
        <v>23</v>
      </c>
      <c r="AN254" s="30">
        <f t="shared" si="219"/>
        <v>35.546666666666667</v>
      </c>
      <c r="AO254" s="29">
        <f t="shared" si="220"/>
        <v>1.8361694366046657</v>
      </c>
      <c r="AP254" s="29">
        <f>IF((OR(R254="A",R254="B",R254="C")),INDEX(Coefficients!$S$4:$S$22,MATCH(J254,Coefficients!$R$4:$R$22)),INDEX(Coefficients!$T$4:$T$22,MATCH(J254,Coefficients!$R$4:$R$22)))</f>
        <v>1.3</v>
      </c>
      <c r="AQ254" s="27">
        <f>IF((OR(R254="A",R254="B",R254="C")),INDEX(Coefficients!$S$4:$S$22,MATCH(K254,Coefficients!$R$4:$R$22)),INDEX(Coefficients!$T$4:$T$22,MATCH(K254,Coefficients!$R$4:$R$22)))</f>
        <v>25</v>
      </c>
      <c r="AR254" s="27">
        <f>IF(OR(R254="A",R254="B",R254="C",R254="D"),IF(AN254&gt;=11,IF(AN254&gt;=26,Coefficients!$M$6,Coefficients!$M$5),Coefficients!$M$4),IF(AN254&gt;=11,IF(AN254&gt;=26,Coefficients!$N$6,Coefficients!$N$5),Coefficients!$N$4))</f>
        <v>1</v>
      </c>
      <c r="AS254" s="27">
        <f>INDEX(Coefficients!$X$3:$X$4,MATCH(S254,Coefficients!$W$3:$W$4))</f>
        <v>1</v>
      </c>
      <c r="AT254" s="27">
        <f>INDEX(Coefficients!$X$7:$X$8,MATCH(O254,Coefficients!$W$7:$W$8))</f>
        <v>1</v>
      </c>
      <c r="AU254" s="27">
        <f>INDEX(Coefficients!$X$11:$X$12,MATCH(P254,Coefficients!$W$11:$W$12))</f>
        <v>1</v>
      </c>
      <c r="AV254" s="27">
        <f>INDEX(Coefficients!$X$15:$X$17,MATCH(Q254,Coefficients!$W$15:$W$17))</f>
        <v>1</v>
      </c>
      <c r="AW254" s="27">
        <f t="shared" si="232"/>
        <v>1</v>
      </c>
      <c r="AX254" s="27">
        <f t="shared" si="233"/>
        <v>1</v>
      </c>
      <c r="AY254" s="27">
        <f t="shared" si="234"/>
        <v>1.3</v>
      </c>
      <c r="AZ254" s="29">
        <f t="shared" si="235"/>
        <v>45.904235915116644</v>
      </c>
      <c r="BA254" s="29">
        <f t="shared" si="236"/>
        <v>0</v>
      </c>
      <c r="BB254" s="29">
        <f t="shared" si="237"/>
        <v>2.3870202675860654</v>
      </c>
      <c r="BC254" s="29">
        <f t="shared" si="238"/>
        <v>1.7612979732413934</v>
      </c>
      <c r="BD254" s="29">
        <f t="shared" si="221"/>
        <v>0.43568963955707268</v>
      </c>
      <c r="BE254" s="16">
        <f t="shared" si="222"/>
        <v>69.657212195094047</v>
      </c>
      <c r="BF254" s="16">
        <f t="shared" si="223"/>
        <v>260.68557560981191</v>
      </c>
      <c r="BG254" s="25">
        <f t="shared" si="224"/>
        <v>0.69657212195094043</v>
      </c>
      <c r="BH254" s="29">
        <f t="shared" si="225"/>
        <v>153.2458668292069</v>
      </c>
      <c r="BI254" s="29">
        <f t="shared" si="226"/>
        <v>93.508266341586193</v>
      </c>
      <c r="BJ254" s="29">
        <f t="shared" si="227"/>
        <v>35.711575271034825</v>
      </c>
    </row>
    <row r="255" spans="2:62">
      <c r="B255" s="29" t="s">
        <v>91</v>
      </c>
      <c r="C255" s="83" t="str">
        <f>'Cooler&amp;Wetter'!$B$1</f>
        <v>MIROC-Medres</v>
      </c>
      <c r="D255" s="89">
        <v>2029</v>
      </c>
      <c r="E255" s="90">
        <f>'Cooler&amp;Wetter'!AA57</f>
        <v>35.548333333333332</v>
      </c>
      <c r="F255" s="90">
        <f>'Cooler&amp;Wetter'!AC57</f>
        <v>22.418333333333333</v>
      </c>
      <c r="G255" s="35">
        <f t="shared" si="228"/>
        <v>2005</v>
      </c>
      <c r="H255" s="91" t="str">
        <f t="shared" si="208"/>
        <v>Pile 32 @ Berth 201</v>
      </c>
      <c r="I255" s="35" t="str">
        <f t="shared" si="209"/>
        <v>Turpentine Gum</v>
      </c>
      <c r="J255" s="35" t="str">
        <f t="shared" si="210"/>
        <v>HW1</v>
      </c>
      <c r="K255" s="35" t="str">
        <f t="shared" si="229"/>
        <v>SPHU</v>
      </c>
      <c r="L255" s="35">
        <f t="shared" si="211"/>
        <v>400</v>
      </c>
      <c r="M255" s="35">
        <f t="shared" si="212"/>
        <v>20</v>
      </c>
      <c r="N255" s="35">
        <f t="shared" si="213"/>
        <v>200</v>
      </c>
      <c r="O255" s="35" t="str">
        <f t="shared" si="214"/>
        <v>MTN2</v>
      </c>
      <c r="P255" s="35" t="str">
        <f t="shared" si="215"/>
        <v>CNT2</v>
      </c>
      <c r="Q255" s="35" t="str">
        <f t="shared" si="216"/>
        <v>KNT3</v>
      </c>
      <c r="R255" s="35" t="str">
        <f t="shared" si="217"/>
        <v>E</v>
      </c>
      <c r="S255" s="35" t="str">
        <f t="shared" si="218"/>
        <v>EXP1</v>
      </c>
      <c r="T255" s="58"/>
      <c r="U255" s="58"/>
      <c r="V255" s="58"/>
      <c r="W255" s="58"/>
      <c r="X255" s="58"/>
      <c r="Y255" s="58"/>
      <c r="Z255" s="58"/>
      <c r="AA255" s="95">
        <f t="shared" si="176"/>
        <v>0.72265573130720551</v>
      </c>
      <c r="AB255" s="96">
        <f t="shared" si="230"/>
        <v>72.265573130720554</v>
      </c>
      <c r="AC255" s="58"/>
      <c r="AD255" s="58"/>
      <c r="AE255" s="58"/>
      <c r="AF255" s="58"/>
      <c r="AG255" s="58"/>
      <c r="AH255" s="58"/>
      <c r="AI255" s="58"/>
      <c r="AJ255" s="58"/>
      <c r="AK255" s="58"/>
      <c r="AL255" s="58"/>
      <c r="AM255" s="89">
        <f t="shared" si="231"/>
        <v>24</v>
      </c>
      <c r="AN255" s="30">
        <f t="shared" si="219"/>
        <v>35.548333333333332</v>
      </c>
      <c r="AO255" s="29">
        <f t="shared" si="220"/>
        <v>1.8437439142214309</v>
      </c>
      <c r="AP255" s="29">
        <f>IF((OR(R255="A",R255="B",R255="C")),INDEX(Coefficients!$S$4:$S$22,MATCH(J255,Coefficients!$R$4:$R$22)),INDEX(Coefficients!$T$4:$T$22,MATCH(J255,Coefficients!$R$4:$R$22)))</f>
        <v>1.3</v>
      </c>
      <c r="AQ255" s="27">
        <f>IF((OR(R255="A",R255="B",R255="C")),INDEX(Coefficients!$S$4:$S$22,MATCH(K255,Coefficients!$R$4:$R$22)),INDEX(Coefficients!$T$4:$T$22,MATCH(K255,Coefficients!$R$4:$R$22)))</f>
        <v>25</v>
      </c>
      <c r="AR255" s="27">
        <f>IF(OR(R255="A",R255="B",R255="C",R255="D"),IF(AN255&gt;=11,IF(AN255&gt;=26,Coefficients!$M$6,Coefficients!$M$5),Coefficients!$M$4),IF(AN255&gt;=11,IF(AN255&gt;=26,Coefficients!$N$6,Coefficients!$N$5),Coefficients!$N$4))</f>
        <v>1</v>
      </c>
      <c r="AS255" s="27">
        <f>INDEX(Coefficients!$X$3:$X$4,MATCH(S255,Coefficients!$W$3:$W$4))</f>
        <v>1</v>
      </c>
      <c r="AT255" s="27">
        <f>INDEX(Coefficients!$X$7:$X$8,MATCH(O255,Coefficients!$W$7:$W$8))</f>
        <v>1</v>
      </c>
      <c r="AU255" s="27">
        <f>INDEX(Coefficients!$X$11:$X$12,MATCH(P255,Coefficients!$W$11:$W$12))</f>
        <v>1</v>
      </c>
      <c r="AV255" s="27">
        <f>INDEX(Coefficients!$X$15:$X$17,MATCH(Q255,Coefficients!$W$15:$W$17))</f>
        <v>1</v>
      </c>
      <c r="AW255" s="27">
        <f t="shared" si="232"/>
        <v>1</v>
      </c>
      <c r="AX255" s="27">
        <f t="shared" si="233"/>
        <v>1</v>
      </c>
      <c r="AY255" s="27">
        <f t="shared" si="234"/>
        <v>1.3</v>
      </c>
      <c r="AZ255" s="29">
        <f t="shared" si="235"/>
        <v>46.093597855535776</v>
      </c>
      <c r="BA255" s="29">
        <f t="shared" si="236"/>
        <v>0</v>
      </c>
      <c r="BB255" s="29">
        <f t="shared" si="237"/>
        <v>2.3968670884878605</v>
      </c>
      <c r="BC255" s="29">
        <f t="shared" si="238"/>
        <v>1.7603132911512138</v>
      </c>
      <c r="BD255" s="29">
        <f t="shared" si="221"/>
        <v>0.43389973728418835</v>
      </c>
      <c r="BE255" s="16">
        <f t="shared" si="222"/>
        <v>72.265573130720554</v>
      </c>
      <c r="BF255" s="16">
        <f t="shared" si="223"/>
        <v>255.46885373855889</v>
      </c>
      <c r="BG255" s="25">
        <f t="shared" si="224"/>
        <v>0.72265573130720551</v>
      </c>
      <c r="BH255" s="29">
        <f t="shared" si="225"/>
        <v>158.98426088758524</v>
      </c>
      <c r="BI255" s="29">
        <f t="shared" si="226"/>
        <v>82.031478224829527</v>
      </c>
      <c r="BJ255" s="29">
        <f t="shared" si="227"/>
        <v>35.571115896449882</v>
      </c>
    </row>
    <row r="256" spans="2:62">
      <c r="B256" s="29" t="s">
        <v>91</v>
      </c>
      <c r="C256" s="83" t="str">
        <f>'Cooler&amp;Wetter'!$B$1</f>
        <v>MIROC-Medres</v>
      </c>
      <c r="D256" s="89">
        <v>2030</v>
      </c>
      <c r="E256" s="90">
        <f>'Cooler&amp;Wetter'!AA58</f>
        <v>35.549999999999997</v>
      </c>
      <c r="F256" s="90">
        <f>'Cooler&amp;Wetter'!AC58</f>
        <v>22.45</v>
      </c>
      <c r="G256" s="35">
        <f t="shared" si="228"/>
        <v>2005</v>
      </c>
      <c r="H256" s="91" t="str">
        <f t="shared" si="208"/>
        <v>Pile 32 @ Berth 201</v>
      </c>
      <c r="I256" s="35" t="str">
        <f t="shared" si="209"/>
        <v>Turpentine Gum</v>
      </c>
      <c r="J256" s="35" t="str">
        <f t="shared" si="210"/>
        <v>HW1</v>
      </c>
      <c r="K256" s="35" t="str">
        <f t="shared" si="229"/>
        <v>SPHU</v>
      </c>
      <c r="L256" s="35">
        <f t="shared" si="211"/>
        <v>400</v>
      </c>
      <c r="M256" s="35">
        <f t="shared" si="212"/>
        <v>20</v>
      </c>
      <c r="N256" s="35">
        <f t="shared" si="213"/>
        <v>200</v>
      </c>
      <c r="O256" s="35" t="str">
        <f t="shared" si="214"/>
        <v>MTN2</v>
      </c>
      <c r="P256" s="35" t="str">
        <f t="shared" si="215"/>
        <v>CNT2</v>
      </c>
      <c r="Q256" s="35" t="str">
        <f t="shared" si="216"/>
        <v>KNT3</v>
      </c>
      <c r="R256" s="35" t="str">
        <f t="shared" si="217"/>
        <v>E</v>
      </c>
      <c r="S256" s="35" t="str">
        <f t="shared" si="218"/>
        <v>EXP1</v>
      </c>
      <c r="T256" s="58"/>
      <c r="U256" s="58"/>
      <c r="V256" s="58"/>
      <c r="W256" s="58"/>
      <c r="X256" s="58"/>
      <c r="Y256" s="58"/>
      <c r="Z256" s="58"/>
      <c r="AA256" s="95">
        <f t="shared" si="176"/>
        <v>0.74894600903765451</v>
      </c>
      <c r="AB256" s="96">
        <f t="shared" si="230"/>
        <v>74.894600903765451</v>
      </c>
      <c r="AC256" s="58"/>
      <c r="AD256" s="58"/>
      <c r="AE256" s="58"/>
      <c r="AF256" s="58"/>
      <c r="AG256" s="58"/>
      <c r="AH256" s="58"/>
      <c r="AI256" s="58"/>
      <c r="AJ256" s="58"/>
      <c r="AK256" s="58"/>
      <c r="AL256" s="58"/>
      <c r="AM256" s="89">
        <f t="shared" si="231"/>
        <v>25</v>
      </c>
      <c r="AN256" s="30">
        <f t="shared" si="219"/>
        <v>35.549999999999997</v>
      </c>
      <c r="AO256" s="29">
        <f t="shared" si="220"/>
        <v>1.8513496377080074</v>
      </c>
      <c r="AP256" s="29">
        <f>IF((OR(R256="A",R256="B",R256="C")),INDEX(Coefficients!$S$4:$S$22,MATCH(J256,Coefficients!$R$4:$R$22)),INDEX(Coefficients!$T$4:$T$22,MATCH(J256,Coefficients!$R$4:$R$22)))</f>
        <v>1.3</v>
      </c>
      <c r="AQ256" s="27">
        <f>IF((OR(R256="A",R256="B",R256="C")),INDEX(Coefficients!$S$4:$S$22,MATCH(K256,Coefficients!$R$4:$R$22)),INDEX(Coefficients!$T$4:$T$22,MATCH(K256,Coefficients!$R$4:$R$22)))</f>
        <v>25</v>
      </c>
      <c r="AR256" s="27">
        <f>IF(OR(R256="A",R256="B",R256="C",R256="D"),IF(AN256&gt;=11,IF(AN256&gt;=26,Coefficients!$M$6,Coefficients!$M$5),Coefficients!$M$4),IF(AN256&gt;=11,IF(AN256&gt;=26,Coefficients!$N$6,Coefficients!$N$5),Coefficients!$N$4))</f>
        <v>1</v>
      </c>
      <c r="AS256" s="27">
        <f>INDEX(Coefficients!$X$3:$X$4,MATCH(S256,Coefficients!$W$3:$W$4))</f>
        <v>1</v>
      </c>
      <c r="AT256" s="27">
        <f>INDEX(Coefficients!$X$7:$X$8,MATCH(O256,Coefficients!$W$7:$W$8))</f>
        <v>1</v>
      </c>
      <c r="AU256" s="27">
        <f>INDEX(Coefficients!$X$11:$X$12,MATCH(P256,Coefficients!$W$11:$W$12))</f>
        <v>1</v>
      </c>
      <c r="AV256" s="27">
        <f>INDEX(Coefficients!$X$15:$X$17,MATCH(Q256,Coefficients!$W$15:$W$17))</f>
        <v>1</v>
      </c>
      <c r="AW256" s="27">
        <f t="shared" si="232"/>
        <v>1</v>
      </c>
      <c r="AX256" s="27">
        <f t="shared" si="233"/>
        <v>1</v>
      </c>
      <c r="AY256" s="27">
        <f t="shared" si="234"/>
        <v>1.3</v>
      </c>
      <c r="AZ256" s="29">
        <f t="shared" si="235"/>
        <v>46.283740942700184</v>
      </c>
      <c r="BA256" s="29">
        <f t="shared" si="236"/>
        <v>0</v>
      </c>
      <c r="BB256" s="29">
        <f t="shared" si="237"/>
        <v>2.4067545290204095</v>
      </c>
      <c r="BC256" s="29">
        <f t="shared" si="238"/>
        <v>1.759324547097959</v>
      </c>
      <c r="BD256" s="29">
        <f t="shared" si="221"/>
        <v>0.43211718829643081</v>
      </c>
      <c r="BE256" s="16">
        <f t="shared" si="222"/>
        <v>74.894600903765451</v>
      </c>
      <c r="BF256" s="16">
        <f t="shared" si="223"/>
        <v>250.2107981924691</v>
      </c>
      <c r="BG256" s="25">
        <f t="shared" si="224"/>
        <v>0.74894600903765451</v>
      </c>
      <c r="BH256" s="29">
        <f t="shared" si="225"/>
        <v>164.76812198828401</v>
      </c>
      <c r="BI256" s="29">
        <f t="shared" si="226"/>
        <v>70.463756023431984</v>
      </c>
      <c r="BJ256" s="29">
        <f t="shared" si="227"/>
        <v>35.431225450504456</v>
      </c>
    </row>
    <row r="257" spans="2:62">
      <c r="B257" s="29" t="s">
        <v>91</v>
      </c>
      <c r="C257" s="83" t="str">
        <f>'Cooler&amp;Wetter'!$B$1</f>
        <v>MIROC-Medres</v>
      </c>
      <c r="D257" s="89">
        <v>2031</v>
      </c>
      <c r="E257" s="90">
        <f>'Cooler&amp;Wetter'!AA59</f>
        <v>35.552500000000002</v>
      </c>
      <c r="F257" s="90">
        <f>'Cooler&amp;Wetter'!AC59</f>
        <v>22.5015</v>
      </c>
      <c r="G257" s="35">
        <f t="shared" si="228"/>
        <v>2005</v>
      </c>
      <c r="H257" s="91" t="str">
        <f t="shared" si="208"/>
        <v>Pile 32 @ Berth 201</v>
      </c>
      <c r="I257" s="35" t="str">
        <f t="shared" si="209"/>
        <v>Turpentine Gum</v>
      </c>
      <c r="J257" s="35" t="str">
        <f t="shared" si="210"/>
        <v>HW1</v>
      </c>
      <c r="K257" s="35" t="str">
        <f t="shared" si="229"/>
        <v>SPHU</v>
      </c>
      <c r="L257" s="35">
        <f t="shared" si="211"/>
        <v>400</v>
      </c>
      <c r="M257" s="35">
        <f t="shared" si="212"/>
        <v>20</v>
      </c>
      <c r="N257" s="35">
        <f t="shared" si="213"/>
        <v>200</v>
      </c>
      <c r="O257" s="35" t="str">
        <f t="shared" si="214"/>
        <v>MTN2</v>
      </c>
      <c r="P257" s="35" t="str">
        <f t="shared" si="215"/>
        <v>CNT2</v>
      </c>
      <c r="Q257" s="35" t="str">
        <f t="shared" si="216"/>
        <v>KNT3</v>
      </c>
      <c r="R257" s="35" t="str">
        <f t="shared" si="217"/>
        <v>E</v>
      </c>
      <c r="S257" s="35" t="str">
        <f t="shared" si="218"/>
        <v>EXP1</v>
      </c>
      <c r="T257" s="58"/>
      <c r="U257" s="58"/>
      <c r="V257" s="58"/>
      <c r="W257" s="58"/>
      <c r="X257" s="58"/>
      <c r="Y257" s="58"/>
      <c r="Z257" s="58"/>
      <c r="AA257" s="95">
        <f t="shared" si="176"/>
        <v>0.77697178454072313</v>
      </c>
      <c r="AB257" s="96">
        <f t="shared" si="230"/>
        <v>77.697178454072315</v>
      </c>
      <c r="AC257" s="58"/>
      <c r="AD257" s="58"/>
      <c r="AE257" s="58"/>
      <c r="AF257" s="58"/>
      <c r="AG257" s="58"/>
      <c r="AH257" s="58"/>
      <c r="AI257" s="58"/>
      <c r="AJ257" s="58"/>
      <c r="AK257" s="58"/>
      <c r="AL257" s="58"/>
      <c r="AM257" s="89">
        <f t="shared" si="231"/>
        <v>26</v>
      </c>
      <c r="AN257" s="30">
        <f t="shared" si="219"/>
        <v>35.552500000000002</v>
      </c>
      <c r="AO257" s="29">
        <f t="shared" si="220"/>
        <v>1.8637860078284985</v>
      </c>
      <c r="AP257" s="29">
        <f>IF((OR(R257="A",R257="B",R257="C")),INDEX(Coefficients!$S$4:$S$22,MATCH(J257,Coefficients!$R$4:$R$22)),INDEX(Coefficients!$T$4:$T$22,MATCH(J257,Coefficients!$R$4:$R$22)))</f>
        <v>1.3</v>
      </c>
      <c r="AQ257" s="27">
        <f>IF((OR(R257="A",R257="B",R257="C")),INDEX(Coefficients!$S$4:$S$22,MATCH(K257,Coefficients!$R$4:$R$22)),INDEX(Coefficients!$T$4:$T$22,MATCH(K257,Coefficients!$R$4:$R$22)))</f>
        <v>25</v>
      </c>
      <c r="AR257" s="27">
        <f>IF(OR(R257="A",R257="B",R257="C",R257="D"),IF(AN257&gt;=11,IF(AN257&gt;=26,Coefficients!$M$6,Coefficients!$M$5),Coefficients!$M$4),IF(AN257&gt;=11,IF(AN257&gt;=26,Coefficients!$N$6,Coefficients!$N$5),Coefficients!$N$4))</f>
        <v>1</v>
      </c>
      <c r="AS257" s="27">
        <f>INDEX(Coefficients!$X$3:$X$4,MATCH(S257,Coefficients!$W$3:$W$4))</f>
        <v>1</v>
      </c>
      <c r="AT257" s="27">
        <f>INDEX(Coefficients!$X$7:$X$8,MATCH(O257,Coefficients!$W$7:$W$8))</f>
        <v>1</v>
      </c>
      <c r="AU257" s="27">
        <f>INDEX(Coefficients!$X$11:$X$12,MATCH(P257,Coefficients!$W$11:$W$12))</f>
        <v>1</v>
      </c>
      <c r="AV257" s="27">
        <f>INDEX(Coefficients!$X$15:$X$17,MATCH(Q257,Coefficients!$W$15:$W$17))</f>
        <v>1</v>
      </c>
      <c r="AW257" s="27">
        <f t="shared" si="232"/>
        <v>1</v>
      </c>
      <c r="AX257" s="27">
        <f t="shared" si="233"/>
        <v>1</v>
      </c>
      <c r="AY257" s="27">
        <f t="shared" si="234"/>
        <v>1.3</v>
      </c>
      <c r="AZ257" s="29">
        <f t="shared" si="235"/>
        <v>46.594650195712461</v>
      </c>
      <c r="BA257" s="29">
        <f t="shared" si="236"/>
        <v>0</v>
      </c>
      <c r="BB257" s="29">
        <f t="shared" si="237"/>
        <v>2.4229218101770482</v>
      </c>
      <c r="BC257" s="29">
        <f t="shared" si="238"/>
        <v>1.7577078189822952</v>
      </c>
      <c r="BD257" s="29">
        <f t="shared" si="221"/>
        <v>0.42923382654432624</v>
      </c>
      <c r="BE257" s="16">
        <f t="shared" si="222"/>
        <v>77.697178454072315</v>
      </c>
      <c r="BF257" s="16">
        <f t="shared" si="223"/>
        <v>244.60564309185537</v>
      </c>
      <c r="BG257" s="25">
        <f t="shared" si="224"/>
        <v>0.77697178454072313</v>
      </c>
      <c r="BH257" s="29">
        <f t="shared" si="225"/>
        <v>170.93379259895912</v>
      </c>
      <c r="BI257" s="29">
        <f t="shared" si="226"/>
        <v>58.132414802081769</v>
      </c>
      <c r="BJ257" s="29">
        <f t="shared" si="227"/>
        <v>35.204928302782484</v>
      </c>
    </row>
    <row r="258" spans="2:62">
      <c r="B258" s="29" t="s">
        <v>91</v>
      </c>
      <c r="C258" s="83" t="str">
        <f>'Cooler&amp;Wetter'!$B$1</f>
        <v>MIROC-Medres</v>
      </c>
      <c r="D258" s="89">
        <v>2032</v>
      </c>
      <c r="E258" s="90">
        <f>'Cooler&amp;Wetter'!AA60</f>
        <v>35.555</v>
      </c>
      <c r="F258" s="90">
        <f>'Cooler&amp;Wetter'!AC60</f>
        <v>22.553000000000001</v>
      </c>
      <c r="G258" s="35">
        <f t="shared" si="228"/>
        <v>2005</v>
      </c>
      <c r="H258" s="91" t="str">
        <f t="shared" si="208"/>
        <v>Pile 32 @ Berth 201</v>
      </c>
      <c r="I258" s="35" t="str">
        <f t="shared" si="209"/>
        <v>Turpentine Gum</v>
      </c>
      <c r="J258" s="35" t="str">
        <f t="shared" si="210"/>
        <v>HW1</v>
      </c>
      <c r="K258" s="35" t="str">
        <f t="shared" si="229"/>
        <v>SPHU</v>
      </c>
      <c r="L258" s="35">
        <f t="shared" si="211"/>
        <v>400</v>
      </c>
      <c r="M258" s="35">
        <f t="shared" si="212"/>
        <v>20</v>
      </c>
      <c r="N258" s="35">
        <f t="shared" si="213"/>
        <v>200</v>
      </c>
      <c r="O258" s="35" t="str">
        <f t="shared" si="214"/>
        <v>MTN2</v>
      </c>
      <c r="P258" s="35" t="str">
        <f t="shared" si="215"/>
        <v>CNT2</v>
      </c>
      <c r="Q258" s="35" t="str">
        <f t="shared" si="216"/>
        <v>KNT3</v>
      </c>
      <c r="R258" s="35" t="str">
        <f t="shared" si="217"/>
        <v>E</v>
      </c>
      <c r="S258" s="35" t="str">
        <f t="shared" si="218"/>
        <v>EXP1</v>
      </c>
      <c r="T258" s="58"/>
      <c r="U258" s="58"/>
      <c r="V258" s="58"/>
      <c r="W258" s="58"/>
      <c r="X258" s="58"/>
      <c r="Y258" s="58"/>
      <c r="Z258" s="58"/>
      <c r="AA258" s="95">
        <f t="shared" si="176"/>
        <v>0.80534910899853829</v>
      </c>
      <c r="AB258" s="96">
        <f t="shared" si="230"/>
        <v>80.534910899853827</v>
      </c>
      <c r="AC258" s="58"/>
      <c r="AD258" s="58"/>
      <c r="AE258" s="58"/>
      <c r="AF258" s="58"/>
      <c r="AG258" s="58"/>
      <c r="AH258" s="58"/>
      <c r="AI258" s="58"/>
      <c r="AJ258" s="58"/>
      <c r="AK258" s="58"/>
      <c r="AL258" s="58"/>
      <c r="AM258" s="89">
        <f t="shared" si="231"/>
        <v>27</v>
      </c>
      <c r="AN258" s="30">
        <f t="shared" ref="AN258:AN289" si="239">E258</f>
        <v>35.555</v>
      </c>
      <c r="AO258" s="29">
        <f t="shared" ref="AO258:AO289" si="240">0.1*EXP(0.13*F258)</f>
        <v>1.8763059187878584</v>
      </c>
      <c r="AP258" s="29">
        <f>IF((OR(R258="A",R258="B",R258="C")),INDEX(Coefficients!$S$4:$S$22,MATCH(J258,Coefficients!$R$4:$R$22)),INDEX(Coefficients!$T$4:$T$22,MATCH(J258,Coefficients!$R$4:$R$22)))</f>
        <v>1.3</v>
      </c>
      <c r="AQ258" s="27">
        <f>IF((OR(R258="A",R258="B",R258="C")),INDEX(Coefficients!$S$4:$S$22,MATCH(K258,Coefficients!$R$4:$R$22)),INDEX(Coefficients!$T$4:$T$22,MATCH(K258,Coefficients!$R$4:$R$22)))</f>
        <v>25</v>
      </c>
      <c r="AR258" s="27">
        <f>IF(OR(R258="A",R258="B",R258="C",R258="D"),IF(AN258&gt;=11,IF(AN258&gt;=26,Coefficients!$M$6,Coefficients!$M$5),Coefficients!$M$4),IF(AN258&gt;=11,IF(AN258&gt;=26,Coefficients!$N$6,Coefficients!$N$5),Coefficients!$N$4))</f>
        <v>1</v>
      </c>
      <c r="AS258" s="27">
        <f>INDEX(Coefficients!$X$3:$X$4,MATCH(S258,Coefficients!$W$3:$W$4))</f>
        <v>1</v>
      </c>
      <c r="AT258" s="27">
        <f>INDEX(Coefficients!$X$7:$X$8,MATCH(O258,Coefficients!$W$7:$W$8))</f>
        <v>1</v>
      </c>
      <c r="AU258" s="27">
        <f>INDEX(Coefficients!$X$11:$X$12,MATCH(P258,Coefficients!$W$11:$W$12))</f>
        <v>1</v>
      </c>
      <c r="AV258" s="27">
        <f>INDEX(Coefficients!$X$15:$X$17,MATCH(Q258,Coefficients!$W$15:$W$17))</f>
        <v>1</v>
      </c>
      <c r="AW258" s="27">
        <f t="shared" si="232"/>
        <v>1</v>
      </c>
      <c r="AX258" s="27">
        <f t="shared" si="233"/>
        <v>1</v>
      </c>
      <c r="AY258" s="27">
        <f t="shared" si="234"/>
        <v>1.3</v>
      </c>
      <c r="AZ258" s="29">
        <f t="shared" si="235"/>
        <v>46.907647969696455</v>
      </c>
      <c r="BA258" s="29">
        <f t="shared" si="236"/>
        <v>0</v>
      </c>
      <c r="BB258" s="29">
        <f t="shared" si="237"/>
        <v>2.439197694424216</v>
      </c>
      <c r="BC258" s="29">
        <f t="shared" si="238"/>
        <v>1.7560802305575784</v>
      </c>
      <c r="BD258" s="29">
        <f t="shared" ref="BD258:BD289" si="241">M258/AZ258+BA258</f>
        <v>0.42636970442262451</v>
      </c>
      <c r="BE258" s="16">
        <f t="shared" ref="BE258:BE289" si="242">IF(AM258&lt;=0,0,IF(AM258&gt;(BD258+BC258),M258+(AM258-BD258-BC258)*BB258,M258))</f>
        <v>80.534910899853827</v>
      </c>
      <c r="BF258" s="16">
        <f t="shared" ref="BF258:BF289" si="243">L258-2*BE258</f>
        <v>238.93017820029235</v>
      </c>
      <c r="BG258" s="25">
        <f t="shared" ref="BG258:BG289" si="244">IF(2*BE258&gt;(L258-N258),1,BE258/((L258-N258)/2))</f>
        <v>0.80534910899853829</v>
      </c>
      <c r="BH258" s="29">
        <f t="shared" ref="BH258:BH289" si="245">BE258*(1+$BF$1*$BF$2)</f>
        <v>177.17680397967843</v>
      </c>
      <c r="BI258" s="29">
        <f t="shared" ref="BI258:BI289" si="246">L258-2*BH258</f>
        <v>45.64639204064315</v>
      </c>
      <c r="BJ258" s="29">
        <f t="shared" ref="BJ258:BJ289" si="247">($BF$3/2-M258)/BB258+BD258+BC258</f>
        <v>34.980119505951315</v>
      </c>
    </row>
    <row r="259" spans="2:62">
      <c r="B259" s="29" t="s">
        <v>91</v>
      </c>
      <c r="C259" s="83" t="str">
        <f>'Cooler&amp;Wetter'!$B$1</f>
        <v>MIROC-Medres</v>
      </c>
      <c r="D259" s="89">
        <v>2033</v>
      </c>
      <c r="E259" s="90">
        <f>'Cooler&amp;Wetter'!AA61</f>
        <v>35.557499999999997</v>
      </c>
      <c r="F259" s="90">
        <f>'Cooler&amp;Wetter'!AC61</f>
        <v>22.604500000000002</v>
      </c>
      <c r="G259" s="35">
        <f t="shared" si="228"/>
        <v>2005</v>
      </c>
      <c r="H259" s="91" t="str">
        <f t="shared" si="208"/>
        <v>Pile 32 @ Berth 201</v>
      </c>
      <c r="I259" s="35" t="str">
        <f t="shared" si="209"/>
        <v>Turpentine Gum</v>
      </c>
      <c r="J259" s="35" t="str">
        <f t="shared" si="210"/>
        <v>HW1</v>
      </c>
      <c r="K259" s="35" t="str">
        <f t="shared" si="229"/>
        <v>SPHU</v>
      </c>
      <c r="L259" s="35">
        <f t="shared" si="211"/>
        <v>400</v>
      </c>
      <c r="M259" s="35">
        <f t="shared" si="212"/>
        <v>20</v>
      </c>
      <c r="N259" s="35">
        <f t="shared" si="213"/>
        <v>200</v>
      </c>
      <c r="O259" s="35" t="str">
        <f t="shared" si="214"/>
        <v>MTN2</v>
      </c>
      <c r="P259" s="35" t="str">
        <f t="shared" si="215"/>
        <v>CNT2</v>
      </c>
      <c r="Q259" s="35" t="str">
        <f t="shared" si="216"/>
        <v>KNT3</v>
      </c>
      <c r="R259" s="35" t="str">
        <f t="shared" si="217"/>
        <v>E</v>
      </c>
      <c r="S259" s="35" t="str">
        <f t="shared" si="218"/>
        <v>EXP1</v>
      </c>
      <c r="T259" s="58"/>
      <c r="U259" s="58"/>
      <c r="V259" s="58"/>
      <c r="W259" s="58"/>
      <c r="X259" s="58"/>
      <c r="Y259" s="58"/>
      <c r="Z259" s="58"/>
      <c r="AA259" s="95">
        <f t="shared" si="176"/>
        <v>0.83408144437200504</v>
      </c>
      <c r="AB259" s="96">
        <f t="shared" si="230"/>
        <v>83.408144437200505</v>
      </c>
      <c r="AC259" s="58"/>
      <c r="AD259" s="58"/>
      <c r="AE259" s="58"/>
      <c r="AF259" s="58"/>
      <c r="AG259" s="58"/>
      <c r="AH259" s="58"/>
      <c r="AI259" s="58"/>
      <c r="AJ259" s="58"/>
      <c r="AK259" s="58"/>
      <c r="AL259" s="58"/>
      <c r="AM259" s="89">
        <f t="shared" si="231"/>
        <v>28</v>
      </c>
      <c r="AN259" s="30">
        <f t="shared" si="239"/>
        <v>35.557499999999997</v>
      </c>
      <c r="AO259" s="29">
        <f t="shared" si="240"/>
        <v>1.8889099317684654</v>
      </c>
      <c r="AP259" s="29">
        <f>IF((OR(R259="A",R259="B",R259="C")),INDEX(Coefficients!$S$4:$S$22,MATCH(J259,Coefficients!$R$4:$R$22)),INDEX(Coefficients!$T$4:$T$22,MATCH(J259,Coefficients!$R$4:$R$22)))</f>
        <v>1.3</v>
      </c>
      <c r="AQ259" s="27">
        <f>IF((OR(R259="A",R259="B",R259="C")),INDEX(Coefficients!$S$4:$S$22,MATCH(K259,Coefficients!$R$4:$R$22)),INDEX(Coefficients!$T$4:$T$22,MATCH(K259,Coefficients!$R$4:$R$22)))</f>
        <v>25</v>
      </c>
      <c r="AR259" s="27">
        <f>IF(OR(R259="A",R259="B",R259="C",R259="D"),IF(AN259&gt;=11,IF(AN259&gt;=26,Coefficients!$M$6,Coefficients!$M$5),Coefficients!$M$4),IF(AN259&gt;=11,IF(AN259&gt;=26,Coefficients!$N$6,Coefficients!$N$5),Coefficients!$N$4))</f>
        <v>1</v>
      </c>
      <c r="AS259" s="27">
        <f>INDEX(Coefficients!$X$3:$X$4,MATCH(S259,Coefficients!$W$3:$W$4))</f>
        <v>1</v>
      </c>
      <c r="AT259" s="27">
        <f>INDEX(Coefficients!$X$7:$X$8,MATCH(O259,Coefficients!$W$7:$W$8))</f>
        <v>1</v>
      </c>
      <c r="AU259" s="27">
        <f>INDEX(Coefficients!$X$11:$X$12,MATCH(P259,Coefficients!$W$11:$W$12))</f>
        <v>1</v>
      </c>
      <c r="AV259" s="27">
        <f>INDEX(Coefficients!$X$15:$X$17,MATCH(Q259,Coefficients!$W$15:$W$17))</f>
        <v>1</v>
      </c>
      <c r="AW259" s="27">
        <f t="shared" si="232"/>
        <v>1</v>
      </c>
      <c r="AX259" s="27">
        <f t="shared" si="233"/>
        <v>1</v>
      </c>
      <c r="AY259" s="27">
        <f t="shared" si="234"/>
        <v>1.3</v>
      </c>
      <c r="AZ259" s="29">
        <f t="shared" si="235"/>
        <v>47.222748294211634</v>
      </c>
      <c r="BA259" s="29">
        <f t="shared" si="236"/>
        <v>0</v>
      </c>
      <c r="BB259" s="29">
        <f t="shared" si="237"/>
        <v>2.4555829112990053</v>
      </c>
      <c r="BC259" s="29">
        <f t="shared" si="238"/>
        <v>1.7544417088700994</v>
      </c>
      <c r="BD259" s="29">
        <f t="shared" si="241"/>
        <v>0.42352469355222844</v>
      </c>
      <c r="BE259" s="16">
        <f t="shared" si="242"/>
        <v>83.408144437200505</v>
      </c>
      <c r="BF259" s="16">
        <f t="shared" si="243"/>
        <v>233.18371112559899</v>
      </c>
      <c r="BG259" s="25">
        <f t="shared" si="244"/>
        <v>0.83408144437200504</v>
      </c>
      <c r="BH259" s="29">
        <f t="shared" si="245"/>
        <v>183.49791776184114</v>
      </c>
      <c r="BI259" s="29">
        <f t="shared" si="246"/>
        <v>33.004164476317726</v>
      </c>
      <c r="BJ259" s="29">
        <f t="shared" si="247"/>
        <v>34.756788983362974</v>
      </c>
    </row>
    <row r="260" spans="2:62">
      <c r="B260" s="29" t="s">
        <v>91</v>
      </c>
      <c r="C260" s="83" t="str">
        <f>'Cooler&amp;Wetter'!$B$1</f>
        <v>MIROC-Medres</v>
      </c>
      <c r="D260" s="89">
        <v>2034</v>
      </c>
      <c r="E260" s="90">
        <f>'Cooler&amp;Wetter'!AA62</f>
        <v>35.56</v>
      </c>
      <c r="F260" s="90">
        <f>'Cooler&amp;Wetter'!AC62</f>
        <v>22.655999999999999</v>
      </c>
      <c r="G260" s="35">
        <f t="shared" si="228"/>
        <v>2005</v>
      </c>
      <c r="H260" s="91" t="str">
        <f t="shared" si="208"/>
        <v>Pile 32 @ Berth 201</v>
      </c>
      <c r="I260" s="35" t="str">
        <f t="shared" si="209"/>
        <v>Turpentine Gum</v>
      </c>
      <c r="J260" s="35" t="str">
        <f t="shared" si="210"/>
        <v>HW1</v>
      </c>
      <c r="K260" s="35" t="str">
        <f t="shared" si="229"/>
        <v>SPHU</v>
      </c>
      <c r="L260" s="35">
        <f t="shared" si="211"/>
        <v>400</v>
      </c>
      <c r="M260" s="35">
        <f t="shared" si="212"/>
        <v>20</v>
      </c>
      <c r="N260" s="35">
        <f t="shared" si="213"/>
        <v>200</v>
      </c>
      <c r="O260" s="35" t="str">
        <f t="shared" si="214"/>
        <v>MTN2</v>
      </c>
      <c r="P260" s="35" t="str">
        <f t="shared" si="215"/>
        <v>CNT2</v>
      </c>
      <c r="Q260" s="35" t="str">
        <f t="shared" si="216"/>
        <v>KNT3</v>
      </c>
      <c r="R260" s="35" t="str">
        <f t="shared" si="217"/>
        <v>E</v>
      </c>
      <c r="S260" s="35" t="str">
        <f t="shared" si="218"/>
        <v>EXP1</v>
      </c>
      <c r="T260" s="58"/>
      <c r="U260" s="58"/>
      <c r="V260" s="58"/>
      <c r="W260" s="58"/>
      <c r="X260" s="58"/>
      <c r="Y260" s="58"/>
      <c r="Z260" s="58"/>
      <c r="AA260" s="95">
        <f t="shared" si="176"/>
        <v>0.86317228331794549</v>
      </c>
      <c r="AB260" s="96">
        <f t="shared" si="230"/>
        <v>86.317228331794553</v>
      </c>
      <c r="AC260" s="58"/>
      <c r="AD260" s="58"/>
      <c r="AE260" s="58"/>
      <c r="AF260" s="58"/>
      <c r="AG260" s="58"/>
      <c r="AH260" s="58"/>
      <c r="AI260" s="58"/>
      <c r="AJ260" s="58"/>
      <c r="AK260" s="58"/>
      <c r="AL260" s="58"/>
      <c r="AM260" s="89">
        <f t="shared" si="231"/>
        <v>29</v>
      </c>
      <c r="AN260" s="30">
        <f t="shared" si="239"/>
        <v>35.56</v>
      </c>
      <c r="AO260" s="29">
        <f t="shared" si="240"/>
        <v>1.9015986117224177</v>
      </c>
      <c r="AP260" s="29">
        <f>IF((OR(R260="A",R260="B",R260="C")),INDEX(Coefficients!$S$4:$S$22,MATCH(J260,Coefficients!$R$4:$R$22)),INDEX(Coefficients!$T$4:$T$22,MATCH(J260,Coefficients!$R$4:$R$22)))</f>
        <v>1.3</v>
      </c>
      <c r="AQ260" s="27">
        <f>IF((OR(R260="A",R260="B",R260="C")),INDEX(Coefficients!$S$4:$S$22,MATCH(K260,Coefficients!$R$4:$R$22)),INDEX(Coefficients!$T$4:$T$22,MATCH(K260,Coefficients!$R$4:$R$22)))</f>
        <v>25</v>
      </c>
      <c r="AR260" s="27">
        <f>IF(OR(R260="A",R260="B",R260="C",R260="D"),IF(AN260&gt;=11,IF(AN260&gt;=26,Coefficients!$M$6,Coefficients!$M$5),Coefficients!$M$4),IF(AN260&gt;=11,IF(AN260&gt;=26,Coefficients!$N$6,Coefficients!$N$5),Coefficients!$N$4))</f>
        <v>1</v>
      </c>
      <c r="AS260" s="27">
        <f>INDEX(Coefficients!$X$3:$X$4,MATCH(S260,Coefficients!$W$3:$W$4))</f>
        <v>1</v>
      </c>
      <c r="AT260" s="27">
        <f>INDEX(Coefficients!$X$7:$X$8,MATCH(O260,Coefficients!$W$7:$W$8))</f>
        <v>1</v>
      </c>
      <c r="AU260" s="27">
        <f>INDEX(Coefficients!$X$11:$X$12,MATCH(P260,Coefficients!$W$11:$W$12))</f>
        <v>1</v>
      </c>
      <c r="AV260" s="27">
        <f>INDEX(Coefficients!$X$15:$X$17,MATCH(Q260,Coefficients!$W$15:$W$17))</f>
        <v>1</v>
      </c>
      <c r="AW260" s="27">
        <f t="shared" si="232"/>
        <v>1</v>
      </c>
      <c r="AX260" s="27">
        <f t="shared" si="233"/>
        <v>1</v>
      </c>
      <c r="AY260" s="27">
        <f t="shared" si="234"/>
        <v>1.3</v>
      </c>
      <c r="AZ260" s="29">
        <f t="shared" si="235"/>
        <v>47.53996529306044</v>
      </c>
      <c r="BA260" s="29">
        <f t="shared" si="236"/>
        <v>0</v>
      </c>
      <c r="BB260" s="29">
        <f t="shared" si="237"/>
        <v>2.4720781952391433</v>
      </c>
      <c r="BC260" s="29">
        <f t="shared" si="238"/>
        <v>1.7527921804760855</v>
      </c>
      <c r="BD260" s="29">
        <f t="shared" si="241"/>
        <v>0.42069866641066866</v>
      </c>
      <c r="BE260" s="16">
        <f t="shared" si="242"/>
        <v>86.317228331794553</v>
      </c>
      <c r="BF260" s="16">
        <f t="shared" si="243"/>
        <v>227.36554333641089</v>
      </c>
      <c r="BG260" s="25">
        <f t="shared" si="244"/>
        <v>0.86317228331794549</v>
      </c>
      <c r="BH260" s="29">
        <f t="shared" si="245"/>
        <v>189.89790232994804</v>
      </c>
      <c r="BI260" s="29">
        <f t="shared" si="246"/>
        <v>20.204195340103922</v>
      </c>
      <c r="BJ260" s="29">
        <f t="shared" si="247"/>
        <v>34.534926724630488</v>
      </c>
    </row>
    <row r="261" spans="2:62">
      <c r="B261" s="29" t="s">
        <v>91</v>
      </c>
      <c r="C261" s="83" t="str">
        <f>'Cooler&amp;Wetter'!$B$1</f>
        <v>MIROC-Medres</v>
      </c>
      <c r="D261" s="89">
        <v>2035</v>
      </c>
      <c r="E261" s="90">
        <f>'Cooler&amp;Wetter'!AA63</f>
        <v>35.5625</v>
      </c>
      <c r="F261" s="90">
        <f>'Cooler&amp;Wetter'!AC63</f>
        <v>22.7075</v>
      </c>
      <c r="G261" s="35">
        <f t="shared" si="228"/>
        <v>2005</v>
      </c>
      <c r="H261" s="91" t="str">
        <f t="shared" si="208"/>
        <v>Pile 32 @ Berth 201</v>
      </c>
      <c r="I261" s="35" t="str">
        <f t="shared" si="209"/>
        <v>Turpentine Gum</v>
      </c>
      <c r="J261" s="35" t="str">
        <f t="shared" si="210"/>
        <v>HW1</v>
      </c>
      <c r="K261" s="35" t="str">
        <f t="shared" si="229"/>
        <v>SPHU</v>
      </c>
      <c r="L261" s="35">
        <f t="shared" si="211"/>
        <v>400</v>
      </c>
      <c r="M261" s="35">
        <f t="shared" si="212"/>
        <v>20</v>
      </c>
      <c r="N261" s="35">
        <f t="shared" si="213"/>
        <v>200</v>
      </c>
      <c r="O261" s="35" t="str">
        <f t="shared" si="214"/>
        <v>MTN2</v>
      </c>
      <c r="P261" s="35" t="str">
        <f t="shared" si="215"/>
        <v>CNT2</v>
      </c>
      <c r="Q261" s="35" t="str">
        <f t="shared" si="216"/>
        <v>KNT3</v>
      </c>
      <c r="R261" s="35" t="str">
        <f t="shared" si="217"/>
        <v>E</v>
      </c>
      <c r="S261" s="35" t="str">
        <f t="shared" si="218"/>
        <v>EXP1</v>
      </c>
      <c r="T261" s="58"/>
      <c r="U261" s="58"/>
      <c r="V261" s="58"/>
      <c r="W261" s="58"/>
      <c r="X261" s="58"/>
      <c r="Y261" s="58"/>
      <c r="Z261" s="58"/>
      <c r="AA261" s="95">
        <f t="shared" si="176"/>
        <v>0.89262514944592874</v>
      </c>
      <c r="AB261" s="96">
        <f t="shared" si="230"/>
        <v>89.26251494459288</v>
      </c>
      <c r="AC261" s="58"/>
      <c r="AD261" s="58"/>
      <c r="AE261" s="58"/>
      <c r="AF261" s="58"/>
      <c r="AG261" s="58"/>
      <c r="AH261" s="58"/>
      <c r="AI261" s="58"/>
      <c r="AJ261" s="58"/>
      <c r="AK261" s="58"/>
      <c r="AL261" s="58"/>
      <c r="AM261" s="89">
        <f t="shared" si="231"/>
        <v>30</v>
      </c>
      <c r="AN261" s="30">
        <f t="shared" si="239"/>
        <v>35.5625</v>
      </c>
      <c r="AO261" s="29">
        <f t="shared" si="240"/>
        <v>1.9143725273968604</v>
      </c>
      <c r="AP261" s="29">
        <f>IF((OR(R261="A",R261="B",R261="C")),INDEX(Coefficients!$S$4:$S$22,MATCH(J261,Coefficients!$R$4:$R$22)),INDEX(Coefficients!$T$4:$T$22,MATCH(J261,Coefficients!$R$4:$R$22)))</f>
        <v>1.3</v>
      </c>
      <c r="AQ261" s="27">
        <f>IF((OR(R261="A",R261="B",R261="C")),INDEX(Coefficients!$S$4:$S$22,MATCH(K261,Coefficients!$R$4:$R$22)),INDEX(Coefficients!$T$4:$T$22,MATCH(K261,Coefficients!$R$4:$R$22)))</f>
        <v>25</v>
      </c>
      <c r="AR261" s="27">
        <f>IF(OR(R261="A",R261="B",R261="C",R261="D"),IF(AN261&gt;=11,IF(AN261&gt;=26,Coefficients!$M$6,Coefficients!$M$5),Coefficients!$M$4),IF(AN261&gt;=11,IF(AN261&gt;=26,Coefficients!$N$6,Coefficients!$N$5),Coefficients!$N$4))</f>
        <v>1</v>
      </c>
      <c r="AS261" s="27">
        <f>INDEX(Coefficients!$X$3:$X$4,MATCH(S261,Coefficients!$W$3:$W$4))</f>
        <v>1</v>
      </c>
      <c r="AT261" s="27">
        <f>INDEX(Coefficients!$X$7:$X$8,MATCH(O261,Coefficients!$W$7:$W$8))</f>
        <v>1</v>
      </c>
      <c r="AU261" s="27">
        <f>INDEX(Coefficients!$X$11:$X$12,MATCH(P261,Coefficients!$W$11:$W$12))</f>
        <v>1</v>
      </c>
      <c r="AV261" s="27">
        <f>INDEX(Coefficients!$X$15:$X$17,MATCH(Q261,Coefficients!$W$15:$W$17))</f>
        <v>1</v>
      </c>
      <c r="AW261" s="27">
        <f t="shared" si="232"/>
        <v>1</v>
      </c>
      <c r="AX261" s="27">
        <f t="shared" si="233"/>
        <v>1</v>
      </c>
      <c r="AY261" s="27">
        <f t="shared" si="234"/>
        <v>1.3</v>
      </c>
      <c r="AZ261" s="29">
        <f t="shared" si="235"/>
        <v>47.859313184921511</v>
      </c>
      <c r="BA261" s="29">
        <f t="shared" si="236"/>
        <v>0</v>
      </c>
      <c r="BB261" s="29">
        <f t="shared" si="237"/>
        <v>2.4886842856159186</v>
      </c>
      <c r="BC261" s="29">
        <f t="shared" si="238"/>
        <v>1.7511315714384081</v>
      </c>
      <c r="BD261" s="29">
        <f t="shared" si="241"/>
        <v>0.41789149632638634</v>
      </c>
      <c r="BE261" s="16">
        <f t="shared" si="242"/>
        <v>89.26251494459288</v>
      </c>
      <c r="BF261" s="16">
        <f t="shared" si="243"/>
        <v>221.47497011081424</v>
      </c>
      <c r="BG261" s="25">
        <f t="shared" si="244"/>
        <v>0.89262514944592874</v>
      </c>
      <c r="BH261" s="29">
        <f t="shared" si="245"/>
        <v>196.37753287810435</v>
      </c>
      <c r="BI261" s="29">
        <f t="shared" si="246"/>
        <v>7.244934243791306</v>
      </c>
      <c r="BJ261" s="29">
        <f t="shared" si="247"/>
        <v>34.314522785179122</v>
      </c>
    </row>
    <row r="262" spans="2:62">
      <c r="B262" s="29" t="s">
        <v>91</v>
      </c>
      <c r="C262" s="83" t="str">
        <f>'Cooler&amp;Wetter'!$B$1</f>
        <v>MIROC-Medres</v>
      </c>
      <c r="D262" s="89">
        <v>2036</v>
      </c>
      <c r="E262" s="90">
        <f>'Cooler&amp;Wetter'!AA64</f>
        <v>35.564999999999998</v>
      </c>
      <c r="F262" s="90">
        <f>'Cooler&amp;Wetter'!AC64</f>
        <v>22.759</v>
      </c>
      <c r="G262" s="35">
        <f t="shared" si="228"/>
        <v>2005</v>
      </c>
      <c r="H262" s="91" t="str">
        <f t="shared" si="208"/>
        <v>Pile 32 @ Berth 201</v>
      </c>
      <c r="I262" s="35" t="str">
        <f t="shared" si="209"/>
        <v>Turpentine Gum</v>
      </c>
      <c r="J262" s="35" t="str">
        <f t="shared" si="210"/>
        <v>HW1</v>
      </c>
      <c r="K262" s="35" t="str">
        <f t="shared" si="229"/>
        <v>SPHU</v>
      </c>
      <c r="L262" s="35">
        <f t="shared" si="211"/>
        <v>400</v>
      </c>
      <c r="M262" s="35">
        <f t="shared" si="212"/>
        <v>20</v>
      </c>
      <c r="N262" s="35">
        <f t="shared" si="213"/>
        <v>200</v>
      </c>
      <c r="O262" s="35" t="str">
        <f t="shared" si="214"/>
        <v>MTN2</v>
      </c>
      <c r="P262" s="35" t="str">
        <f t="shared" si="215"/>
        <v>CNT2</v>
      </c>
      <c r="Q262" s="35" t="str">
        <f t="shared" si="216"/>
        <v>KNT3</v>
      </c>
      <c r="R262" s="35" t="str">
        <f t="shared" si="217"/>
        <v>E</v>
      </c>
      <c r="S262" s="35" t="str">
        <f t="shared" si="218"/>
        <v>EXP1</v>
      </c>
      <c r="T262" s="58"/>
      <c r="U262" s="58"/>
      <c r="V262" s="58"/>
      <c r="W262" s="58"/>
      <c r="X262" s="58"/>
      <c r="Y262" s="58"/>
      <c r="Z262" s="58"/>
      <c r="AA262" s="95">
        <f t="shared" si="176"/>
        <v>0.92244359757717032</v>
      </c>
      <c r="AB262" s="96">
        <f t="shared" si="230"/>
        <v>92.244359757717035</v>
      </c>
      <c r="AC262" s="58"/>
      <c r="AD262" s="58"/>
      <c r="AE262" s="58"/>
      <c r="AF262" s="58"/>
      <c r="AG262" s="58"/>
      <c r="AH262" s="58"/>
      <c r="AI262" s="58"/>
      <c r="AJ262" s="58"/>
      <c r="AK262" s="58"/>
      <c r="AL262" s="58"/>
      <c r="AM262" s="89">
        <f t="shared" si="231"/>
        <v>31</v>
      </c>
      <c r="AN262" s="30">
        <f t="shared" si="239"/>
        <v>35.564999999999998</v>
      </c>
      <c r="AO262" s="29">
        <f t="shared" si="240"/>
        <v>1.9272322513594724</v>
      </c>
      <c r="AP262" s="29">
        <f>IF((OR(R262="A",R262="B",R262="C")),INDEX(Coefficients!$S$4:$S$22,MATCH(J262,Coefficients!$R$4:$R$22)),INDEX(Coefficients!$T$4:$T$22,MATCH(J262,Coefficients!$R$4:$R$22)))</f>
        <v>1.3</v>
      </c>
      <c r="AQ262" s="27">
        <f>IF((OR(R262="A",R262="B",R262="C")),INDEX(Coefficients!$S$4:$S$22,MATCH(K262,Coefficients!$R$4:$R$22)),INDEX(Coefficients!$T$4:$T$22,MATCH(K262,Coefficients!$R$4:$R$22)))</f>
        <v>25</v>
      </c>
      <c r="AR262" s="27">
        <f>IF(OR(R262="A",R262="B",R262="C",R262="D"),IF(AN262&gt;=11,IF(AN262&gt;=26,Coefficients!$M$6,Coefficients!$M$5),Coefficients!$M$4),IF(AN262&gt;=11,IF(AN262&gt;=26,Coefficients!$N$6,Coefficients!$N$5),Coefficients!$N$4))</f>
        <v>1</v>
      </c>
      <c r="AS262" s="27">
        <f>INDEX(Coefficients!$X$3:$X$4,MATCH(S262,Coefficients!$W$3:$W$4))</f>
        <v>1</v>
      </c>
      <c r="AT262" s="27">
        <f>INDEX(Coefficients!$X$7:$X$8,MATCH(O262,Coefficients!$W$7:$W$8))</f>
        <v>1</v>
      </c>
      <c r="AU262" s="27">
        <f>INDEX(Coefficients!$X$11:$X$12,MATCH(P262,Coefficients!$W$11:$W$12))</f>
        <v>1</v>
      </c>
      <c r="AV262" s="27">
        <f>INDEX(Coefficients!$X$15:$X$17,MATCH(Q262,Coefficients!$W$15:$W$17))</f>
        <v>1</v>
      </c>
      <c r="AW262" s="27">
        <f t="shared" si="232"/>
        <v>1</v>
      </c>
      <c r="AX262" s="27">
        <f t="shared" si="233"/>
        <v>1</v>
      </c>
      <c r="AY262" s="27">
        <f t="shared" si="234"/>
        <v>1.3</v>
      </c>
      <c r="AZ262" s="29">
        <f t="shared" si="235"/>
        <v>48.180806283986811</v>
      </c>
      <c r="BA262" s="29">
        <f t="shared" si="236"/>
        <v>0</v>
      </c>
      <c r="BB262" s="29">
        <f t="shared" si="237"/>
        <v>2.505401926767314</v>
      </c>
      <c r="BC262" s="29">
        <f t="shared" si="238"/>
        <v>1.7494598073232686</v>
      </c>
      <c r="BD262" s="29">
        <f t="shared" si="241"/>
        <v>0.41510305747305692</v>
      </c>
      <c r="BE262" s="16">
        <f t="shared" si="242"/>
        <v>92.244359757717035</v>
      </c>
      <c r="BF262" s="16">
        <f t="shared" si="243"/>
        <v>215.51128048456593</v>
      </c>
      <c r="BG262" s="25">
        <f t="shared" si="244"/>
        <v>0.92244359757717032</v>
      </c>
      <c r="BH262" s="29">
        <f t="shared" si="245"/>
        <v>202.93759146697749</v>
      </c>
      <c r="BI262" s="29">
        <f t="shared" si="246"/>
        <v>-5.8751829339549886</v>
      </c>
      <c r="BJ262" s="29">
        <f t="shared" si="247"/>
        <v>34.095567285800705</v>
      </c>
    </row>
    <row r="263" spans="2:62">
      <c r="B263" s="29" t="s">
        <v>91</v>
      </c>
      <c r="C263" s="83" t="str">
        <f>'Cooler&amp;Wetter'!$B$1</f>
        <v>MIROC-Medres</v>
      </c>
      <c r="D263" s="89">
        <v>2037</v>
      </c>
      <c r="E263" s="90">
        <f>'Cooler&amp;Wetter'!AA65</f>
        <v>35.567500000000003</v>
      </c>
      <c r="F263" s="90">
        <f>'Cooler&amp;Wetter'!AC65</f>
        <v>22.810500000000001</v>
      </c>
      <c r="G263" s="35">
        <f t="shared" si="228"/>
        <v>2005</v>
      </c>
      <c r="H263" s="91" t="str">
        <f t="shared" si="208"/>
        <v>Pile 32 @ Berth 201</v>
      </c>
      <c r="I263" s="35" t="str">
        <f t="shared" si="209"/>
        <v>Turpentine Gum</v>
      </c>
      <c r="J263" s="35" t="str">
        <f t="shared" si="210"/>
        <v>HW1</v>
      </c>
      <c r="K263" s="35" t="str">
        <f t="shared" si="229"/>
        <v>SPHU</v>
      </c>
      <c r="L263" s="35">
        <f t="shared" si="211"/>
        <v>400</v>
      </c>
      <c r="M263" s="35">
        <f t="shared" si="212"/>
        <v>20</v>
      </c>
      <c r="N263" s="35">
        <f t="shared" si="213"/>
        <v>200</v>
      </c>
      <c r="O263" s="35" t="str">
        <f t="shared" si="214"/>
        <v>MTN2</v>
      </c>
      <c r="P263" s="35" t="str">
        <f t="shared" si="215"/>
        <v>CNT2</v>
      </c>
      <c r="Q263" s="35" t="str">
        <f t="shared" si="216"/>
        <v>KNT3</v>
      </c>
      <c r="R263" s="35" t="str">
        <f t="shared" si="217"/>
        <v>E</v>
      </c>
      <c r="S263" s="35" t="str">
        <f t="shared" si="218"/>
        <v>EXP1</v>
      </c>
      <c r="T263" s="58"/>
      <c r="U263" s="58"/>
      <c r="V263" s="58"/>
      <c r="W263" s="58"/>
      <c r="X263" s="58"/>
      <c r="Y263" s="58"/>
      <c r="Z263" s="58"/>
      <c r="AA263" s="95">
        <f t="shared" si="176"/>
        <v>0.95263121400552619</v>
      </c>
      <c r="AB263" s="96">
        <f t="shared" si="230"/>
        <v>95.26312140055262</v>
      </c>
      <c r="AC263" s="58"/>
      <c r="AD263" s="58"/>
      <c r="AE263" s="58"/>
      <c r="AF263" s="58"/>
      <c r="AG263" s="58"/>
      <c r="AH263" s="58"/>
      <c r="AI263" s="58"/>
      <c r="AJ263" s="58"/>
      <c r="AK263" s="58"/>
      <c r="AL263" s="58"/>
      <c r="AM263" s="89">
        <f t="shared" si="231"/>
        <v>32</v>
      </c>
      <c r="AN263" s="30">
        <f t="shared" si="239"/>
        <v>35.567500000000003</v>
      </c>
      <c r="AO263" s="29">
        <f t="shared" si="240"/>
        <v>1.940178360024136</v>
      </c>
      <c r="AP263" s="29">
        <f>IF((OR(R263="A",R263="B",R263="C")),INDEX(Coefficients!$S$4:$S$22,MATCH(J263,Coefficients!$R$4:$R$22)),INDEX(Coefficients!$T$4:$T$22,MATCH(J263,Coefficients!$R$4:$R$22)))</f>
        <v>1.3</v>
      </c>
      <c r="AQ263" s="27">
        <f>IF((OR(R263="A",R263="B",R263="C")),INDEX(Coefficients!$S$4:$S$22,MATCH(K263,Coefficients!$R$4:$R$22)),INDEX(Coefficients!$T$4:$T$22,MATCH(K263,Coefficients!$R$4:$R$22)))</f>
        <v>25</v>
      </c>
      <c r="AR263" s="27">
        <f>IF(OR(R263="A",R263="B",R263="C",R263="D"),IF(AN263&gt;=11,IF(AN263&gt;=26,Coefficients!$M$6,Coefficients!$M$5),Coefficients!$M$4),IF(AN263&gt;=11,IF(AN263&gt;=26,Coefficients!$N$6,Coefficients!$N$5),Coefficients!$N$4))</f>
        <v>1</v>
      </c>
      <c r="AS263" s="27">
        <f>INDEX(Coefficients!$X$3:$X$4,MATCH(S263,Coefficients!$W$3:$W$4))</f>
        <v>1</v>
      </c>
      <c r="AT263" s="27">
        <f>INDEX(Coefficients!$X$7:$X$8,MATCH(O263,Coefficients!$W$7:$W$8))</f>
        <v>1</v>
      </c>
      <c r="AU263" s="27">
        <f>INDEX(Coefficients!$X$11:$X$12,MATCH(P263,Coefficients!$W$11:$W$12))</f>
        <v>1</v>
      </c>
      <c r="AV263" s="27">
        <f>INDEX(Coefficients!$X$15:$X$17,MATCH(Q263,Coefficients!$W$15:$W$17))</f>
        <v>1</v>
      </c>
      <c r="AW263" s="27">
        <f t="shared" si="232"/>
        <v>1</v>
      </c>
      <c r="AX263" s="27">
        <f t="shared" si="233"/>
        <v>1</v>
      </c>
      <c r="AY263" s="27">
        <f t="shared" si="234"/>
        <v>1.3</v>
      </c>
      <c r="AZ263" s="29">
        <f t="shared" si="235"/>
        <v>48.504459000603397</v>
      </c>
      <c r="BA263" s="29">
        <f t="shared" si="236"/>
        <v>0</v>
      </c>
      <c r="BB263" s="29">
        <f t="shared" si="237"/>
        <v>2.5222318680313771</v>
      </c>
      <c r="BC263" s="29">
        <f t="shared" si="238"/>
        <v>1.7477768131968623</v>
      </c>
      <c r="BD263" s="29">
        <f t="shared" si="241"/>
        <v>0.41233322486394908</v>
      </c>
      <c r="BE263" s="16">
        <f t="shared" si="242"/>
        <v>95.26312140055262</v>
      </c>
      <c r="BF263" s="16">
        <f t="shared" si="243"/>
        <v>209.47375719889476</v>
      </c>
      <c r="BG263" s="25">
        <f t="shared" si="244"/>
        <v>0.95263121400552619</v>
      </c>
      <c r="BH263" s="29">
        <f t="shared" si="245"/>
        <v>209.57886708121578</v>
      </c>
      <c r="BI263" s="29">
        <f t="shared" si="246"/>
        <v>-19.157734162431552</v>
      </c>
      <c r="BJ263" s="29">
        <f t="shared" si="247"/>
        <v>33.87805041221074</v>
      </c>
    </row>
    <row r="264" spans="2:62">
      <c r="B264" s="29" t="s">
        <v>91</v>
      </c>
      <c r="C264" s="83" t="str">
        <f>'Cooler&amp;Wetter'!$B$1</f>
        <v>MIROC-Medres</v>
      </c>
      <c r="D264" s="89">
        <v>2038</v>
      </c>
      <c r="E264" s="90">
        <f>'Cooler&amp;Wetter'!AA66</f>
        <v>35.57</v>
      </c>
      <c r="F264" s="90">
        <f>'Cooler&amp;Wetter'!AC66</f>
        <v>22.862000000000002</v>
      </c>
      <c r="G264" s="35">
        <f t="shared" si="228"/>
        <v>2005</v>
      </c>
      <c r="H264" s="91" t="str">
        <f t="shared" si="208"/>
        <v>Pile 32 @ Berth 201</v>
      </c>
      <c r="I264" s="35" t="str">
        <f t="shared" si="209"/>
        <v>Turpentine Gum</v>
      </c>
      <c r="J264" s="35" t="str">
        <f t="shared" si="210"/>
        <v>HW1</v>
      </c>
      <c r="K264" s="35" t="str">
        <f t="shared" si="229"/>
        <v>SPHU</v>
      </c>
      <c r="L264" s="35">
        <f t="shared" si="211"/>
        <v>400</v>
      </c>
      <c r="M264" s="35">
        <f t="shared" si="212"/>
        <v>20</v>
      </c>
      <c r="N264" s="35">
        <f t="shared" si="213"/>
        <v>200</v>
      </c>
      <c r="O264" s="35" t="str">
        <f t="shared" si="214"/>
        <v>MTN2</v>
      </c>
      <c r="P264" s="35" t="str">
        <f t="shared" si="215"/>
        <v>CNT2</v>
      </c>
      <c r="Q264" s="35" t="str">
        <f t="shared" si="216"/>
        <v>KNT3</v>
      </c>
      <c r="R264" s="35" t="str">
        <f t="shared" si="217"/>
        <v>E</v>
      </c>
      <c r="S264" s="35" t="str">
        <f t="shared" si="218"/>
        <v>EXP1</v>
      </c>
      <c r="T264" s="58"/>
      <c r="U264" s="58"/>
      <c r="V264" s="58"/>
      <c r="W264" s="58"/>
      <c r="X264" s="58"/>
      <c r="Y264" s="58"/>
      <c r="Z264" s="58"/>
      <c r="AA264" s="95">
        <f t="shared" si="176"/>
        <v>0.98319161676058986</v>
      </c>
      <c r="AB264" s="96">
        <f t="shared" si="230"/>
        <v>98.319161676058982</v>
      </c>
      <c r="AC264" s="58"/>
      <c r="AD264" s="58"/>
      <c r="AE264" s="58"/>
      <c r="AF264" s="58"/>
      <c r="AG264" s="58"/>
      <c r="AH264" s="58"/>
      <c r="AI264" s="58"/>
      <c r="AJ264" s="58"/>
      <c r="AK264" s="58"/>
      <c r="AL264" s="58"/>
      <c r="AM264" s="89">
        <f t="shared" si="231"/>
        <v>33</v>
      </c>
      <c r="AN264" s="30">
        <f t="shared" si="239"/>
        <v>35.57</v>
      </c>
      <c r="AO264" s="29">
        <f t="shared" si="240"/>
        <v>1.953211433676771</v>
      </c>
      <c r="AP264" s="29">
        <f>IF((OR(R264="A",R264="B",R264="C")),INDEX(Coefficients!$S$4:$S$22,MATCH(J264,Coefficients!$R$4:$R$22)),INDEX(Coefficients!$T$4:$T$22,MATCH(J264,Coefficients!$R$4:$R$22)))</f>
        <v>1.3</v>
      </c>
      <c r="AQ264" s="27">
        <f>IF((OR(R264="A",R264="B",R264="C")),INDEX(Coefficients!$S$4:$S$22,MATCH(K264,Coefficients!$R$4:$R$22)),INDEX(Coefficients!$T$4:$T$22,MATCH(K264,Coefficients!$R$4:$R$22)))</f>
        <v>25</v>
      </c>
      <c r="AR264" s="27">
        <f>IF(OR(R264="A",R264="B",R264="C",R264="D"),IF(AN264&gt;=11,IF(AN264&gt;=26,Coefficients!$M$6,Coefficients!$M$5),Coefficients!$M$4),IF(AN264&gt;=11,IF(AN264&gt;=26,Coefficients!$N$6,Coefficients!$N$5),Coefficients!$N$4))</f>
        <v>1</v>
      </c>
      <c r="AS264" s="27">
        <f>INDEX(Coefficients!$X$3:$X$4,MATCH(S264,Coefficients!$W$3:$W$4))</f>
        <v>1</v>
      </c>
      <c r="AT264" s="27">
        <f>INDEX(Coefficients!$X$7:$X$8,MATCH(O264,Coefficients!$W$7:$W$8))</f>
        <v>1</v>
      </c>
      <c r="AU264" s="27">
        <f>INDEX(Coefficients!$X$11:$X$12,MATCH(P264,Coefficients!$W$11:$W$12))</f>
        <v>1</v>
      </c>
      <c r="AV264" s="27">
        <f>INDEX(Coefficients!$X$15:$X$17,MATCH(Q264,Coefficients!$W$15:$W$17))</f>
        <v>1</v>
      </c>
      <c r="AW264" s="27">
        <f t="shared" si="232"/>
        <v>1</v>
      </c>
      <c r="AX264" s="27">
        <f t="shared" si="233"/>
        <v>1</v>
      </c>
      <c r="AY264" s="27">
        <f t="shared" si="234"/>
        <v>1.3</v>
      </c>
      <c r="AZ264" s="29">
        <f t="shared" si="235"/>
        <v>48.830285841919277</v>
      </c>
      <c r="BA264" s="29">
        <f t="shared" si="236"/>
        <v>0</v>
      </c>
      <c r="BB264" s="29">
        <f t="shared" si="237"/>
        <v>2.5391748637798024</v>
      </c>
      <c r="BC264" s="29">
        <f t="shared" si="238"/>
        <v>1.7460825136220197</v>
      </c>
      <c r="BD264" s="29">
        <f t="shared" si="241"/>
        <v>0.40958187434632265</v>
      </c>
      <c r="BE264" s="16">
        <f t="shared" si="242"/>
        <v>98.319161676058982</v>
      </c>
      <c r="BF264" s="16">
        <f t="shared" si="243"/>
        <v>203.36167664788204</v>
      </c>
      <c r="BG264" s="25">
        <f t="shared" si="244"/>
        <v>0.98319161676058986</v>
      </c>
      <c r="BH264" s="29">
        <f t="shared" si="245"/>
        <v>216.30215568732979</v>
      </c>
      <c r="BI264" s="29">
        <f t="shared" si="246"/>
        <v>-32.604311374659574</v>
      </c>
      <c r="BJ264" s="29">
        <f t="shared" si="247"/>
        <v>33.661962414608546</v>
      </c>
    </row>
    <row r="265" spans="2:62">
      <c r="B265" s="29" t="s">
        <v>91</v>
      </c>
      <c r="C265" s="83" t="str">
        <f>'Cooler&amp;Wetter'!$B$1</f>
        <v>MIROC-Medres</v>
      </c>
      <c r="D265" s="89">
        <v>2039</v>
      </c>
      <c r="E265" s="90">
        <f>'Cooler&amp;Wetter'!AA67</f>
        <v>35.572499999999998</v>
      </c>
      <c r="F265" s="90">
        <f>'Cooler&amp;Wetter'!AC67</f>
        <v>22.913499999999999</v>
      </c>
      <c r="G265" s="35">
        <f t="shared" si="228"/>
        <v>2005</v>
      </c>
      <c r="H265" s="91" t="str">
        <f t="shared" si="208"/>
        <v>Pile 32 @ Berth 201</v>
      </c>
      <c r="I265" s="35" t="str">
        <f t="shared" si="209"/>
        <v>Turpentine Gum</v>
      </c>
      <c r="J265" s="35" t="str">
        <f t="shared" si="210"/>
        <v>HW1</v>
      </c>
      <c r="K265" s="35" t="str">
        <f t="shared" si="229"/>
        <v>SPHU</v>
      </c>
      <c r="L265" s="35">
        <f t="shared" si="211"/>
        <v>400</v>
      </c>
      <c r="M265" s="35">
        <f t="shared" si="212"/>
        <v>20</v>
      </c>
      <c r="N265" s="35">
        <f t="shared" si="213"/>
        <v>200</v>
      </c>
      <c r="O265" s="35" t="str">
        <f t="shared" si="214"/>
        <v>MTN2</v>
      </c>
      <c r="P265" s="35" t="str">
        <f t="shared" si="215"/>
        <v>CNT2</v>
      </c>
      <c r="Q265" s="35" t="str">
        <f t="shared" si="216"/>
        <v>KNT3</v>
      </c>
      <c r="R265" s="35" t="str">
        <f t="shared" si="217"/>
        <v>E</v>
      </c>
      <c r="S265" s="35" t="str">
        <f t="shared" si="218"/>
        <v>EXP1</v>
      </c>
      <c r="T265" s="58"/>
      <c r="U265" s="58"/>
      <c r="V265" s="58"/>
      <c r="W265" s="58"/>
      <c r="X265" s="58"/>
      <c r="Y265" s="58"/>
      <c r="Z265" s="58"/>
      <c r="AA265" s="95">
        <f t="shared" si="176"/>
        <v>1</v>
      </c>
      <c r="AB265" s="96">
        <f t="shared" si="230"/>
        <v>101.41284558729173</v>
      </c>
      <c r="AC265" s="58"/>
      <c r="AD265" s="58"/>
      <c r="AE265" s="58"/>
      <c r="AF265" s="58"/>
      <c r="AG265" s="58"/>
      <c r="AH265" s="58"/>
      <c r="AI265" s="58"/>
      <c r="AJ265" s="58"/>
      <c r="AK265" s="58"/>
      <c r="AL265" s="58"/>
      <c r="AM265" s="89">
        <f t="shared" si="231"/>
        <v>34</v>
      </c>
      <c r="AN265" s="30">
        <f t="shared" si="239"/>
        <v>35.572499999999998</v>
      </c>
      <c r="AO265" s="29">
        <f t="shared" si="240"/>
        <v>1.9663320565013445</v>
      </c>
      <c r="AP265" s="29">
        <f>IF((OR(R265="A",R265="B",R265="C")),INDEX(Coefficients!$S$4:$S$22,MATCH(J265,Coefficients!$R$4:$R$22)),INDEX(Coefficients!$T$4:$T$22,MATCH(J265,Coefficients!$R$4:$R$22)))</f>
        <v>1.3</v>
      </c>
      <c r="AQ265" s="27">
        <f>IF((OR(R265="A",R265="B",R265="C")),INDEX(Coefficients!$S$4:$S$22,MATCH(K265,Coefficients!$R$4:$R$22)),INDEX(Coefficients!$T$4:$T$22,MATCH(K265,Coefficients!$R$4:$R$22)))</f>
        <v>25</v>
      </c>
      <c r="AR265" s="27">
        <f>IF(OR(R265="A",R265="B",R265="C",R265="D"),IF(AN265&gt;=11,IF(AN265&gt;=26,Coefficients!$M$6,Coefficients!$M$5),Coefficients!$M$4),IF(AN265&gt;=11,IF(AN265&gt;=26,Coefficients!$N$6,Coefficients!$N$5),Coefficients!$N$4))</f>
        <v>1</v>
      </c>
      <c r="AS265" s="27">
        <f>INDEX(Coefficients!$X$3:$X$4,MATCH(S265,Coefficients!$W$3:$W$4))</f>
        <v>1</v>
      </c>
      <c r="AT265" s="27">
        <f>INDEX(Coefficients!$X$7:$X$8,MATCH(O265,Coefficients!$W$7:$W$8))</f>
        <v>1</v>
      </c>
      <c r="AU265" s="27">
        <f>INDEX(Coefficients!$X$11:$X$12,MATCH(P265,Coefficients!$W$11:$W$12))</f>
        <v>1</v>
      </c>
      <c r="AV265" s="27">
        <f>INDEX(Coefficients!$X$15:$X$17,MATCH(Q265,Coefficients!$W$15:$W$17))</f>
        <v>1</v>
      </c>
      <c r="AW265" s="27">
        <f t="shared" si="232"/>
        <v>1</v>
      </c>
      <c r="AX265" s="27">
        <f t="shared" si="233"/>
        <v>1</v>
      </c>
      <c r="AY265" s="27">
        <f t="shared" si="234"/>
        <v>1.3</v>
      </c>
      <c r="AZ265" s="29">
        <f t="shared" si="235"/>
        <v>49.158301412533611</v>
      </c>
      <c r="BA265" s="29">
        <f t="shared" si="236"/>
        <v>0</v>
      </c>
      <c r="BB265" s="29">
        <f t="shared" si="237"/>
        <v>2.5562316734517481</v>
      </c>
      <c r="BC265" s="29">
        <f t="shared" si="238"/>
        <v>1.7443768326548252</v>
      </c>
      <c r="BD265" s="29">
        <f t="shared" si="241"/>
        <v>0.40684888259586438</v>
      </c>
      <c r="BE265" s="16">
        <f t="shared" si="242"/>
        <v>101.41284558729173</v>
      </c>
      <c r="BF265" s="16">
        <f t="shared" si="243"/>
        <v>197.17430882541655</v>
      </c>
      <c r="BG265" s="25">
        <f t="shared" si="244"/>
        <v>1</v>
      </c>
      <c r="BH265" s="29">
        <f t="shared" si="245"/>
        <v>223.10826029204182</v>
      </c>
      <c r="BI265" s="29">
        <f t="shared" si="246"/>
        <v>-46.216520584083639</v>
      </c>
      <c r="BJ265" s="29">
        <f t="shared" si="247"/>
        <v>33.447293607240248</v>
      </c>
    </row>
    <row r="266" spans="2:62">
      <c r="B266" s="29" t="s">
        <v>91</v>
      </c>
      <c r="C266" s="83" t="str">
        <f>'Cooler&amp;Wetter'!$B$1</f>
        <v>MIROC-Medres</v>
      </c>
      <c r="D266" s="89">
        <v>2040</v>
      </c>
      <c r="E266" s="90">
        <f>'Cooler&amp;Wetter'!AA68</f>
        <v>35.575000000000003</v>
      </c>
      <c r="F266" s="90">
        <f>'Cooler&amp;Wetter'!AC68</f>
        <v>22.965</v>
      </c>
      <c r="G266" s="35">
        <f t="shared" si="228"/>
        <v>2005</v>
      </c>
      <c r="H266" s="91" t="str">
        <f t="shared" si="208"/>
        <v>Pile 32 @ Berth 201</v>
      </c>
      <c r="I266" s="35" t="str">
        <f t="shared" si="209"/>
        <v>Turpentine Gum</v>
      </c>
      <c r="J266" s="35" t="str">
        <f t="shared" si="210"/>
        <v>HW1</v>
      </c>
      <c r="K266" s="35" t="str">
        <f t="shared" si="229"/>
        <v>SPHU</v>
      </c>
      <c r="L266" s="35">
        <f t="shared" si="211"/>
        <v>400</v>
      </c>
      <c r="M266" s="35">
        <f t="shared" si="212"/>
        <v>20</v>
      </c>
      <c r="N266" s="35">
        <f t="shared" si="213"/>
        <v>200</v>
      </c>
      <c r="O266" s="35" t="str">
        <f t="shared" si="214"/>
        <v>MTN2</v>
      </c>
      <c r="P266" s="35" t="str">
        <f t="shared" si="215"/>
        <v>CNT2</v>
      </c>
      <c r="Q266" s="35" t="str">
        <f t="shared" si="216"/>
        <v>KNT3</v>
      </c>
      <c r="R266" s="35" t="str">
        <f t="shared" si="217"/>
        <v>E</v>
      </c>
      <c r="S266" s="35" t="str">
        <f t="shared" si="218"/>
        <v>EXP1</v>
      </c>
      <c r="T266" s="58"/>
      <c r="U266" s="58"/>
      <c r="V266" s="58"/>
      <c r="W266" s="58"/>
      <c r="X266" s="58"/>
      <c r="Y266" s="58"/>
      <c r="Z266" s="58"/>
      <c r="AA266" s="95">
        <f t="shared" si="176"/>
        <v>1</v>
      </c>
      <c r="AB266" s="96">
        <f t="shared" si="230"/>
        <v>104.54454136413896</v>
      </c>
      <c r="AC266" s="58"/>
      <c r="AD266" s="58"/>
      <c r="AE266" s="58"/>
      <c r="AF266" s="58"/>
      <c r="AG266" s="58"/>
      <c r="AH266" s="58"/>
      <c r="AI266" s="58"/>
      <c r="AJ266" s="58"/>
      <c r="AK266" s="58"/>
      <c r="AL266" s="58"/>
      <c r="AM266" s="89">
        <f t="shared" si="231"/>
        <v>35</v>
      </c>
      <c r="AN266" s="30">
        <f t="shared" si="239"/>
        <v>35.575000000000003</v>
      </c>
      <c r="AO266" s="29">
        <f t="shared" si="240"/>
        <v>1.9795408166060597</v>
      </c>
      <c r="AP266" s="29">
        <f>IF((OR(R266="A",R266="B",R266="C")),INDEX(Coefficients!$S$4:$S$22,MATCH(J266,Coefficients!$R$4:$R$22)),INDEX(Coefficients!$T$4:$T$22,MATCH(J266,Coefficients!$R$4:$R$22)))</f>
        <v>1.3</v>
      </c>
      <c r="AQ266" s="27">
        <f>IF((OR(R266="A",R266="B",R266="C")),INDEX(Coefficients!$S$4:$S$22,MATCH(K266,Coefficients!$R$4:$R$22)),INDEX(Coefficients!$T$4:$T$22,MATCH(K266,Coefficients!$R$4:$R$22)))</f>
        <v>25</v>
      </c>
      <c r="AR266" s="27">
        <f>IF(OR(R266="A",R266="B",R266="C",R266="D"),IF(AN266&gt;=11,IF(AN266&gt;=26,Coefficients!$M$6,Coefficients!$M$5),Coefficients!$M$4),IF(AN266&gt;=11,IF(AN266&gt;=26,Coefficients!$N$6,Coefficients!$N$5),Coefficients!$N$4))</f>
        <v>1</v>
      </c>
      <c r="AS266" s="27">
        <f>INDEX(Coefficients!$X$3:$X$4,MATCH(S266,Coefficients!$W$3:$W$4))</f>
        <v>1</v>
      </c>
      <c r="AT266" s="27">
        <f>INDEX(Coefficients!$X$7:$X$8,MATCH(O266,Coefficients!$W$7:$W$8))</f>
        <v>1</v>
      </c>
      <c r="AU266" s="27">
        <f>INDEX(Coefficients!$X$11:$X$12,MATCH(P266,Coefficients!$W$11:$W$12))</f>
        <v>1</v>
      </c>
      <c r="AV266" s="27">
        <f>INDEX(Coefficients!$X$15:$X$17,MATCH(Q266,Coefficients!$W$15:$W$17))</f>
        <v>1</v>
      </c>
      <c r="AW266" s="27">
        <f t="shared" si="232"/>
        <v>1</v>
      </c>
      <c r="AX266" s="27">
        <f t="shared" si="233"/>
        <v>1</v>
      </c>
      <c r="AY266" s="27">
        <f t="shared" si="234"/>
        <v>1.3</v>
      </c>
      <c r="AZ266" s="29">
        <f t="shared" si="235"/>
        <v>49.488520415151491</v>
      </c>
      <c r="BA266" s="29">
        <f t="shared" si="236"/>
        <v>0</v>
      </c>
      <c r="BB266" s="29">
        <f t="shared" si="237"/>
        <v>2.5734030615878778</v>
      </c>
      <c r="BC266" s="29">
        <f t="shared" si="238"/>
        <v>1.7426596938412122</v>
      </c>
      <c r="BD266" s="29">
        <f t="shared" si="241"/>
        <v>0.40413412711115859</v>
      </c>
      <c r="BE266" s="16">
        <f t="shared" si="242"/>
        <v>104.54454136413896</v>
      </c>
      <c r="BF266" s="16">
        <f t="shared" si="243"/>
        <v>190.91091727172207</v>
      </c>
      <c r="BG266" s="25">
        <f t="shared" si="244"/>
        <v>1</v>
      </c>
      <c r="BH266" s="29">
        <f t="shared" si="245"/>
        <v>229.99799100110573</v>
      </c>
      <c r="BI266" s="29">
        <f t="shared" si="246"/>
        <v>-59.995982002211463</v>
      </c>
      <c r="BJ266" s="29">
        <f t="shared" si="247"/>
        <v>33.234034367964568</v>
      </c>
    </row>
    <row r="267" spans="2:62">
      <c r="B267" s="29" t="s">
        <v>91</v>
      </c>
      <c r="C267" s="83" t="str">
        <f>'Cooler&amp;Wetter'!$B$1</f>
        <v>MIROC-Medres</v>
      </c>
      <c r="D267" s="89">
        <v>2041</v>
      </c>
      <c r="E267" s="90">
        <f>'Cooler&amp;Wetter'!AA69</f>
        <v>35.577500000000001</v>
      </c>
      <c r="F267" s="90">
        <f>'Cooler&amp;Wetter'!AC69</f>
        <v>23.016500000000001</v>
      </c>
      <c r="G267" s="35">
        <f t="shared" si="228"/>
        <v>2005</v>
      </c>
      <c r="H267" s="91" t="str">
        <f t="shared" si="208"/>
        <v>Pile 32 @ Berth 201</v>
      </c>
      <c r="I267" s="35" t="str">
        <f t="shared" si="209"/>
        <v>Turpentine Gum</v>
      </c>
      <c r="J267" s="35" t="str">
        <f t="shared" si="210"/>
        <v>HW1</v>
      </c>
      <c r="K267" s="35" t="str">
        <f t="shared" si="229"/>
        <v>SPHU</v>
      </c>
      <c r="L267" s="35">
        <f t="shared" si="211"/>
        <v>400</v>
      </c>
      <c r="M267" s="35">
        <f t="shared" si="212"/>
        <v>20</v>
      </c>
      <c r="N267" s="35">
        <f t="shared" si="213"/>
        <v>200</v>
      </c>
      <c r="O267" s="35" t="str">
        <f t="shared" si="214"/>
        <v>MTN2</v>
      </c>
      <c r="P267" s="35" t="str">
        <f t="shared" si="215"/>
        <v>CNT2</v>
      </c>
      <c r="Q267" s="35" t="str">
        <f t="shared" si="216"/>
        <v>KNT3</v>
      </c>
      <c r="R267" s="35" t="str">
        <f t="shared" si="217"/>
        <v>E</v>
      </c>
      <c r="S267" s="35" t="str">
        <f t="shared" si="218"/>
        <v>EXP1</v>
      </c>
      <c r="T267" s="58"/>
      <c r="U267" s="58"/>
      <c r="V267" s="58"/>
      <c r="W267" s="58"/>
      <c r="X267" s="58"/>
      <c r="Y267" s="58"/>
      <c r="Z267" s="58"/>
      <c r="AA267" s="95">
        <f t="shared" ref="AA267:AA330" si="248">BG267</f>
        <v>1</v>
      </c>
      <c r="AB267" s="96">
        <f t="shared" si="230"/>
        <v>107.71462049027328</v>
      </c>
      <c r="AC267" s="58"/>
      <c r="AD267" s="58"/>
      <c r="AE267" s="58"/>
      <c r="AF267" s="58"/>
      <c r="AG267" s="58"/>
      <c r="AH267" s="58"/>
      <c r="AI267" s="58"/>
      <c r="AJ267" s="58"/>
      <c r="AK267" s="58"/>
      <c r="AL267" s="58"/>
      <c r="AM267" s="89">
        <f t="shared" si="231"/>
        <v>36</v>
      </c>
      <c r="AN267" s="30">
        <f t="shared" si="239"/>
        <v>35.577500000000001</v>
      </c>
      <c r="AO267" s="29">
        <f t="shared" si="240"/>
        <v>1.9928383060497123</v>
      </c>
      <c r="AP267" s="29">
        <f>IF((OR(R267="A",R267="B",R267="C")),INDEX(Coefficients!$S$4:$S$22,MATCH(J267,Coefficients!$R$4:$R$22)),INDEX(Coefficients!$T$4:$T$22,MATCH(J267,Coefficients!$R$4:$R$22)))</f>
        <v>1.3</v>
      </c>
      <c r="AQ267" s="27">
        <f>IF((OR(R267="A",R267="B",R267="C")),INDEX(Coefficients!$S$4:$S$22,MATCH(K267,Coefficients!$R$4:$R$22)),INDEX(Coefficients!$T$4:$T$22,MATCH(K267,Coefficients!$R$4:$R$22)))</f>
        <v>25</v>
      </c>
      <c r="AR267" s="27">
        <f>IF(OR(R267="A",R267="B",R267="C",R267="D"),IF(AN267&gt;=11,IF(AN267&gt;=26,Coefficients!$M$6,Coefficients!$M$5),Coefficients!$M$4),IF(AN267&gt;=11,IF(AN267&gt;=26,Coefficients!$N$6,Coefficients!$N$5),Coefficients!$N$4))</f>
        <v>1</v>
      </c>
      <c r="AS267" s="27">
        <f>INDEX(Coefficients!$X$3:$X$4,MATCH(S267,Coefficients!$W$3:$W$4))</f>
        <v>1</v>
      </c>
      <c r="AT267" s="27">
        <f>INDEX(Coefficients!$X$7:$X$8,MATCH(O267,Coefficients!$W$7:$W$8))</f>
        <v>1</v>
      </c>
      <c r="AU267" s="27">
        <f>INDEX(Coefficients!$X$11:$X$12,MATCH(P267,Coefficients!$W$11:$W$12))</f>
        <v>1</v>
      </c>
      <c r="AV267" s="27">
        <f>INDEX(Coefficients!$X$15:$X$17,MATCH(Q267,Coefficients!$W$15:$W$17))</f>
        <v>1</v>
      </c>
      <c r="AW267" s="27">
        <f t="shared" si="232"/>
        <v>1</v>
      </c>
      <c r="AX267" s="27">
        <f t="shared" si="233"/>
        <v>1</v>
      </c>
      <c r="AY267" s="27">
        <f t="shared" si="234"/>
        <v>1.3</v>
      </c>
      <c r="AZ267" s="29">
        <f t="shared" si="235"/>
        <v>49.820957651242807</v>
      </c>
      <c r="BA267" s="29">
        <f t="shared" si="236"/>
        <v>0</v>
      </c>
      <c r="BB267" s="29">
        <f t="shared" si="237"/>
        <v>2.5906897978646262</v>
      </c>
      <c r="BC267" s="29">
        <f t="shared" si="238"/>
        <v>1.7409310202135373</v>
      </c>
      <c r="BD267" s="29">
        <f t="shared" si="241"/>
        <v>0.40143748620819797</v>
      </c>
      <c r="BE267" s="16">
        <f t="shared" si="242"/>
        <v>107.71462049027328</v>
      </c>
      <c r="BF267" s="16">
        <f t="shared" si="243"/>
        <v>184.57075901945345</v>
      </c>
      <c r="BG267" s="25">
        <f t="shared" si="244"/>
        <v>1</v>
      </c>
      <c r="BH267" s="29">
        <f t="shared" si="245"/>
        <v>236.97216507860122</v>
      </c>
      <c r="BI267" s="29">
        <f t="shared" si="246"/>
        <v>-73.944330157202444</v>
      </c>
      <c r="BJ267" s="29">
        <f t="shared" si="247"/>
        <v>33.022175137821577</v>
      </c>
    </row>
    <row r="268" spans="2:62">
      <c r="B268" s="29" t="s">
        <v>91</v>
      </c>
      <c r="C268" s="83" t="str">
        <f>'Cooler&amp;Wetter'!$B$1</f>
        <v>MIROC-Medres</v>
      </c>
      <c r="D268" s="89">
        <v>2042</v>
      </c>
      <c r="E268" s="90">
        <f>'Cooler&amp;Wetter'!AA70</f>
        <v>35.58</v>
      </c>
      <c r="F268" s="90">
        <f>'Cooler&amp;Wetter'!AC70</f>
        <v>23.068000000000001</v>
      </c>
      <c r="G268" s="35">
        <f t="shared" si="228"/>
        <v>2005</v>
      </c>
      <c r="H268" s="91" t="str">
        <f t="shared" si="208"/>
        <v>Pile 32 @ Berth 201</v>
      </c>
      <c r="I268" s="35" t="str">
        <f t="shared" si="209"/>
        <v>Turpentine Gum</v>
      </c>
      <c r="J268" s="35" t="str">
        <f t="shared" si="210"/>
        <v>HW1</v>
      </c>
      <c r="K268" s="35" t="str">
        <f t="shared" si="229"/>
        <v>SPHU</v>
      </c>
      <c r="L268" s="35">
        <f t="shared" si="211"/>
        <v>400</v>
      </c>
      <c r="M268" s="35">
        <f t="shared" si="212"/>
        <v>20</v>
      </c>
      <c r="N268" s="35">
        <f t="shared" si="213"/>
        <v>200</v>
      </c>
      <c r="O268" s="35" t="str">
        <f t="shared" si="214"/>
        <v>MTN2</v>
      </c>
      <c r="P268" s="35" t="str">
        <f t="shared" si="215"/>
        <v>CNT2</v>
      </c>
      <c r="Q268" s="35" t="str">
        <f t="shared" si="216"/>
        <v>KNT3</v>
      </c>
      <c r="R268" s="35" t="str">
        <f t="shared" si="217"/>
        <v>E</v>
      </c>
      <c r="S268" s="35" t="str">
        <f t="shared" si="218"/>
        <v>EXP1</v>
      </c>
      <c r="T268" s="58"/>
      <c r="U268" s="58"/>
      <c r="V268" s="58"/>
      <c r="W268" s="58"/>
      <c r="X268" s="58"/>
      <c r="Y268" s="58"/>
      <c r="Z268" s="58"/>
      <c r="AA268" s="95">
        <f t="shared" si="248"/>
        <v>1</v>
      </c>
      <c r="AB268" s="96">
        <f t="shared" si="230"/>
        <v>110.9234577303213</v>
      </c>
      <c r="AC268" s="58"/>
      <c r="AD268" s="58"/>
      <c r="AE268" s="58"/>
      <c r="AF268" s="58"/>
      <c r="AG268" s="58"/>
      <c r="AH268" s="58"/>
      <c r="AI268" s="58"/>
      <c r="AJ268" s="58"/>
      <c r="AK268" s="58"/>
      <c r="AL268" s="58"/>
      <c r="AM268" s="89">
        <f t="shared" si="231"/>
        <v>37</v>
      </c>
      <c r="AN268" s="30">
        <f t="shared" si="239"/>
        <v>35.58</v>
      </c>
      <c r="AO268" s="29">
        <f t="shared" si="240"/>
        <v>2.0062251208682294</v>
      </c>
      <c r="AP268" s="29">
        <f>IF((OR(R268="A",R268="B",R268="C")),INDEX(Coefficients!$S$4:$S$22,MATCH(J268,Coefficients!$R$4:$R$22)),INDEX(Coefficients!$T$4:$T$22,MATCH(J268,Coefficients!$R$4:$R$22)))</f>
        <v>1.3</v>
      </c>
      <c r="AQ268" s="27">
        <f>IF((OR(R268="A",R268="B",R268="C")),INDEX(Coefficients!$S$4:$S$22,MATCH(K268,Coefficients!$R$4:$R$22)),INDEX(Coefficients!$T$4:$T$22,MATCH(K268,Coefficients!$R$4:$R$22)))</f>
        <v>25</v>
      </c>
      <c r="AR268" s="27">
        <f>IF(OR(R268="A",R268="B",R268="C",R268="D"),IF(AN268&gt;=11,IF(AN268&gt;=26,Coefficients!$M$6,Coefficients!$M$5),Coefficients!$M$4),IF(AN268&gt;=11,IF(AN268&gt;=26,Coefficients!$N$6,Coefficients!$N$5),Coefficients!$N$4))</f>
        <v>1</v>
      </c>
      <c r="AS268" s="27">
        <f>INDEX(Coefficients!$X$3:$X$4,MATCH(S268,Coefficients!$W$3:$W$4))</f>
        <v>1</v>
      </c>
      <c r="AT268" s="27">
        <f>INDEX(Coefficients!$X$7:$X$8,MATCH(O268,Coefficients!$W$7:$W$8))</f>
        <v>1</v>
      </c>
      <c r="AU268" s="27">
        <f>INDEX(Coefficients!$X$11:$X$12,MATCH(P268,Coefficients!$W$11:$W$12))</f>
        <v>1</v>
      </c>
      <c r="AV268" s="27">
        <f>INDEX(Coefficients!$X$15:$X$17,MATCH(Q268,Coefficients!$W$15:$W$17))</f>
        <v>1</v>
      </c>
      <c r="AW268" s="27">
        <f t="shared" si="232"/>
        <v>1</v>
      </c>
      <c r="AX268" s="27">
        <f t="shared" si="233"/>
        <v>1</v>
      </c>
      <c r="AY268" s="27">
        <f t="shared" si="234"/>
        <v>1.3</v>
      </c>
      <c r="AZ268" s="29">
        <f t="shared" si="235"/>
        <v>50.155628021705731</v>
      </c>
      <c r="BA268" s="29">
        <f t="shared" si="236"/>
        <v>0</v>
      </c>
      <c r="BB268" s="29">
        <f t="shared" si="237"/>
        <v>2.6080926571286982</v>
      </c>
      <c r="BC268" s="29">
        <f t="shared" si="238"/>
        <v>1.7391907342871302</v>
      </c>
      <c r="BD268" s="29">
        <f t="shared" si="241"/>
        <v>0.39875883901492865</v>
      </c>
      <c r="BE268" s="16">
        <f t="shared" si="242"/>
        <v>110.9234577303213</v>
      </c>
      <c r="BF268" s="16">
        <f t="shared" si="243"/>
        <v>178.15308453935739</v>
      </c>
      <c r="BG268" s="25">
        <f t="shared" si="244"/>
        <v>1</v>
      </c>
      <c r="BH268" s="29">
        <f t="shared" si="245"/>
        <v>244.03160700670688</v>
      </c>
      <c r="BI268" s="29">
        <f t="shared" si="246"/>
        <v>-88.063214013413756</v>
      </c>
      <c r="BJ268" s="29">
        <f t="shared" si="247"/>
        <v>32.81170642060426</v>
      </c>
    </row>
    <row r="269" spans="2:62">
      <c r="B269" s="29" t="s">
        <v>91</v>
      </c>
      <c r="C269" s="83" t="str">
        <f>'Cooler&amp;Wetter'!$B$1</f>
        <v>MIROC-Medres</v>
      </c>
      <c r="D269" s="89">
        <v>2043</v>
      </c>
      <c r="E269" s="90">
        <f>'Cooler&amp;Wetter'!AA71</f>
        <v>35.582500000000003</v>
      </c>
      <c r="F269" s="90">
        <f>'Cooler&amp;Wetter'!AC71</f>
        <v>23.119500000000002</v>
      </c>
      <c r="G269" s="35">
        <f t="shared" si="228"/>
        <v>2005</v>
      </c>
      <c r="H269" s="91" t="str">
        <f t="shared" si="208"/>
        <v>Pile 32 @ Berth 201</v>
      </c>
      <c r="I269" s="35" t="str">
        <f t="shared" si="209"/>
        <v>Turpentine Gum</v>
      </c>
      <c r="J269" s="35" t="str">
        <f t="shared" si="210"/>
        <v>HW1</v>
      </c>
      <c r="K269" s="35" t="str">
        <f t="shared" si="229"/>
        <v>SPHU</v>
      </c>
      <c r="L269" s="35">
        <f t="shared" si="211"/>
        <v>400</v>
      </c>
      <c r="M269" s="35">
        <f t="shared" si="212"/>
        <v>20</v>
      </c>
      <c r="N269" s="35">
        <f t="shared" si="213"/>
        <v>200</v>
      </c>
      <c r="O269" s="35" t="str">
        <f t="shared" si="214"/>
        <v>MTN2</v>
      </c>
      <c r="P269" s="35" t="str">
        <f t="shared" si="215"/>
        <v>CNT2</v>
      </c>
      <c r="Q269" s="35" t="str">
        <f t="shared" si="216"/>
        <v>KNT3</v>
      </c>
      <c r="R269" s="35" t="str">
        <f t="shared" si="217"/>
        <v>E</v>
      </c>
      <c r="S269" s="35" t="str">
        <f t="shared" si="218"/>
        <v>EXP1</v>
      </c>
      <c r="T269" s="58"/>
      <c r="U269" s="58"/>
      <c r="V269" s="58"/>
      <c r="W269" s="58"/>
      <c r="X269" s="58"/>
      <c r="Y269" s="58"/>
      <c r="Z269" s="58"/>
      <c r="AA269" s="95">
        <f t="shared" si="248"/>
        <v>1</v>
      </c>
      <c r="AB269" s="96">
        <f t="shared" si="230"/>
        <v>114.17143115725247</v>
      </c>
      <c r="AC269" s="58"/>
      <c r="AD269" s="58"/>
      <c r="AE269" s="58"/>
      <c r="AF269" s="58"/>
      <c r="AG269" s="58"/>
      <c r="AH269" s="58"/>
      <c r="AI269" s="58"/>
      <c r="AJ269" s="58"/>
      <c r="AK269" s="58"/>
      <c r="AL269" s="58"/>
      <c r="AM269" s="89">
        <f t="shared" si="231"/>
        <v>38</v>
      </c>
      <c r="AN269" s="30">
        <f t="shared" si="239"/>
        <v>35.582500000000003</v>
      </c>
      <c r="AO269" s="29">
        <f t="shared" si="240"/>
        <v>2.0197018611013888</v>
      </c>
      <c r="AP269" s="29">
        <f>IF((OR(R269="A",R269="B",R269="C")),INDEX(Coefficients!$S$4:$S$22,MATCH(J269,Coefficients!$R$4:$R$22)),INDEX(Coefficients!$T$4:$T$22,MATCH(J269,Coefficients!$R$4:$R$22)))</f>
        <v>1.3</v>
      </c>
      <c r="AQ269" s="27">
        <f>IF((OR(R269="A",R269="B",R269="C")),INDEX(Coefficients!$S$4:$S$22,MATCH(K269,Coefficients!$R$4:$R$22)),INDEX(Coefficients!$T$4:$T$22,MATCH(K269,Coefficients!$R$4:$R$22)))</f>
        <v>25</v>
      </c>
      <c r="AR269" s="27">
        <f>IF(OR(R269="A",R269="B",R269="C",R269="D"),IF(AN269&gt;=11,IF(AN269&gt;=26,Coefficients!$M$6,Coefficients!$M$5),Coefficients!$M$4),IF(AN269&gt;=11,IF(AN269&gt;=26,Coefficients!$N$6,Coefficients!$N$5),Coefficients!$N$4))</f>
        <v>1</v>
      </c>
      <c r="AS269" s="27">
        <f>INDEX(Coefficients!$X$3:$X$4,MATCH(S269,Coefficients!$W$3:$W$4))</f>
        <v>1</v>
      </c>
      <c r="AT269" s="27">
        <f>INDEX(Coefficients!$X$7:$X$8,MATCH(O269,Coefficients!$W$7:$W$8))</f>
        <v>1</v>
      </c>
      <c r="AU269" s="27">
        <f>INDEX(Coefficients!$X$11:$X$12,MATCH(P269,Coefficients!$W$11:$W$12))</f>
        <v>1</v>
      </c>
      <c r="AV269" s="27">
        <f>INDEX(Coefficients!$X$15:$X$17,MATCH(Q269,Coefficients!$W$15:$W$17))</f>
        <v>1</v>
      </c>
      <c r="AW269" s="27">
        <f t="shared" si="232"/>
        <v>1</v>
      </c>
      <c r="AX269" s="27">
        <f t="shared" si="233"/>
        <v>1</v>
      </c>
      <c r="AY269" s="27">
        <f t="shared" si="234"/>
        <v>1.3</v>
      </c>
      <c r="AZ269" s="29">
        <f t="shared" si="235"/>
        <v>50.492546527534721</v>
      </c>
      <c r="BA269" s="29">
        <f t="shared" si="236"/>
        <v>0</v>
      </c>
      <c r="BB269" s="29">
        <f t="shared" si="237"/>
        <v>2.6256124194318056</v>
      </c>
      <c r="BC269" s="29">
        <f t="shared" si="238"/>
        <v>1.7374387580568194</v>
      </c>
      <c r="BD269" s="29">
        <f t="shared" si="241"/>
        <v>0.39609806546583171</v>
      </c>
      <c r="BE269" s="16">
        <f t="shared" si="242"/>
        <v>114.17143115725247</v>
      </c>
      <c r="BF269" s="16">
        <f t="shared" si="243"/>
        <v>171.65713768549506</v>
      </c>
      <c r="BG269" s="25">
        <f t="shared" si="244"/>
        <v>1</v>
      </c>
      <c r="BH269" s="29">
        <f t="shared" si="245"/>
        <v>251.17714854595545</v>
      </c>
      <c r="BI269" s="29">
        <f t="shared" si="246"/>
        <v>-102.35429709191089</v>
      </c>
      <c r="BJ269" s="29">
        <f t="shared" si="247"/>
        <v>32.602618782432778</v>
      </c>
    </row>
    <row r="270" spans="2:62">
      <c r="B270" s="29" t="s">
        <v>91</v>
      </c>
      <c r="C270" s="83" t="str">
        <f>'Cooler&amp;Wetter'!$B$1</f>
        <v>MIROC-Medres</v>
      </c>
      <c r="D270" s="89">
        <v>2044</v>
      </c>
      <c r="E270" s="90">
        <f>'Cooler&amp;Wetter'!AA72</f>
        <v>35.585000000000001</v>
      </c>
      <c r="F270" s="90">
        <f>'Cooler&amp;Wetter'!AC72</f>
        <v>23.171000000000003</v>
      </c>
      <c r="G270" s="35">
        <f t="shared" si="228"/>
        <v>2005</v>
      </c>
      <c r="H270" s="91" t="str">
        <f t="shared" si="208"/>
        <v>Pile 32 @ Berth 201</v>
      </c>
      <c r="I270" s="35" t="str">
        <f t="shared" si="209"/>
        <v>Turpentine Gum</v>
      </c>
      <c r="J270" s="35" t="str">
        <f t="shared" si="210"/>
        <v>HW1</v>
      </c>
      <c r="K270" s="35" t="str">
        <f t="shared" si="229"/>
        <v>SPHU</v>
      </c>
      <c r="L270" s="35">
        <f t="shared" si="211"/>
        <v>400</v>
      </c>
      <c r="M270" s="35">
        <f t="shared" si="212"/>
        <v>20</v>
      </c>
      <c r="N270" s="35">
        <f t="shared" si="213"/>
        <v>200</v>
      </c>
      <c r="O270" s="35" t="str">
        <f t="shared" si="214"/>
        <v>MTN2</v>
      </c>
      <c r="P270" s="35" t="str">
        <f t="shared" si="215"/>
        <v>CNT2</v>
      </c>
      <c r="Q270" s="35" t="str">
        <f t="shared" si="216"/>
        <v>KNT3</v>
      </c>
      <c r="R270" s="35" t="str">
        <f t="shared" si="217"/>
        <v>E</v>
      </c>
      <c r="S270" s="35" t="str">
        <f t="shared" si="218"/>
        <v>EXP1</v>
      </c>
      <c r="T270" s="58"/>
      <c r="U270" s="58"/>
      <c r="V270" s="58"/>
      <c r="W270" s="58"/>
      <c r="X270" s="58"/>
      <c r="Y270" s="58"/>
      <c r="Z270" s="58"/>
      <c r="AA270" s="95">
        <f t="shared" si="248"/>
        <v>1</v>
      </c>
      <c r="AB270" s="96">
        <f t="shared" si="230"/>
        <v>117.45892217998825</v>
      </c>
      <c r="AC270" s="58"/>
      <c r="AD270" s="58"/>
      <c r="AE270" s="58"/>
      <c r="AF270" s="58"/>
      <c r="AG270" s="58"/>
      <c r="AH270" s="58"/>
      <c r="AI270" s="58"/>
      <c r="AJ270" s="58"/>
      <c r="AK270" s="58"/>
      <c r="AL270" s="58"/>
      <c r="AM270" s="89">
        <f t="shared" si="231"/>
        <v>39</v>
      </c>
      <c r="AN270" s="30">
        <f t="shared" si="239"/>
        <v>35.585000000000001</v>
      </c>
      <c r="AO270" s="29">
        <f t="shared" si="240"/>
        <v>2.0332691308197104</v>
      </c>
      <c r="AP270" s="29">
        <f>IF((OR(R270="A",R270="B",R270="C")),INDEX(Coefficients!$S$4:$S$22,MATCH(J270,Coefficients!$R$4:$R$22)),INDEX(Coefficients!$T$4:$T$22,MATCH(J270,Coefficients!$R$4:$R$22)))</f>
        <v>1.3</v>
      </c>
      <c r="AQ270" s="27">
        <f>IF((OR(R270="A",R270="B",R270="C")),INDEX(Coefficients!$S$4:$S$22,MATCH(K270,Coefficients!$R$4:$R$22)),INDEX(Coefficients!$T$4:$T$22,MATCH(K270,Coefficients!$R$4:$R$22)))</f>
        <v>25</v>
      </c>
      <c r="AR270" s="27">
        <f>IF(OR(R270="A",R270="B",R270="C",R270="D"),IF(AN270&gt;=11,IF(AN270&gt;=26,Coefficients!$M$6,Coefficients!$M$5),Coefficients!$M$4),IF(AN270&gt;=11,IF(AN270&gt;=26,Coefficients!$N$6,Coefficients!$N$5),Coefficients!$N$4))</f>
        <v>1</v>
      </c>
      <c r="AS270" s="27">
        <f>INDEX(Coefficients!$X$3:$X$4,MATCH(S270,Coefficients!$W$3:$W$4))</f>
        <v>1</v>
      </c>
      <c r="AT270" s="27">
        <f>INDEX(Coefficients!$X$7:$X$8,MATCH(O270,Coefficients!$W$7:$W$8))</f>
        <v>1</v>
      </c>
      <c r="AU270" s="27">
        <f>INDEX(Coefficients!$X$11:$X$12,MATCH(P270,Coefficients!$W$11:$W$12))</f>
        <v>1</v>
      </c>
      <c r="AV270" s="27">
        <f>INDEX(Coefficients!$X$15:$X$17,MATCH(Q270,Coefficients!$W$15:$W$17))</f>
        <v>1</v>
      </c>
      <c r="AW270" s="27">
        <f t="shared" si="232"/>
        <v>1</v>
      </c>
      <c r="AX270" s="27">
        <f t="shared" si="233"/>
        <v>1</v>
      </c>
      <c r="AY270" s="27">
        <f t="shared" si="234"/>
        <v>1.3</v>
      </c>
      <c r="AZ270" s="29">
        <f t="shared" si="235"/>
        <v>50.831728270492761</v>
      </c>
      <c r="BA270" s="29">
        <f t="shared" si="236"/>
        <v>0</v>
      </c>
      <c r="BB270" s="29">
        <f t="shared" si="237"/>
        <v>2.6432498700656235</v>
      </c>
      <c r="BC270" s="29">
        <f t="shared" si="238"/>
        <v>1.7356750129934375</v>
      </c>
      <c r="BD270" s="29">
        <f t="shared" si="241"/>
        <v>0.39345504629654254</v>
      </c>
      <c r="BE270" s="16">
        <f t="shared" si="242"/>
        <v>117.45892217998825</v>
      </c>
      <c r="BF270" s="16">
        <f t="shared" si="243"/>
        <v>165.0821556400235</v>
      </c>
      <c r="BG270" s="25">
        <f t="shared" si="244"/>
        <v>1</v>
      </c>
      <c r="BH270" s="29">
        <f t="shared" si="245"/>
        <v>258.40962879597419</v>
      </c>
      <c r="BI270" s="29">
        <f t="shared" si="246"/>
        <v>-116.81925759194837</v>
      </c>
      <c r="BJ270" s="29">
        <f t="shared" si="247"/>
        <v>32.394902851331715</v>
      </c>
    </row>
    <row r="271" spans="2:62">
      <c r="B271" s="29" t="s">
        <v>91</v>
      </c>
      <c r="C271" s="83" t="str">
        <f>'Cooler&amp;Wetter'!$B$1</f>
        <v>MIROC-Medres</v>
      </c>
      <c r="D271" s="89">
        <v>2045</v>
      </c>
      <c r="E271" s="90">
        <f>'Cooler&amp;Wetter'!AA73</f>
        <v>35.587499999999999</v>
      </c>
      <c r="F271" s="90">
        <f>'Cooler&amp;Wetter'!AC73</f>
        <v>23.2225</v>
      </c>
      <c r="G271" s="35">
        <f t="shared" si="228"/>
        <v>2005</v>
      </c>
      <c r="H271" s="91" t="str">
        <f t="shared" si="208"/>
        <v>Pile 32 @ Berth 201</v>
      </c>
      <c r="I271" s="35" t="str">
        <f t="shared" si="209"/>
        <v>Turpentine Gum</v>
      </c>
      <c r="J271" s="35" t="str">
        <f t="shared" si="210"/>
        <v>HW1</v>
      </c>
      <c r="K271" s="35" t="str">
        <f t="shared" si="229"/>
        <v>SPHU</v>
      </c>
      <c r="L271" s="35">
        <f t="shared" si="211"/>
        <v>400</v>
      </c>
      <c r="M271" s="35">
        <f t="shared" si="212"/>
        <v>20</v>
      </c>
      <c r="N271" s="35">
        <f t="shared" si="213"/>
        <v>200</v>
      </c>
      <c r="O271" s="35" t="str">
        <f t="shared" si="214"/>
        <v>MTN2</v>
      </c>
      <c r="P271" s="35" t="str">
        <f t="shared" si="215"/>
        <v>CNT2</v>
      </c>
      <c r="Q271" s="35" t="str">
        <f t="shared" si="216"/>
        <v>KNT3</v>
      </c>
      <c r="R271" s="35" t="str">
        <f t="shared" si="217"/>
        <v>E</v>
      </c>
      <c r="S271" s="35" t="str">
        <f t="shared" si="218"/>
        <v>EXP1</v>
      </c>
      <c r="T271" s="58"/>
      <c r="U271" s="58"/>
      <c r="V271" s="58"/>
      <c r="W271" s="58"/>
      <c r="X271" s="58"/>
      <c r="Y271" s="58"/>
      <c r="Z271" s="58"/>
      <c r="AA271" s="95">
        <f t="shared" si="248"/>
        <v>1</v>
      </c>
      <c r="AB271" s="96">
        <f t="shared" si="230"/>
        <v>120.7863155712347</v>
      </c>
      <c r="AC271" s="58"/>
      <c r="AD271" s="58"/>
      <c r="AE271" s="58"/>
      <c r="AF271" s="58"/>
      <c r="AG271" s="58"/>
      <c r="AH271" s="58"/>
      <c r="AI271" s="58"/>
      <c r="AJ271" s="58"/>
      <c r="AK271" s="58"/>
      <c r="AL271" s="58"/>
      <c r="AM271" s="89">
        <f t="shared" si="231"/>
        <v>40</v>
      </c>
      <c r="AN271" s="30">
        <f t="shared" si="239"/>
        <v>35.587499999999999</v>
      </c>
      <c r="AO271" s="29">
        <f t="shared" si="240"/>
        <v>2.0469275381515346</v>
      </c>
      <c r="AP271" s="29">
        <f>IF((OR(R271="A",R271="B",R271="C")),INDEX(Coefficients!$S$4:$S$22,MATCH(J271,Coefficients!$R$4:$R$22)),INDEX(Coefficients!$T$4:$T$22,MATCH(J271,Coefficients!$R$4:$R$22)))</f>
        <v>1.3</v>
      </c>
      <c r="AQ271" s="27">
        <f>IF((OR(R271="A",R271="B",R271="C")),INDEX(Coefficients!$S$4:$S$22,MATCH(K271,Coefficients!$R$4:$R$22)),INDEX(Coefficients!$T$4:$T$22,MATCH(K271,Coefficients!$R$4:$R$22)))</f>
        <v>25</v>
      </c>
      <c r="AR271" s="27">
        <f>IF(OR(R271="A",R271="B",R271="C",R271="D"),IF(AN271&gt;=11,IF(AN271&gt;=26,Coefficients!$M$6,Coefficients!$M$5),Coefficients!$M$4),IF(AN271&gt;=11,IF(AN271&gt;=26,Coefficients!$N$6,Coefficients!$N$5),Coefficients!$N$4))</f>
        <v>1</v>
      </c>
      <c r="AS271" s="27">
        <f>INDEX(Coefficients!$X$3:$X$4,MATCH(S271,Coefficients!$W$3:$W$4))</f>
        <v>1</v>
      </c>
      <c r="AT271" s="27">
        <f>INDEX(Coefficients!$X$7:$X$8,MATCH(O271,Coefficients!$W$7:$W$8))</f>
        <v>1</v>
      </c>
      <c r="AU271" s="27">
        <f>INDEX(Coefficients!$X$11:$X$12,MATCH(P271,Coefficients!$W$11:$W$12))</f>
        <v>1</v>
      </c>
      <c r="AV271" s="27">
        <f>INDEX(Coefficients!$X$15:$X$17,MATCH(Q271,Coefficients!$W$15:$W$17))</f>
        <v>1</v>
      </c>
      <c r="AW271" s="27">
        <f t="shared" si="232"/>
        <v>1</v>
      </c>
      <c r="AX271" s="27">
        <f t="shared" si="233"/>
        <v>1</v>
      </c>
      <c r="AY271" s="27">
        <f t="shared" si="234"/>
        <v>1.3</v>
      </c>
      <c r="AZ271" s="29">
        <f t="shared" si="235"/>
        <v>51.173188453788363</v>
      </c>
      <c r="BA271" s="29">
        <f t="shared" si="236"/>
        <v>0</v>
      </c>
      <c r="BB271" s="29">
        <f t="shared" si="237"/>
        <v>2.6610057995969951</v>
      </c>
      <c r="BC271" s="29">
        <f t="shared" si="238"/>
        <v>1.7338994200403004</v>
      </c>
      <c r="BD271" s="29">
        <f t="shared" si="241"/>
        <v>0.39082966303850458</v>
      </c>
      <c r="BE271" s="16">
        <f t="shared" si="242"/>
        <v>120.7863155712347</v>
      </c>
      <c r="BF271" s="16">
        <f t="shared" si="243"/>
        <v>158.42736885753061</v>
      </c>
      <c r="BG271" s="25">
        <f t="shared" si="244"/>
        <v>1</v>
      </c>
      <c r="BH271" s="29">
        <f t="shared" si="245"/>
        <v>265.72989425671636</v>
      </c>
      <c r="BI271" s="29">
        <f t="shared" si="246"/>
        <v>-131.45978851343273</v>
      </c>
      <c r="BJ271" s="29">
        <f t="shared" si="247"/>
        <v>32.188549316809926</v>
      </c>
    </row>
    <row r="272" spans="2:62">
      <c r="B272" s="29" t="s">
        <v>91</v>
      </c>
      <c r="C272" s="83" t="str">
        <f>'Cooler&amp;Wetter'!$B$1</f>
        <v>MIROC-Medres</v>
      </c>
      <c r="D272" s="89">
        <v>2046</v>
      </c>
      <c r="E272" s="90">
        <f>'Cooler&amp;Wetter'!AA74</f>
        <v>35.590000000000003</v>
      </c>
      <c r="F272" s="90">
        <f>'Cooler&amp;Wetter'!AC74</f>
        <v>23.274000000000001</v>
      </c>
      <c r="G272" s="35">
        <f t="shared" si="228"/>
        <v>2005</v>
      </c>
      <c r="H272" s="91" t="str">
        <f t="shared" si="208"/>
        <v>Pile 32 @ Berth 201</v>
      </c>
      <c r="I272" s="35" t="str">
        <f t="shared" si="209"/>
        <v>Turpentine Gum</v>
      </c>
      <c r="J272" s="35" t="str">
        <f t="shared" si="210"/>
        <v>HW1</v>
      </c>
      <c r="K272" s="35" t="str">
        <f t="shared" si="229"/>
        <v>SPHU</v>
      </c>
      <c r="L272" s="35">
        <f t="shared" si="211"/>
        <v>400</v>
      </c>
      <c r="M272" s="35">
        <f t="shared" si="212"/>
        <v>20</v>
      </c>
      <c r="N272" s="35">
        <f t="shared" si="213"/>
        <v>200</v>
      </c>
      <c r="O272" s="35" t="str">
        <f t="shared" si="214"/>
        <v>MTN2</v>
      </c>
      <c r="P272" s="35" t="str">
        <f t="shared" si="215"/>
        <v>CNT2</v>
      </c>
      <c r="Q272" s="35" t="str">
        <f t="shared" si="216"/>
        <v>KNT3</v>
      </c>
      <c r="R272" s="35" t="str">
        <f t="shared" si="217"/>
        <v>E</v>
      </c>
      <c r="S272" s="35" t="str">
        <f t="shared" si="218"/>
        <v>EXP1</v>
      </c>
      <c r="T272" s="58"/>
      <c r="U272" s="58"/>
      <c r="V272" s="58"/>
      <c r="W272" s="58"/>
      <c r="X272" s="58"/>
      <c r="Y272" s="58"/>
      <c r="Z272" s="58"/>
      <c r="AA272" s="95">
        <f t="shared" si="248"/>
        <v>1</v>
      </c>
      <c r="AB272" s="96">
        <f t="shared" si="230"/>
        <v>124.15399949553881</v>
      </c>
      <c r="AC272" s="58"/>
      <c r="AD272" s="58"/>
      <c r="AE272" s="58"/>
      <c r="AF272" s="58"/>
      <c r="AG272" s="58"/>
      <c r="AH272" s="58"/>
      <c r="AI272" s="58"/>
      <c r="AJ272" s="58"/>
      <c r="AK272" s="58"/>
      <c r="AL272" s="58"/>
      <c r="AM272" s="89">
        <f t="shared" si="231"/>
        <v>41</v>
      </c>
      <c r="AN272" s="30">
        <f t="shared" si="239"/>
        <v>35.590000000000003</v>
      </c>
      <c r="AO272" s="29">
        <f t="shared" si="240"/>
        <v>2.0606776953102837</v>
      </c>
      <c r="AP272" s="29">
        <f>IF((OR(R272="A",R272="B",R272="C")),INDEX(Coefficients!$S$4:$S$22,MATCH(J272,Coefficients!$R$4:$R$22)),INDEX(Coefficients!$T$4:$T$22,MATCH(J272,Coefficients!$R$4:$R$22)))</f>
        <v>1.3</v>
      </c>
      <c r="AQ272" s="27">
        <f>IF((OR(R272="A",R272="B",R272="C")),INDEX(Coefficients!$S$4:$S$22,MATCH(K272,Coefficients!$R$4:$R$22)),INDEX(Coefficients!$T$4:$T$22,MATCH(K272,Coefficients!$R$4:$R$22)))</f>
        <v>25</v>
      </c>
      <c r="AR272" s="27">
        <f>IF(OR(R272="A",R272="B",R272="C",R272="D"),IF(AN272&gt;=11,IF(AN272&gt;=26,Coefficients!$M$6,Coefficients!$M$5),Coefficients!$M$4),IF(AN272&gt;=11,IF(AN272&gt;=26,Coefficients!$N$6,Coefficients!$N$5),Coefficients!$N$4))</f>
        <v>1</v>
      </c>
      <c r="AS272" s="27">
        <f>INDEX(Coefficients!$X$3:$X$4,MATCH(S272,Coefficients!$W$3:$W$4))</f>
        <v>1</v>
      </c>
      <c r="AT272" s="27">
        <f>INDEX(Coefficients!$X$7:$X$8,MATCH(O272,Coefficients!$W$7:$W$8))</f>
        <v>1</v>
      </c>
      <c r="AU272" s="27">
        <f>INDEX(Coefficients!$X$11:$X$12,MATCH(P272,Coefficients!$W$11:$W$12))</f>
        <v>1</v>
      </c>
      <c r="AV272" s="27">
        <f>INDEX(Coefficients!$X$15:$X$17,MATCH(Q272,Coefficients!$W$15:$W$17))</f>
        <v>1</v>
      </c>
      <c r="AW272" s="27">
        <f t="shared" si="232"/>
        <v>1</v>
      </c>
      <c r="AX272" s="27">
        <f t="shared" si="233"/>
        <v>1</v>
      </c>
      <c r="AY272" s="27">
        <f t="shared" si="234"/>
        <v>1.3</v>
      </c>
      <c r="AZ272" s="29">
        <f t="shared" si="235"/>
        <v>51.516942382757094</v>
      </c>
      <c r="BA272" s="29">
        <f t="shared" si="236"/>
        <v>0</v>
      </c>
      <c r="BB272" s="29">
        <f t="shared" si="237"/>
        <v>2.6788810039033688</v>
      </c>
      <c r="BC272" s="29">
        <f t="shared" si="238"/>
        <v>1.7321118996096632</v>
      </c>
      <c r="BD272" s="29">
        <f t="shared" si="241"/>
        <v>0.38822179801365836</v>
      </c>
      <c r="BE272" s="16">
        <f t="shared" si="242"/>
        <v>124.15399949553881</v>
      </c>
      <c r="BF272" s="16">
        <f t="shared" si="243"/>
        <v>151.69200100892238</v>
      </c>
      <c r="BG272" s="25">
        <f t="shared" si="244"/>
        <v>1</v>
      </c>
      <c r="BH272" s="29">
        <f t="shared" si="245"/>
        <v>273.1387988901854</v>
      </c>
      <c r="BI272" s="29">
        <f t="shared" si="246"/>
        <v>-146.2775977803708</v>
      </c>
      <c r="BJ272" s="29">
        <f t="shared" si="247"/>
        <v>31.983548929443195</v>
      </c>
    </row>
    <row r="273" spans="2:62">
      <c r="B273" s="29" t="s">
        <v>91</v>
      </c>
      <c r="C273" s="83" t="str">
        <f>'Cooler&amp;Wetter'!$B$1</f>
        <v>MIROC-Medres</v>
      </c>
      <c r="D273" s="89">
        <v>2047</v>
      </c>
      <c r="E273" s="90">
        <f>'Cooler&amp;Wetter'!AA75</f>
        <v>35.592500000000001</v>
      </c>
      <c r="F273" s="90">
        <f>'Cooler&amp;Wetter'!AC75</f>
        <v>23.325500000000002</v>
      </c>
      <c r="G273" s="35">
        <f t="shared" si="228"/>
        <v>2005</v>
      </c>
      <c r="H273" s="91" t="str">
        <f t="shared" si="208"/>
        <v>Pile 32 @ Berth 201</v>
      </c>
      <c r="I273" s="35" t="str">
        <f t="shared" si="209"/>
        <v>Turpentine Gum</v>
      </c>
      <c r="J273" s="35" t="str">
        <f t="shared" si="210"/>
        <v>HW1</v>
      </c>
      <c r="K273" s="35" t="str">
        <f t="shared" si="229"/>
        <v>SPHU</v>
      </c>
      <c r="L273" s="35">
        <f t="shared" si="211"/>
        <v>400</v>
      </c>
      <c r="M273" s="35">
        <f t="shared" si="212"/>
        <v>20</v>
      </c>
      <c r="N273" s="35">
        <f t="shared" si="213"/>
        <v>200</v>
      </c>
      <c r="O273" s="35" t="str">
        <f t="shared" si="214"/>
        <v>MTN2</v>
      </c>
      <c r="P273" s="35" t="str">
        <f t="shared" si="215"/>
        <v>CNT2</v>
      </c>
      <c r="Q273" s="35" t="str">
        <f t="shared" si="216"/>
        <v>KNT3</v>
      </c>
      <c r="R273" s="35" t="str">
        <f t="shared" si="217"/>
        <v>E</v>
      </c>
      <c r="S273" s="35" t="str">
        <f t="shared" si="218"/>
        <v>EXP1</v>
      </c>
      <c r="T273" s="58"/>
      <c r="U273" s="58"/>
      <c r="V273" s="58"/>
      <c r="W273" s="58"/>
      <c r="X273" s="58"/>
      <c r="Y273" s="58"/>
      <c r="Z273" s="58"/>
      <c r="AA273" s="95">
        <f t="shared" si="248"/>
        <v>1</v>
      </c>
      <c r="AB273" s="96">
        <f t="shared" si="230"/>
        <v>127.56236553757121</v>
      </c>
      <c r="AC273" s="58"/>
      <c r="AD273" s="58"/>
      <c r="AE273" s="58"/>
      <c r="AF273" s="58"/>
      <c r="AG273" s="58"/>
      <c r="AH273" s="58"/>
      <c r="AI273" s="58"/>
      <c r="AJ273" s="58"/>
      <c r="AK273" s="58"/>
      <c r="AL273" s="58"/>
      <c r="AM273" s="89">
        <f t="shared" si="231"/>
        <v>42</v>
      </c>
      <c r="AN273" s="30">
        <f t="shared" si="239"/>
        <v>35.592500000000001</v>
      </c>
      <c r="AO273" s="29">
        <f t="shared" si="240"/>
        <v>2.0745202186218963</v>
      </c>
      <c r="AP273" s="29">
        <f>IF((OR(R273="A",R273="B",R273="C")),INDEX(Coefficients!$S$4:$S$22,MATCH(J273,Coefficients!$R$4:$R$22)),INDEX(Coefficients!$T$4:$T$22,MATCH(J273,Coefficients!$R$4:$R$22)))</f>
        <v>1.3</v>
      </c>
      <c r="AQ273" s="27">
        <f>IF((OR(R273="A",R273="B",R273="C")),INDEX(Coefficients!$S$4:$S$22,MATCH(K273,Coefficients!$R$4:$R$22)),INDEX(Coefficients!$T$4:$T$22,MATCH(K273,Coefficients!$R$4:$R$22)))</f>
        <v>25</v>
      </c>
      <c r="AR273" s="27">
        <f>IF(OR(R273="A",R273="B",R273="C",R273="D"),IF(AN273&gt;=11,IF(AN273&gt;=26,Coefficients!$M$6,Coefficients!$M$5),Coefficients!$M$4),IF(AN273&gt;=11,IF(AN273&gt;=26,Coefficients!$N$6,Coefficients!$N$5),Coefficients!$N$4))</f>
        <v>1</v>
      </c>
      <c r="AS273" s="27">
        <f>INDEX(Coefficients!$X$3:$X$4,MATCH(S273,Coefficients!$W$3:$W$4))</f>
        <v>1</v>
      </c>
      <c r="AT273" s="27">
        <f>INDEX(Coefficients!$X$7:$X$8,MATCH(O273,Coefficients!$W$7:$W$8))</f>
        <v>1</v>
      </c>
      <c r="AU273" s="27">
        <f>INDEX(Coefficients!$X$11:$X$12,MATCH(P273,Coefficients!$W$11:$W$12))</f>
        <v>1</v>
      </c>
      <c r="AV273" s="27">
        <f>INDEX(Coefficients!$X$15:$X$17,MATCH(Q273,Coefficients!$W$15:$W$17))</f>
        <v>1</v>
      </c>
      <c r="AW273" s="27">
        <f t="shared" si="232"/>
        <v>1</v>
      </c>
      <c r="AX273" s="27">
        <f t="shared" si="233"/>
        <v>1</v>
      </c>
      <c r="AY273" s="27">
        <f t="shared" si="234"/>
        <v>1.3</v>
      </c>
      <c r="AZ273" s="29">
        <f t="shared" si="235"/>
        <v>51.86300546554741</v>
      </c>
      <c r="BA273" s="29">
        <f t="shared" si="236"/>
        <v>0</v>
      </c>
      <c r="BB273" s="29">
        <f t="shared" si="237"/>
        <v>2.6968762842084653</v>
      </c>
      <c r="BC273" s="29">
        <f t="shared" si="238"/>
        <v>1.7303123715791535</v>
      </c>
      <c r="BD273" s="29">
        <f t="shared" si="241"/>
        <v>0.38563133432916835</v>
      </c>
      <c r="BE273" s="16">
        <f t="shared" si="242"/>
        <v>127.56236553757121</v>
      </c>
      <c r="BF273" s="16">
        <f t="shared" si="243"/>
        <v>144.87526892485758</v>
      </c>
      <c r="BG273" s="25">
        <f t="shared" si="244"/>
        <v>1</v>
      </c>
      <c r="BH273" s="29">
        <f t="shared" si="245"/>
        <v>280.63720418265666</v>
      </c>
      <c r="BI273" s="29">
        <f t="shared" si="246"/>
        <v>-161.27440836531332</v>
      </c>
      <c r="BJ273" s="29">
        <f t="shared" si="247"/>
        <v>31.779892500459734</v>
      </c>
    </row>
    <row r="274" spans="2:62">
      <c r="B274" s="29" t="s">
        <v>91</v>
      </c>
      <c r="C274" s="83" t="str">
        <f>'Cooler&amp;Wetter'!$B$1</f>
        <v>MIROC-Medres</v>
      </c>
      <c r="D274" s="89">
        <v>2048</v>
      </c>
      <c r="E274" s="90">
        <f>'Cooler&amp;Wetter'!AA76</f>
        <v>35.594999999999999</v>
      </c>
      <c r="F274" s="90">
        <f>'Cooler&amp;Wetter'!AC76</f>
        <v>23.377000000000002</v>
      </c>
      <c r="G274" s="35">
        <f t="shared" si="228"/>
        <v>2005</v>
      </c>
      <c r="H274" s="91" t="str">
        <f t="shared" si="208"/>
        <v>Pile 32 @ Berth 201</v>
      </c>
      <c r="I274" s="35" t="str">
        <f t="shared" si="209"/>
        <v>Turpentine Gum</v>
      </c>
      <c r="J274" s="35" t="str">
        <f t="shared" si="210"/>
        <v>HW1</v>
      </c>
      <c r="K274" s="35" t="str">
        <f t="shared" si="229"/>
        <v>SPHU</v>
      </c>
      <c r="L274" s="35">
        <f t="shared" si="211"/>
        <v>400</v>
      </c>
      <c r="M274" s="35">
        <f t="shared" si="212"/>
        <v>20</v>
      </c>
      <c r="N274" s="35">
        <f t="shared" si="213"/>
        <v>200</v>
      </c>
      <c r="O274" s="35" t="str">
        <f t="shared" si="214"/>
        <v>MTN2</v>
      </c>
      <c r="P274" s="35" t="str">
        <f t="shared" si="215"/>
        <v>CNT2</v>
      </c>
      <c r="Q274" s="35" t="str">
        <f t="shared" si="216"/>
        <v>KNT3</v>
      </c>
      <c r="R274" s="35" t="str">
        <f t="shared" si="217"/>
        <v>E</v>
      </c>
      <c r="S274" s="35" t="str">
        <f t="shared" si="218"/>
        <v>EXP1</v>
      </c>
      <c r="T274" s="58"/>
      <c r="U274" s="58"/>
      <c r="V274" s="58"/>
      <c r="W274" s="58"/>
      <c r="X274" s="58"/>
      <c r="Y274" s="58"/>
      <c r="Z274" s="58"/>
      <c r="AA274" s="95">
        <f t="shared" si="248"/>
        <v>1</v>
      </c>
      <c r="AB274" s="96">
        <f t="shared" si="230"/>
        <v>131.01180873063689</v>
      </c>
      <c r="AC274" s="58"/>
      <c r="AD274" s="58"/>
      <c r="AE274" s="58"/>
      <c r="AF274" s="58"/>
      <c r="AG274" s="58"/>
      <c r="AH274" s="58"/>
      <c r="AI274" s="58"/>
      <c r="AJ274" s="58"/>
      <c r="AK274" s="58"/>
      <c r="AL274" s="58"/>
      <c r="AM274" s="89">
        <f t="shared" si="231"/>
        <v>43</v>
      </c>
      <c r="AN274" s="30">
        <f t="shared" si="239"/>
        <v>35.594999999999999</v>
      </c>
      <c r="AO274" s="29">
        <f t="shared" si="240"/>
        <v>2.0884557285524581</v>
      </c>
      <c r="AP274" s="29">
        <f>IF((OR(R274="A",R274="B",R274="C")),INDEX(Coefficients!$S$4:$S$22,MATCH(J274,Coefficients!$R$4:$R$22)),INDEX(Coefficients!$T$4:$T$22,MATCH(J274,Coefficients!$R$4:$R$22)))</f>
        <v>1.3</v>
      </c>
      <c r="AQ274" s="27">
        <f>IF((OR(R274="A",R274="B",R274="C")),INDEX(Coefficients!$S$4:$S$22,MATCH(K274,Coefficients!$R$4:$R$22)),INDEX(Coefficients!$T$4:$T$22,MATCH(K274,Coefficients!$R$4:$R$22)))</f>
        <v>25</v>
      </c>
      <c r="AR274" s="27">
        <f>IF(OR(R274="A",R274="B",R274="C",R274="D"),IF(AN274&gt;=11,IF(AN274&gt;=26,Coefficients!$M$6,Coefficients!$M$5),Coefficients!$M$4),IF(AN274&gt;=11,IF(AN274&gt;=26,Coefficients!$N$6,Coefficients!$N$5),Coefficients!$N$4))</f>
        <v>1</v>
      </c>
      <c r="AS274" s="27">
        <f>INDEX(Coefficients!$X$3:$X$4,MATCH(S274,Coefficients!$W$3:$W$4))</f>
        <v>1</v>
      </c>
      <c r="AT274" s="27">
        <f>INDEX(Coefficients!$X$7:$X$8,MATCH(O274,Coefficients!$W$7:$W$8))</f>
        <v>1</v>
      </c>
      <c r="AU274" s="27">
        <f>INDEX(Coefficients!$X$11:$X$12,MATCH(P274,Coefficients!$W$11:$W$12))</f>
        <v>1</v>
      </c>
      <c r="AV274" s="27">
        <f>INDEX(Coefficients!$X$15:$X$17,MATCH(Q274,Coefficients!$W$15:$W$17))</f>
        <v>1</v>
      </c>
      <c r="AW274" s="27">
        <f t="shared" si="232"/>
        <v>1</v>
      </c>
      <c r="AX274" s="27">
        <f t="shared" si="233"/>
        <v>1</v>
      </c>
      <c r="AY274" s="27">
        <f t="shared" si="234"/>
        <v>1.3</v>
      </c>
      <c r="AZ274" s="29">
        <f t="shared" si="235"/>
        <v>52.211393213811455</v>
      </c>
      <c r="BA274" s="29">
        <f t="shared" si="236"/>
        <v>0</v>
      </c>
      <c r="BB274" s="29">
        <f t="shared" si="237"/>
        <v>2.7149924471181954</v>
      </c>
      <c r="BC274" s="29">
        <f t="shared" si="238"/>
        <v>1.7285007552881804</v>
      </c>
      <c r="BD274" s="29">
        <f t="shared" si="241"/>
        <v>0.3830581558721825</v>
      </c>
      <c r="BE274" s="16">
        <f t="shared" si="242"/>
        <v>131.01180873063689</v>
      </c>
      <c r="BF274" s="16">
        <f t="shared" si="243"/>
        <v>137.97638253872623</v>
      </c>
      <c r="BG274" s="25">
        <f t="shared" si="244"/>
        <v>1</v>
      </c>
      <c r="BH274" s="29">
        <f t="shared" si="245"/>
        <v>288.22597920740117</v>
      </c>
      <c r="BI274" s="29">
        <f t="shared" si="246"/>
        <v>-176.45195841480233</v>
      </c>
      <c r="BJ274" s="29">
        <f t="shared" si="247"/>
        <v>31.577570901328251</v>
      </c>
    </row>
    <row r="275" spans="2:62">
      <c r="B275" s="29" t="s">
        <v>91</v>
      </c>
      <c r="C275" s="83" t="str">
        <f>'Cooler&amp;Wetter'!$B$1</f>
        <v>MIROC-Medres</v>
      </c>
      <c r="D275" s="89">
        <v>2049</v>
      </c>
      <c r="E275" s="90">
        <f>'Cooler&amp;Wetter'!AA77</f>
        <v>35.597499999999997</v>
      </c>
      <c r="F275" s="90">
        <f>'Cooler&amp;Wetter'!AC77</f>
        <v>23.428500000000003</v>
      </c>
      <c r="G275" s="35">
        <f t="shared" si="228"/>
        <v>2005</v>
      </c>
      <c r="H275" s="91" t="str">
        <f t="shared" si="208"/>
        <v>Pile 32 @ Berth 201</v>
      </c>
      <c r="I275" s="35" t="str">
        <f t="shared" si="209"/>
        <v>Turpentine Gum</v>
      </c>
      <c r="J275" s="35" t="str">
        <f t="shared" si="210"/>
        <v>HW1</v>
      </c>
      <c r="K275" s="35" t="str">
        <f t="shared" si="229"/>
        <v>SPHU</v>
      </c>
      <c r="L275" s="35">
        <f t="shared" si="211"/>
        <v>400</v>
      </c>
      <c r="M275" s="35">
        <f t="shared" si="212"/>
        <v>20</v>
      </c>
      <c r="N275" s="35">
        <f t="shared" si="213"/>
        <v>200</v>
      </c>
      <c r="O275" s="35" t="str">
        <f t="shared" si="214"/>
        <v>MTN2</v>
      </c>
      <c r="P275" s="35" t="str">
        <f t="shared" si="215"/>
        <v>CNT2</v>
      </c>
      <c r="Q275" s="35" t="str">
        <f t="shared" si="216"/>
        <v>KNT3</v>
      </c>
      <c r="R275" s="35" t="str">
        <f t="shared" si="217"/>
        <v>E</v>
      </c>
      <c r="S275" s="35" t="str">
        <f t="shared" si="218"/>
        <v>EXP1</v>
      </c>
      <c r="T275" s="58"/>
      <c r="U275" s="58"/>
      <c r="V275" s="58"/>
      <c r="W275" s="58"/>
      <c r="X275" s="58"/>
      <c r="Y275" s="58"/>
      <c r="Z275" s="58"/>
      <c r="AA275" s="95">
        <f t="shared" si="248"/>
        <v>1</v>
      </c>
      <c r="AB275" s="96">
        <f t="shared" si="230"/>
        <v>134.50272758541581</v>
      </c>
      <c r="AC275" s="58"/>
      <c r="AD275" s="58"/>
      <c r="AE275" s="58"/>
      <c r="AF275" s="58"/>
      <c r="AG275" s="58"/>
      <c r="AH275" s="58"/>
      <c r="AI275" s="58"/>
      <c r="AJ275" s="58"/>
      <c r="AK275" s="58"/>
      <c r="AL275" s="58"/>
      <c r="AM275" s="89">
        <f t="shared" si="231"/>
        <v>44</v>
      </c>
      <c r="AN275" s="30">
        <f t="shared" si="239"/>
        <v>35.597499999999997</v>
      </c>
      <c r="AO275" s="29">
        <f t="shared" si="240"/>
        <v>2.102484849736014</v>
      </c>
      <c r="AP275" s="29">
        <f>IF((OR(R275="A",R275="B",R275="C")),INDEX(Coefficients!$S$4:$S$22,MATCH(J275,Coefficients!$R$4:$R$22)),INDEX(Coefficients!$T$4:$T$22,MATCH(J275,Coefficients!$R$4:$R$22)))</f>
        <v>1.3</v>
      </c>
      <c r="AQ275" s="27">
        <f>IF((OR(R275="A",R275="B",R275="C")),INDEX(Coefficients!$S$4:$S$22,MATCH(K275,Coefficients!$R$4:$R$22)),INDEX(Coefficients!$T$4:$T$22,MATCH(K275,Coefficients!$R$4:$R$22)))</f>
        <v>25</v>
      </c>
      <c r="AR275" s="27">
        <f>IF(OR(R275="A",R275="B",R275="C",R275="D"),IF(AN275&gt;=11,IF(AN275&gt;=26,Coefficients!$M$6,Coefficients!$M$5),Coefficients!$M$4),IF(AN275&gt;=11,IF(AN275&gt;=26,Coefficients!$N$6,Coefficients!$N$5),Coefficients!$N$4))</f>
        <v>1</v>
      </c>
      <c r="AS275" s="27">
        <f>INDEX(Coefficients!$X$3:$X$4,MATCH(S275,Coefficients!$W$3:$W$4))</f>
        <v>1</v>
      </c>
      <c r="AT275" s="27">
        <f>INDEX(Coefficients!$X$7:$X$8,MATCH(O275,Coefficients!$W$7:$W$8))</f>
        <v>1</v>
      </c>
      <c r="AU275" s="27">
        <f>INDEX(Coefficients!$X$11:$X$12,MATCH(P275,Coefficients!$W$11:$W$12))</f>
        <v>1</v>
      </c>
      <c r="AV275" s="27">
        <f>INDEX(Coefficients!$X$15:$X$17,MATCH(Q275,Coefficients!$W$15:$W$17))</f>
        <v>1</v>
      </c>
      <c r="AW275" s="27">
        <f t="shared" si="232"/>
        <v>1</v>
      </c>
      <c r="AX275" s="27">
        <f t="shared" si="233"/>
        <v>1</v>
      </c>
      <c r="AY275" s="27">
        <f t="shared" si="234"/>
        <v>1.3</v>
      </c>
      <c r="AZ275" s="29">
        <f t="shared" si="235"/>
        <v>52.562121243400348</v>
      </c>
      <c r="BA275" s="29">
        <f t="shared" si="236"/>
        <v>0</v>
      </c>
      <c r="BB275" s="29">
        <f t="shared" si="237"/>
        <v>2.7332303046568183</v>
      </c>
      <c r="BC275" s="29">
        <f t="shared" si="238"/>
        <v>1.726676969534318</v>
      </c>
      <c r="BD275" s="29">
        <f t="shared" si="241"/>
        <v>0.38050214730462734</v>
      </c>
      <c r="BE275" s="16">
        <f t="shared" si="242"/>
        <v>134.50272758541581</v>
      </c>
      <c r="BF275" s="16">
        <f t="shared" si="243"/>
        <v>130.99454482916838</v>
      </c>
      <c r="BG275" s="25">
        <f t="shared" si="244"/>
        <v>1</v>
      </c>
      <c r="BH275" s="29">
        <f t="shared" si="245"/>
        <v>295.9060006879148</v>
      </c>
      <c r="BI275" s="29">
        <f t="shared" si="246"/>
        <v>-191.8120013758296</v>
      </c>
      <c r="BJ275" s="29">
        <f t="shared" si="247"/>
        <v>31.376575063348739</v>
      </c>
    </row>
    <row r="276" spans="2:62">
      <c r="B276" s="29" t="s">
        <v>91</v>
      </c>
      <c r="C276" s="83" t="str">
        <f>'Cooler&amp;Wetter'!$B$1</f>
        <v>MIROC-Medres</v>
      </c>
      <c r="D276" s="89">
        <v>2050</v>
      </c>
      <c r="E276" s="90">
        <f>'Cooler&amp;Wetter'!AA78</f>
        <v>35.6</v>
      </c>
      <c r="F276" s="90">
        <f>'Cooler&amp;Wetter'!AC78</f>
        <v>23.48</v>
      </c>
      <c r="G276" s="35">
        <f t="shared" si="228"/>
        <v>2005</v>
      </c>
      <c r="H276" s="91" t="str">
        <f t="shared" si="208"/>
        <v>Pile 32 @ Berth 201</v>
      </c>
      <c r="I276" s="35" t="str">
        <f t="shared" si="209"/>
        <v>Turpentine Gum</v>
      </c>
      <c r="J276" s="35" t="str">
        <f t="shared" si="210"/>
        <v>HW1</v>
      </c>
      <c r="K276" s="35" t="str">
        <f t="shared" si="229"/>
        <v>SPHU</v>
      </c>
      <c r="L276" s="35">
        <f t="shared" si="211"/>
        <v>400</v>
      </c>
      <c r="M276" s="35">
        <f t="shared" si="212"/>
        <v>20</v>
      </c>
      <c r="N276" s="35">
        <f t="shared" si="213"/>
        <v>200</v>
      </c>
      <c r="O276" s="35" t="str">
        <f t="shared" si="214"/>
        <v>MTN2</v>
      </c>
      <c r="P276" s="35" t="str">
        <f t="shared" si="215"/>
        <v>CNT2</v>
      </c>
      <c r="Q276" s="35" t="str">
        <f t="shared" si="216"/>
        <v>KNT3</v>
      </c>
      <c r="R276" s="35" t="str">
        <f t="shared" si="217"/>
        <v>E</v>
      </c>
      <c r="S276" s="35" t="str">
        <f t="shared" si="218"/>
        <v>EXP1</v>
      </c>
      <c r="T276" s="58"/>
      <c r="U276" s="58"/>
      <c r="V276" s="58"/>
      <c r="W276" s="58"/>
      <c r="X276" s="58"/>
      <c r="Y276" s="58"/>
      <c r="Z276" s="58"/>
      <c r="AA276" s="95">
        <f t="shared" si="248"/>
        <v>1</v>
      </c>
      <c r="AB276" s="96">
        <f t="shared" si="230"/>
        <v>138.0355241189344</v>
      </c>
      <c r="AC276" s="58"/>
      <c r="AD276" s="58"/>
      <c r="AE276" s="58"/>
      <c r="AF276" s="58"/>
      <c r="AG276" s="58"/>
      <c r="AH276" s="58"/>
      <c r="AI276" s="58"/>
      <c r="AJ276" s="58"/>
      <c r="AK276" s="58"/>
      <c r="AL276" s="58"/>
      <c r="AM276" s="89">
        <f t="shared" si="231"/>
        <v>45</v>
      </c>
      <c r="AN276" s="30">
        <f t="shared" si="239"/>
        <v>35.6</v>
      </c>
      <c r="AO276" s="29">
        <f t="shared" si="240"/>
        <v>2.1166082110025601</v>
      </c>
      <c r="AP276" s="29">
        <f>IF((OR(R276="A",R276="B",R276="C")),INDEX(Coefficients!$S$4:$S$22,MATCH(J276,Coefficients!$R$4:$R$22)),INDEX(Coefficients!$T$4:$T$22,MATCH(J276,Coefficients!$R$4:$R$22)))</f>
        <v>1.3</v>
      </c>
      <c r="AQ276" s="27">
        <f>IF((OR(R276="A",R276="B",R276="C")),INDEX(Coefficients!$S$4:$S$22,MATCH(K276,Coefficients!$R$4:$R$22)),INDEX(Coefficients!$T$4:$T$22,MATCH(K276,Coefficients!$R$4:$R$22)))</f>
        <v>25</v>
      </c>
      <c r="AR276" s="27">
        <f>IF(OR(R276="A",R276="B",R276="C",R276="D"),IF(AN276&gt;=11,IF(AN276&gt;=26,Coefficients!$M$6,Coefficients!$M$5),Coefficients!$M$4),IF(AN276&gt;=11,IF(AN276&gt;=26,Coefficients!$N$6,Coefficients!$N$5),Coefficients!$N$4))</f>
        <v>1</v>
      </c>
      <c r="AS276" s="27">
        <f>INDEX(Coefficients!$X$3:$X$4,MATCH(S276,Coefficients!$W$3:$W$4))</f>
        <v>1</v>
      </c>
      <c r="AT276" s="27">
        <f>INDEX(Coefficients!$X$7:$X$8,MATCH(O276,Coefficients!$W$7:$W$8))</f>
        <v>1</v>
      </c>
      <c r="AU276" s="27">
        <f>INDEX(Coefficients!$X$11:$X$12,MATCH(P276,Coefficients!$W$11:$W$12))</f>
        <v>1</v>
      </c>
      <c r="AV276" s="27">
        <f>INDEX(Coefficients!$X$15:$X$17,MATCH(Q276,Coefficients!$W$15:$W$17))</f>
        <v>1</v>
      </c>
      <c r="AW276" s="27">
        <f t="shared" si="232"/>
        <v>1</v>
      </c>
      <c r="AX276" s="27">
        <f t="shared" si="233"/>
        <v>1</v>
      </c>
      <c r="AY276" s="27">
        <f t="shared" si="234"/>
        <v>1.3</v>
      </c>
      <c r="AZ276" s="29">
        <f t="shared" si="235"/>
        <v>52.915205275064004</v>
      </c>
      <c r="BA276" s="29">
        <f t="shared" si="236"/>
        <v>0</v>
      </c>
      <c r="BB276" s="29">
        <f t="shared" si="237"/>
        <v>2.7515906743033285</v>
      </c>
      <c r="BC276" s="29">
        <f t="shared" si="238"/>
        <v>1.7248409325696672</v>
      </c>
      <c r="BD276" s="29">
        <f t="shared" si="241"/>
        <v>0.3779631940580393</v>
      </c>
      <c r="BE276" s="16">
        <f t="shared" si="242"/>
        <v>138.0355241189344</v>
      </c>
      <c r="BF276" s="16">
        <f t="shared" si="243"/>
        <v>123.92895176213119</v>
      </c>
      <c r="BG276" s="25">
        <f t="shared" si="244"/>
        <v>1</v>
      </c>
      <c r="BH276" s="29">
        <f t="shared" si="245"/>
        <v>303.67815306165573</v>
      </c>
      <c r="BI276" s="29">
        <f t="shared" si="246"/>
        <v>-207.35630612331147</v>
      </c>
      <c r="BJ276" s="29">
        <f t="shared" si="247"/>
        <v>31.176895977246108</v>
      </c>
    </row>
    <row r="277" spans="2:62">
      <c r="B277" s="29" t="s">
        <v>91</v>
      </c>
      <c r="C277" s="83" t="str">
        <f>'Cooler&amp;Wetter'!$B$1</f>
        <v>MIROC-Medres</v>
      </c>
      <c r="D277" s="89">
        <v>2051</v>
      </c>
      <c r="E277" s="90">
        <f>'Cooler&amp;Wetter'!AA79</f>
        <v>35.603499999999997</v>
      </c>
      <c r="F277" s="90">
        <f>'Cooler&amp;Wetter'!AC79</f>
        <v>23.54</v>
      </c>
      <c r="G277" s="35">
        <f t="shared" si="228"/>
        <v>2005</v>
      </c>
      <c r="H277" s="91" t="str">
        <f t="shared" si="208"/>
        <v>Pile 32 @ Berth 201</v>
      </c>
      <c r="I277" s="35" t="str">
        <f t="shared" si="209"/>
        <v>Turpentine Gum</v>
      </c>
      <c r="J277" s="35" t="str">
        <f t="shared" si="210"/>
        <v>HW1</v>
      </c>
      <c r="K277" s="35" t="str">
        <f t="shared" si="229"/>
        <v>SPHU</v>
      </c>
      <c r="L277" s="35">
        <f t="shared" si="211"/>
        <v>400</v>
      </c>
      <c r="M277" s="35">
        <f t="shared" si="212"/>
        <v>20</v>
      </c>
      <c r="N277" s="35">
        <f t="shared" si="213"/>
        <v>200</v>
      </c>
      <c r="O277" s="35" t="str">
        <f t="shared" si="214"/>
        <v>MTN2</v>
      </c>
      <c r="P277" s="35" t="str">
        <f t="shared" si="215"/>
        <v>CNT2</v>
      </c>
      <c r="Q277" s="35" t="str">
        <f t="shared" si="216"/>
        <v>KNT3</v>
      </c>
      <c r="R277" s="35" t="str">
        <f t="shared" si="217"/>
        <v>E</v>
      </c>
      <c r="S277" s="35" t="str">
        <f t="shared" si="218"/>
        <v>EXP1</v>
      </c>
      <c r="T277" s="58"/>
      <c r="U277" s="58"/>
      <c r="V277" s="58"/>
      <c r="W277" s="58"/>
      <c r="X277" s="58"/>
      <c r="Y277" s="58"/>
      <c r="Z277" s="58"/>
      <c r="AA277" s="95">
        <f t="shared" si="248"/>
        <v>1</v>
      </c>
      <c r="AB277" s="96">
        <f t="shared" si="230"/>
        <v>141.74705701596602</v>
      </c>
      <c r="AC277" s="58"/>
      <c r="AD277" s="58"/>
      <c r="AE277" s="58"/>
      <c r="AF277" s="58"/>
      <c r="AG277" s="58"/>
      <c r="AH277" s="58"/>
      <c r="AI277" s="58"/>
      <c r="AJ277" s="58"/>
      <c r="AK277" s="58"/>
      <c r="AL277" s="58"/>
      <c r="AM277" s="89">
        <f t="shared" si="231"/>
        <v>46</v>
      </c>
      <c r="AN277" s="30">
        <f t="shared" si="239"/>
        <v>35.603499999999997</v>
      </c>
      <c r="AO277" s="29">
        <f t="shared" si="240"/>
        <v>2.1331823100038889</v>
      </c>
      <c r="AP277" s="29">
        <f>IF((OR(R277="A",R277="B",R277="C")),INDEX(Coefficients!$S$4:$S$22,MATCH(J277,Coefficients!$R$4:$R$22)),INDEX(Coefficients!$T$4:$T$22,MATCH(J277,Coefficients!$R$4:$R$22)))</f>
        <v>1.3</v>
      </c>
      <c r="AQ277" s="27">
        <f>IF((OR(R277="A",R277="B",R277="C")),INDEX(Coefficients!$S$4:$S$22,MATCH(K277,Coefficients!$R$4:$R$22)),INDEX(Coefficients!$T$4:$T$22,MATCH(K277,Coefficients!$R$4:$R$22)))</f>
        <v>25</v>
      </c>
      <c r="AR277" s="27">
        <f>IF(OR(R277="A",R277="B",R277="C",R277="D"),IF(AN277&gt;=11,IF(AN277&gt;=26,Coefficients!$M$6,Coefficients!$M$5),Coefficients!$M$4),IF(AN277&gt;=11,IF(AN277&gt;=26,Coefficients!$N$6,Coefficients!$N$5),Coefficients!$N$4))</f>
        <v>1</v>
      </c>
      <c r="AS277" s="27">
        <f>INDEX(Coefficients!$X$3:$X$4,MATCH(S277,Coefficients!$W$3:$W$4))</f>
        <v>1</v>
      </c>
      <c r="AT277" s="27">
        <f>INDEX(Coefficients!$X$7:$X$8,MATCH(O277,Coefficients!$W$7:$W$8))</f>
        <v>1</v>
      </c>
      <c r="AU277" s="27">
        <f>INDEX(Coefficients!$X$11:$X$12,MATCH(P277,Coefficients!$W$11:$W$12))</f>
        <v>1</v>
      </c>
      <c r="AV277" s="27">
        <f>INDEX(Coefficients!$X$15:$X$17,MATCH(Q277,Coefficients!$W$15:$W$17))</f>
        <v>1</v>
      </c>
      <c r="AW277" s="27">
        <f t="shared" si="232"/>
        <v>1</v>
      </c>
      <c r="AX277" s="27">
        <f t="shared" si="233"/>
        <v>1</v>
      </c>
      <c r="AY277" s="27">
        <f t="shared" si="234"/>
        <v>1.3</v>
      </c>
      <c r="AZ277" s="29">
        <f t="shared" si="235"/>
        <v>53.329557750097223</v>
      </c>
      <c r="BA277" s="29">
        <f t="shared" si="236"/>
        <v>0</v>
      </c>
      <c r="BB277" s="29">
        <f t="shared" si="237"/>
        <v>2.7731370030050555</v>
      </c>
      <c r="BC277" s="29">
        <f t="shared" si="238"/>
        <v>1.7226862996994945</v>
      </c>
      <c r="BD277" s="29">
        <f t="shared" si="241"/>
        <v>0.37502654894908705</v>
      </c>
      <c r="BE277" s="16">
        <f t="shared" si="242"/>
        <v>141.74705701596602</v>
      </c>
      <c r="BF277" s="16">
        <f t="shared" si="243"/>
        <v>116.50588596806796</v>
      </c>
      <c r="BG277" s="25">
        <f t="shared" si="244"/>
        <v>1</v>
      </c>
      <c r="BH277" s="29">
        <f t="shared" si="245"/>
        <v>311.84352543512529</v>
      </c>
      <c r="BI277" s="29">
        <f t="shared" si="246"/>
        <v>-223.68705087025057</v>
      </c>
      <c r="BJ277" s="29">
        <f t="shared" si="247"/>
        <v>30.945908921655278</v>
      </c>
    </row>
    <row r="278" spans="2:62">
      <c r="B278" s="29" t="s">
        <v>91</v>
      </c>
      <c r="C278" s="83" t="str">
        <f>'Cooler&amp;Wetter'!$B$1</f>
        <v>MIROC-Medres</v>
      </c>
      <c r="D278" s="89">
        <v>2052</v>
      </c>
      <c r="E278" s="90">
        <f>'Cooler&amp;Wetter'!AA80</f>
        <v>35.606999999999999</v>
      </c>
      <c r="F278" s="90">
        <f>'Cooler&amp;Wetter'!AC80</f>
        <v>23.6</v>
      </c>
      <c r="G278" s="35">
        <f t="shared" si="228"/>
        <v>2005</v>
      </c>
      <c r="H278" s="91" t="str">
        <f t="shared" si="208"/>
        <v>Pile 32 @ Berth 201</v>
      </c>
      <c r="I278" s="35" t="str">
        <f t="shared" si="209"/>
        <v>Turpentine Gum</v>
      </c>
      <c r="J278" s="35" t="str">
        <f t="shared" si="210"/>
        <v>HW1</v>
      </c>
      <c r="K278" s="35" t="str">
        <f t="shared" si="229"/>
        <v>SPHU</v>
      </c>
      <c r="L278" s="35">
        <f t="shared" si="211"/>
        <v>400</v>
      </c>
      <c r="M278" s="35">
        <f t="shared" si="212"/>
        <v>20</v>
      </c>
      <c r="N278" s="35">
        <f t="shared" si="213"/>
        <v>200</v>
      </c>
      <c r="O278" s="35" t="str">
        <f t="shared" si="214"/>
        <v>MTN2</v>
      </c>
      <c r="P278" s="35" t="str">
        <f t="shared" si="215"/>
        <v>CNT2</v>
      </c>
      <c r="Q278" s="35" t="str">
        <f t="shared" si="216"/>
        <v>KNT3</v>
      </c>
      <c r="R278" s="35" t="str">
        <f t="shared" si="217"/>
        <v>E</v>
      </c>
      <c r="S278" s="35" t="str">
        <f t="shared" si="218"/>
        <v>EXP1</v>
      </c>
      <c r="T278" s="58"/>
      <c r="U278" s="58"/>
      <c r="V278" s="58"/>
      <c r="W278" s="58"/>
      <c r="X278" s="58"/>
      <c r="Y278" s="58"/>
      <c r="Z278" s="58"/>
      <c r="AA278" s="95">
        <f t="shared" si="248"/>
        <v>1</v>
      </c>
      <c r="AB278" s="96">
        <f t="shared" si="230"/>
        <v>145.50946205804559</v>
      </c>
      <c r="AC278" s="58"/>
      <c r="AD278" s="58"/>
      <c r="AE278" s="58"/>
      <c r="AF278" s="58"/>
      <c r="AG278" s="58"/>
      <c r="AH278" s="58"/>
      <c r="AI278" s="58"/>
      <c r="AJ278" s="58"/>
      <c r="AK278" s="58"/>
      <c r="AL278" s="58"/>
      <c r="AM278" s="89">
        <f t="shared" si="231"/>
        <v>47</v>
      </c>
      <c r="AN278" s="30">
        <f t="shared" si="239"/>
        <v>35.606999999999999</v>
      </c>
      <c r="AO278" s="29">
        <f t="shared" si="240"/>
        <v>2.149886192474959</v>
      </c>
      <c r="AP278" s="29">
        <f>IF((OR(R278="A",R278="B",R278="C")),INDEX(Coefficients!$S$4:$S$22,MATCH(J278,Coefficients!$R$4:$R$22)),INDEX(Coefficients!$T$4:$T$22,MATCH(J278,Coefficients!$R$4:$R$22)))</f>
        <v>1.3</v>
      </c>
      <c r="AQ278" s="27">
        <f>IF((OR(R278="A",R278="B",R278="C")),INDEX(Coefficients!$S$4:$S$22,MATCH(K278,Coefficients!$R$4:$R$22)),INDEX(Coefficients!$T$4:$T$22,MATCH(K278,Coefficients!$R$4:$R$22)))</f>
        <v>25</v>
      </c>
      <c r="AR278" s="27">
        <f>IF(OR(R278="A",R278="B",R278="C",R278="D"),IF(AN278&gt;=11,IF(AN278&gt;=26,Coefficients!$M$6,Coefficients!$M$5),Coefficients!$M$4),IF(AN278&gt;=11,IF(AN278&gt;=26,Coefficients!$N$6,Coefficients!$N$5),Coefficients!$N$4))</f>
        <v>1</v>
      </c>
      <c r="AS278" s="27">
        <f>INDEX(Coefficients!$X$3:$X$4,MATCH(S278,Coefficients!$W$3:$W$4))</f>
        <v>1</v>
      </c>
      <c r="AT278" s="27">
        <f>INDEX(Coefficients!$X$7:$X$8,MATCH(O278,Coefficients!$W$7:$W$8))</f>
        <v>1</v>
      </c>
      <c r="AU278" s="27">
        <f>INDEX(Coefficients!$X$11:$X$12,MATCH(P278,Coefficients!$W$11:$W$12))</f>
        <v>1</v>
      </c>
      <c r="AV278" s="27">
        <f>INDEX(Coefficients!$X$15:$X$17,MATCH(Q278,Coefficients!$W$15:$W$17))</f>
        <v>1</v>
      </c>
      <c r="AW278" s="27">
        <f t="shared" si="232"/>
        <v>1</v>
      </c>
      <c r="AX278" s="27">
        <f t="shared" si="233"/>
        <v>1</v>
      </c>
      <c r="AY278" s="27">
        <f t="shared" si="234"/>
        <v>1.3</v>
      </c>
      <c r="AZ278" s="29">
        <f t="shared" si="235"/>
        <v>53.747154811873976</v>
      </c>
      <c r="BA278" s="29">
        <f t="shared" si="236"/>
        <v>0</v>
      </c>
      <c r="BB278" s="29">
        <f t="shared" si="237"/>
        <v>2.7948520502174468</v>
      </c>
      <c r="BC278" s="29">
        <f t="shared" si="238"/>
        <v>1.7205147949782553</v>
      </c>
      <c r="BD278" s="29">
        <f t="shared" si="241"/>
        <v>0.37211272057105321</v>
      </c>
      <c r="BE278" s="16">
        <f t="shared" si="242"/>
        <v>145.50946205804559</v>
      </c>
      <c r="BF278" s="16">
        <f t="shared" si="243"/>
        <v>108.98107588390883</v>
      </c>
      <c r="BG278" s="25">
        <f t="shared" si="244"/>
        <v>1</v>
      </c>
      <c r="BH278" s="29">
        <f t="shared" si="245"/>
        <v>320.1208165277003</v>
      </c>
      <c r="BI278" s="29">
        <f t="shared" si="246"/>
        <v>-240.2416330554006</v>
      </c>
      <c r="BJ278" s="29">
        <f t="shared" si="247"/>
        <v>30.716682944091865</v>
      </c>
    </row>
    <row r="279" spans="2:62">
      <c r="B279" s="29" t="s">
        <v>91</v>
      </c>
      <c r="C279" s="83" t="str">
        <f>'Cooler&amp;Wetter'!$B$1</f>
        <v>MIROC-Medres</v>
      </c>
      <c r="D279" s="89">
        <v>2053</v>
      </c>
      <c r="E279" s="90">
        <f>'Cooler&amp;Wetter'!AA81</f>
        <v>35.610500000000002</v>
      </c>
      <c r="F279" s="90">
        <f>'Cooler&amp;Wetter'!AC81</f>
        <v>23.66</v>
      </c>
      <c r="G279" s="35">
        <f t="shared" si="228"/>
        <v>2005</v>
      </c>
      <c r="H279" s="91" t="str">
        <f t="shared" si="208"/>
        <v>Pile 32 @ Berth 201</v>
      </c>
      <c r="I279" s="35" t="str">
        <f t="shared" si="209"/>
        <v>Turpentine Gum</v>
      </c>
      <c r="J279" s="35" t="str">
        <f t="shared" si="210"/>
        <v>HW1</v>
      </c>
      <c r="K279" s="35" t="str">
        <f t="shared" si="229"/>
        <v>SPHU</v>
      </c>
      <c r="L279" s="35">
        <f t="shared" si="211"/>
        <v>400</v>
      </c>
      <c r="M279" s="35">
        <f t="shared" si="212"/>
        <v>20</v>
      </c>
      <c r="N279" s="35">
        <f t="shared" si="213"/>
        <v>200</v>
      </c>
      <c r="O279" s="35" t="str">
        <f t="shared" si="214"/>
        <v>MTN2</v>
      </c>
      <c r="P279" s="35" t="str">
        <f t="shared" si="215"/>
        <v>CNT2</v>
      </c>
      <c r="Q279" s="35" t="str">
        <f t="shared" si="216"/>
        <v>KNT3</v>
      </c>
      <c r="R279" s="35" t="str">
        <f t="shared" si="217"/>
        <v>E</v>
      </c>
      <c r="S279" s="35" t="str">
        <f t="shared" si="218"/>
        <v>EXP1</v>
      </c>
      <c r="T279" s="58"/>
      <c r="U279" s="58"/>
      <c r="V279" s="58"/>
      <c r="W279" s="58"/>
      <c r="X279" s="58"/>
      <c r="Y279" s="58"/>
      <c r="Z279" s="58"/>
      <c r="AA279" s="95">
        <f t="shared" si="248"/>
        <v>1</v>
      </c>
      <c r="AB279" s="96">
        <f t="shared" si="230"/>
        <v>149.3233091161174</v>
      </c>
      <c r="AC279" s="58"/>
      <c r="AD279" s="58"/>
      <c r="AE279" s="58"/>
      <c r="AF279" s="58"/>
      <c r="AG279" s="58"/>
      <c r="AH279" s="58"/>
      <c r="AI279" s="58"/>
      <c r="AJ279" s="58"/>
      <c r="AK279" s="58"/>
      <c r="AL279" s="58"/>
      <c r="AM279" s="89">
        <f t="shared" si="231"/>
        <v>48</v>
      </c>
      <c r="AN279" s="30">
        <f t="shared" si="239"/>
        <v>35.610500000000002</v>
      </c>
      <c r="AO279" s="29">
        <f t="shared" si="240"/>
        <v>2.1667208746851307</v>
      </c>
      <c r="AP279" s="29">
        <f>IF((OR(R279="A",R279="B",R279="C")),INDEX(Coefficients!$S$4:$S$22,MATCH(J279,Coefficients!$R$4:$R$22)),INDEX(Coefficients!$T$4:$T$22,MATCH(J279,Coefficients!$R$4:$R$22)))</f>
        <v>1.3</v>
      </c>
      <c r="AQ279" s="27">
        <f>IF((OR(R279="A",R279="B",R279="C")),INDEX(Coefficients!$S$4:$S$22,MATCH(K279,Coefficients!$R$4:$R$22)),INDEX(Coefficients!$T$4:$T$22,MATCH(K279,Coefficients!$R$4:$R$22)))</f>
        <v>25</v>
      </c>
      <c r="AR279" s="27">
        <f>IF(OR(R279="A",R279="B",R279="C",R279="D"),IF(AN279&gt;=11,IF(AN279&gt;=26,Coefficients!$M$6,Coefficients!$M$5),Coefficients!$M$4),IF(AN279&gt;=11,IF(AN279&gt;=26,Coefficients!$N$6,Coefficients!$N$5),Coefficients!$N$4))</f>
        <v>1</v>
      </c>
      <c r="AS279" s="27">
        <f>INDEX(Coefficients!$X$3:$X$4,MATCH(S279,Coefficients!$W$3:$W$4))</f>
        <v>1</v>
      </c>
      <c r="AT279" s="27">
        <f>INDEX(Coefficients!$X$7:$X$8,MATCH(O279,Coefficients!$W$7:$W$8))</f>
        <v>1</v>
      </c>
      <c r="AU279" s="27">
        <f>INDEX(Coefficients!$X$11:$X$12,MATCH(P279,Coefficients!$W$11:$W$12))</f>
        <v>1</v>
      </c>
      <c r="AV279" s="27">
        <f>INDEX(Coefficients!$X$15:$X$17,MATCH(Q279,Coefficients!$W$15:$W$17))</f>
        <v>1</v>
      </c>
      <c r="AW279" s="27">
        <f t="shared" si="232"/>
        <v>1</v>
      </c>
      <c r="AX279" s="27">
        <f t="shared" si="233"/>
        <v>1</v>
      </c>
      <c r="AY279" s="27">
        <f t="shared" si="234"/>
        <v>1.3</v>
      </c>
      <c r="AZ279" s="29">
        <f t="shared" si="235"/>
        <v>54.168021867128267</v>
      </c>
      <c r="BA279" s="29">
        <f t="shared" si="236"/>
        <v>0</v>
      </c>
      <c r="BB279" s="29">
        <f t="shared" si="237"/>
        <v>2.8167371370906702</v>
      </c>
      <c r="BC279" s="29">
        <f t="shared" si="238"/>
        <v>1.718326286290933</v>
      </c>
      <c r="BD279" s="29">
        <f t="shared" si="241"/>
        <v>0.36922153164572086</v>
      </c>
      <c r="BE279" s="16">
        <f t="shared" si="242"/>
        <v>149.3233091161174</v>
      </c>
      <c r="BF279" s="16">
        <f t="shared" si="243"/>
        <v>101.3533817677652</v>
      </c>
      <c r="BG279" s="25">
        <f t="shared" si="244"/>
        <v>1</v>
      </c>
      <c r="BH279" s="29">
        <f t="shared" si="245"/>
        <v>328.51128005545831</v>
      </c>
      <c r="BI279" s="29">
        <f t="shared" si="246"/>
        <v>-257.02256011091663</v>
      </c>
      <c r="BJ279" s="29">
        <f t="shared" si="247"/>
        <v>30.489204098376717</v>
      </c>
    </row>
    <row r="280" spans="2:62">
      <c r="B280" s="29" t="s">
        <v>91</v>
      </c>
      <c r="C280" s="83" t="str">
        <f>'Cooler&amp;Wetter'!$B$1</f>
        <v>MIROC-Medres</v>
      </c>
      <c r="D280" s="89">
        <v>2054</v>
      </c>
      <c r="E280" s="90">
        <f>'Cooler&amp;Wetter'!AA82</f>
        <v>35.613999999999997</v>
      </c>
      <c r="F280" s="90">
        <f>'Cooler&amp;Wetter'!AC82</f>
        <v>23.72</v>
      </c>
      <c r="G280" s="35">
        <f t="shared" si="228"/>
        <v>2005</v>
      </c>
      <c r="H280" s="91" t="str">
        <f t="shared" si="208"/>
        <v>Pile 32 @ Berth 201</v>
      </c>
      <c r="I280" s="35" t="str">
        <f t="shared" si="209"/>
        <v>Turpentine Gum</v>
      </c>
      <c r="J280" s="35" t="str">
        <f t="shared" si="210"/>
        <v>HW1</v>
      </c>
      <c r="K280" s="35" t="str">
        <f t="shared" si="229"/>
        <v>SPHU</v>
      </c>
      <c r="L280" s="35">
        <f t="shared" si="211"/>
        <v>400</v>
      </c>
      <c r="M280" s="35">
        <f t="shared" si="212"/>
        <v>20</v>
      </c>
      <c r="N280" s="35">
        <f t="shared" si="213"/>
        <v>200</v>
      </c>
      <c r="O280" s="35" t="str">
        <f t="shared" si="214"/>
        <v>MTN2</v>
      </c>
      <c r="P280" s="35" t="str">
        <f t="shared" si="215"/>
        <v>CNT2</v>
      </c>
      <c r="Q280" s="35" t="str">
        <f t="shared" si="216"/>
        <v>KNT3</v>
      </c>
      <c r="R280" s="35" t="str">
        <f t="shared" si="217"/>
        <v>E</v>
      </c>
      <c r="S280" s="35" t="str">
        <f t="shared" si="218"/>
        <v>EXP1</v>
      </c>
      <c r="T280" s="58"/>
      <c r="U280" s="58"/>
      <c r="V280" s="58"/>
      <c r="W280" s="58"/>
      <c r="X280" s="58"/>
      <c r="Y280" s="58"/>
      <c r="Z280" s="58"/>
      <c r="AA280" s="95">
        <f t="shared" si="248"/>
        <v>1</v>
      </c>
      <c r="AB280" s="96">
        <f t="shared" si="230"/>
        <v>153.18917387821719</v>
      </c>
      <c r="AC280" s="58"/>
      <c r="AD280" s="58"/>
      <c r="AE280" s="58"/>
      <c r="AF280" s="58"/>
      <c r="AG280" s="58"/>
      <c r="AH280" s="58"/>
      <c r="AI280" s="58"/>
      <c r="AJ280" s="58"/>
      <c r="AK280" s="58"/>
      <c r="AL280" s="58"/>
      <c r="AM280" s="89">
        <f t="shared" si="231"/>
        <v>49</v>
      </c>
      <c r="AN280" s="30">
        <f t="shared" si="239"/>
        <v>35.613999999999997</v>
      </c>
      <c r="AO280" s="29">
        <f t="shared" si="240"/>
        <v>2.1836873808616639</v>
      </c>
      <c r="AP280" s="29">
        <f>IF((OR(R280="A",R280="B",R280="C")),INDEX(Coefficients!$S$4:$S$22,MATCH(J280,Coefficients!$R$4:$R$22)),INDEX(Coefficients!$T$4:$T$22,MATCH(J280,Coefficients!$R$4:$R$22)))</f>
        <v>1.3</v>
      </c>
      <c r="AQ280" s="27">
        <f>IF((OR(R280="A",R280="B",R280="C")),INDEX(Coefficients!$S$4:$S$22,MATCH(K280,Coefficients!$R$4:$R$22)),INDEX(Coefficients!$T$4:$T$22,MATCH(K280,Coefficients!$R$4:$R$22)))</f>
        <v>25</v>
      </c>
      <c r="AR280" s="27">
        <f>IF(OR(R280="A",R280="B",R280="C",R280="D"),IF(AN280&gt;=11,IF(AN280&gt;=26,Coefficients!$M$6,Coefficients!$M$5),Coefficients!$M$4),IF(AN280&gt;=11,IF(AN280&gt;=26,Coefficients!$N$6,Coefficients!$N$5),Coefficients!$N$4))</f>
        <v>1</v>
      </c>
      <c r="AS280" s="27">
        <f>INDEX(Coefficients!$X$3:$X$4,MATCH(S280,Coefficients!$W$3:$W$4))</f>
        <v>1</v>
      </c>
      <c r="AT280" s="27">
        <f>INDEX(Coefficients!$X$7:$X$8,MATCH(O280,Coefficients!$W$7:$W$8))</f>
        <v>1</v>
      </c>
      <c r="AU280" s="27">
        <f>INDEX(Coefficients!$X$11:$X$12,MATCH(P280,Coefficients!$W$11:$W$12))</f>
        <v>1</v>
      </c>
      <c r="AV280" s="27">
        <f>INDEX(Coefficients!$X$15:$X$17,MATCH(Q280,Coefficients!$W$15:$W$17))</f>
        <v>1</v>
      </c>
      <c r="AW280" s="27">
        <f t="shared" si="232"/>
        <v>1</v>
      </c>
      <c r="AX280" s="27">
        <f t="shared" si="233"/>
        <v>1</v>
      </c>
      <c r="AY280" s="27">
        <f t="shared" si="234"/>
        <v>1.3</v>
      </c>
      <c r="AZ280" s="29">
        <f t="shared" si="235"/>
        <v>54.592184521541597</v>
      </c>
      <c r="BA280" s="29">
        <f t="shared" si="236"/>
        <v>0</v>
      </c>
      <c r="BB280" s="29">
        <f t="shared" si="237"/>
        <v>2.8387935951201633</v>
      </c>
      <c r="BC280" s="29">
        <f t="shared" si="238"/>
        <v>1.7161206404879836</v>
      </c>
      <c r="BD280" s="29">
        <f t="shared" si="241"/>
        <v>0.36635280627226369</v>
      </c>
      <c r="BE280" s="16">
        <f t="shared" si="242"/>
        <v>153.18917387821719</v>
      </c>
      <c r="BF280" s="16">
        <f t="shared" si="243"/>
        <v>93.62165224356562</v>
      </c>
      <c r="BG280" s="25">
        <f t="shared" si="244"/>
        <v>1</v>
      </c>
      <c r="BH280" s="29">
        <f t="shared" si="245"/>
        <v>337.01618253207783</v>
      </c>
      <c r="BI280" s="29">
        <f t="shared" si="246"/>
        <v>-274.03236506415567</v>
      </c>
      <c r="BJ280" s="29">
        <f t="shared" si="247"/>
        <v>30.26345854462668</v>
      </c>
    </row>
    <row r="281" spans="2:62">
      <c r="B281" s="29" t="s">
        <v>91</v>
      </c>
      <c r="C281" s="83" t="str">
        <f>'Cooler&amp;Wetter'!$B$1</f>
        <v>MIROC-Medres</v>
      </c>
      <c r="D281" s="89">
        <v>2055</v>
      </c>
      <c r="E281" s="90">
        <f>'Cooler&amp;Wetter'!AA83</f>
        <v>35.6175</v>
      </c>
      <c r="F281" s="90">
        <f>'Cooler&amp;Wetter'!AC83</f>
        <v>23.78</v>
      </c>
      <c r="G281" s="35">
        <f t="shared" si="228"/>
        <v>2005</v>
      </c>
      <c r="H281" s="91" t="str">
        <f t="shared" si="208"/>
        <v>Pile 32 @ Berth 201</v>
      </c>
      <c r="I281" s="35" t="str">
        <f t="shared" si="209"/>
        <v>Turpentine Gum</v>
      </c>
      <c r="J281" s="35" t="str">
        <f t="shared" si="210"/>
        <v>HW1</v>
      </c>
      <c r="K281" s="35" t="str">
        <f t="shared" si="229"/>
        <v>SPHU</v>
      </c>
      <c r="L281" s="35">
        <f t="shared" si="211"/>
        <v>400</v>
      </c>
      <c r="M281" s="35">
        <f t="shared" si="212"/>
        <v>20</v>
      </c>
      <c r="N281" s="35">
        <f t="shared" si="213"/>
        <v>200</v>
      </c>
      <c r="O281" s="35" t="str">
        <f t="shared" si="214"/>
        <v>MTN2</v>
      </c>
      <c r="P281" s="35" t="str">
        <f t="shared" si="215"/>
        <v>CNT2</v>
      </c>
      <c r="Q281" s="35" t="str">
        <f t="shared" si="216"/>
        <v>KNT3</v>
      </c>
      <c r="R281" s="35" t="str">
        <f t="shared" si="217"/>
        <v>E</v>
      </c>
      <c r="S281" s="35" t="str">
        <f t="shared" si="218"/>
        <v>EXP1</v>
      </c>
      <c r="T281" s="58"/>
      <c r="U281" s="58"/>
      <c r="V281" s="58"/>
      <c r="W281" s="58"/>
      <c r="X281" s="58"/>
      <c r="Y281" s="58"/>
      <c r="Z281" s="58"/>
      <c r="AA281" s="95">
        <f t="shared" si="248"/>
        <v>1</v>
      </c>
      <c r="AB281" s="96">
        <f t="shared" si="230"/>
        <v>157.10763790581382</v>
      </c>
      <c r="AC281" s="58"/>
      <c r="AD281" s="58"/>
      <c r="AE281" s="58"/>
      <c r="AF281" s="58"/>
      <c r="AG281" s="58"/>
      <c r="AH281" s="58"/>
      <c r="AI281" s="58"/>
      <c r="AJ281" s="58"/>
      <c r="AK281" s="58"/>
      <c r="AL281" s="58"/>
      <c r="AM281" s="89">
        <f t="shared" si="231"/>
        <v>50</v>
      </c>
      <c r="AN281" s="30">
        <f t="shared" si="239"/>
        <v>35.6175</v>
      </c>
      <c r="AO281" s="29">
        <f t="shared" si="240"/>
        <v>2.2007867432520278</v>
      </c>
      <c r="AP281" s="29">
        <f>IF((OR(R281="A",R281="B",R281="C")),INDEX(Coefficients!$S$4:$S$22,MATCH(J281,Coefficients!$R$4:$R$22)),INDEX(Coefficients!$T$4:$T$22,MATCH(J281,Coefficients!$R$4:$R$22)))</f>
        <v>1.3</v>
      </c>
      <c r="AQ281" s="27">
        <f>IF((OR(R281="A",R281="B",R281="C")),INDEX(Coefficients!$S$4:$S$22,MATCH(K281,Coefficients!$R$4:$R$22)),INDEX(Coefficients!$T$4:$T$22,MATCH(K281,Coefficients!$R$4:$R$22)))</f>
        <v>25</v>
      </c>
      <c r="AR281" s="27">
        <f>IF(OR(R281="A",R281="B",R281="C",R281="D"),IF(AN281&gt;=11,IF(AN281&gt;=26,Coefficients!$M$6,Coefficients!$M$5),Coefficients!$M$4),IF(AN281&gt;=11,IF(AN281&gt;=26,Coefficients!$N$6,Coefficients!$N$5),Coefficients!$N$4))</f>
        <v>1</v>
      </c>
      <c r="AS281" s="27">
        <f>INDEX(Coefficients!$X$3:$X$4,MATCH(S281,Coefficients!$W$3:$W$4))</f>
        <v>1</v>
      </c>
      <c r="AT281" s="27">
        <f>INDEX(Coefficients!$X$7:$X$8,MATCH(O281,Coefficients!$W$7:$W$8))</f>
        <v>1</v>
      </c>
      <c r="AU281" s="27">
        <f>INDEX(Coefficients!$X$11:$X$12,MATCH(P281,Coefficients!$W$11:$W$12))</f>
        <v>1</v>
      </c>
      <c r="AV281" s="27">
        <f>INDEX(Coefficients!$X$15:$X$17,MATCH(Q281,Coefficients!$W$15:$W$17))</f>
        <v>1</v>
      </c>
      <c r="AW281" s="27">
        <f t="shared" si="232"/>
        <v>1</v>
      </c>
      <c r="AX281" s="27">
        <f t="shared" si="233"/>
        <v>1</v>
      </c>
      <c r="AY281" s="27">
        <f t="shared" si="234"/>
        <v>1.3</v>
      </c>
      <c r="AZ281" s="29">
        <f t="shared" si="235"/>
        <v>55.019668581300692</v>
      </c>
      <c r="BA281" s="29">
        <f t="shared" si="236"/>
        <v>0</v>
      </c>
      <c r="BB281" s="29">
        <f t="shared" si="237"/>
        <v>2.8610227662276362</v>
      </c>
      <c r="BC281" s="29">
        <f t="shared" si="238"/>
        <v>1.7138977233772363</v>
      </c>
      <c r="BD281" s="29">
        <f t="shared" si="241"/>
        <v>0.36350636991654506</v>
      </c>
      <c r="BE281" s="16">
        <f t="shared" si="242"/>
        <v>157.10763790581382</v>
      </c>
      <c r="BF281" s="16">
        <f t="shared" si="243"/>
        <v>85.784724188372365</v>
      </c>
      <c r="BG281" s="25">
        <f t="shared" si="244"/>
        <v>1</v>
      </c>
      <c r="BH281" s="29">
        <f t="shared" si="245"/>
        <v>345.6368033927904</v>
      </c>
      <c r="BI281" s="29">
        <f t="shared" si="246"/>
        <v>-291.2736067855808</v>
      </c>
      <c r="BJ281" s="29">
        <f t="shared" si="247"/>
        <v>30.039432548412631</v>
      </c>
    </row>
    <row r="282" spans="2:62">
      <c r="B282" s="29" t="s">
        <v>91</v>
      </c>
      <c r="C282" s="83" t="str">
        <f>'Cooler&amp;Wetter'!$B$1</f>
        <v>MIROC-Medres</v>
      </c>
      <c r="D282" s="89">
        <v>2056</v>
      </c>
      <c r="E282" s="90">
        <f>'Cooler&amp;Wetter'!AA84</f>
        <v>35.621000000000002</v>
      </c>
      <c r="F282" s="90">
        <f>'Cooler&amp;Wetter'!AC84</f>
        <v>23.84</v>
      </c>
      <c r="G282" s="35">
        <f t="shared" si="228"/>
        <v>2005</v>
      </c>
      <c r="H282" s="91" t="str">
        <f t="shared" si="208"/>
        <v>Pile 32 @ Berth 201</v>
      </c>
      <c r="I282" s="35" t="str">
        <f t="shared" si="209"/>
        <v>Turpentine Gum</v>
      </c>
      <c r="J282" s="35" t="str">
        <f t="shared" si="210"/>
        <v>HW1</v>
      </c>
      <c r="K282" s="35" t="str">
        <f t="shared" si="229"/>
        <v>SPHU</v>
      </c>
      <c r="L282" s="35">
        <f t="shared" si="211"/>
        <v>400</v>
      </c>
      <c r="M282" s="35">
        <f t="shared" si="212"/>
        <v>20</v>
      </c>
      <c r="N282" s="35">
        <f t="shared" si="213"/>
        <v>200</v>
      </c>
      <c r="O282" s="35" t="str">
        <f t="shared" si="214"/>
        <v>MTN2</v>
      </c>
      <c r="P282" s="35" t="str">
        <f t="shared" si="215"/>
        <v>CNT2</v>
      </c>
      <c r="Q282" s="35" t="str">
        <f t="shared" si="216"/>
        <v>KNT3</v>
      </c>
      <c r="R282" s="35" t="str">
        <f t="shared" si="217"/>
        <v>E</v>
      </c>
      <c r="S282" s="35" t="str">
        <f t="shared" si="218"/>
        <v>EXP1</v>
      </c>
      <c r="T282" s="58"/>
      <c r="U282" s="58"/>
      <c r="V282" s="58"/>
      <c r="W282" s="58"/>
      <c r="X282" s="58"/>
      <c r="Y282" s="58"/>
      <c r="Z282" s="58"/>
      <c r="AA282" s="95">
        <f t="shared" si="248"/>
        <v>1</v>
      </c>
      <c r="AB282" s="96">
        <f t="shared" si="230"/>
        <v>161.07928869068004</v>
      </c>
      <c r="AC282" s="58"/>
      <c r="AD282" s="58"/>
      <c r="AE282" s="58"/>
      <c r="AF282" s="58"/>
      <c r="AG282" s="58"/>
      <c r="AH282" s="58"/>
      <c r="AI282" s="58"/>
      <c r="AJ282" s="58"/>
      <c r="AK282" s="58"/>
      <c r="AL282" s="58"/>
      <c r="AM282" s="89">
        <f t="shared" si="231"/>
        <v>51</v>
      </c>
      <c r="AN282" s="30">
        <f t="shared" si="239"/>
        <v>35.621000000000002</v>
      </c>
      <c r="AO282" s="29">
        <f t="shared" si="240"/>
        <v>2.2180200021867047</v>
      </c>
      <c r="AP282" s="29">
        <f>IF((OR(R282="A",R282="B",R282="C")),INDEX(Coefficients!$S$4:$S$22,MATCH(J282,Coefficients!$R$4:$R$22)),INDEX(Coefficients!$T$4:$T$22,MATCH(J282,Coefficients!$R$4:$R$22)))</f>
        <v>1.3</v>
      </c>
      <c r="AQ282" s="27">
        <f>IF((OR(R282="A",R282="B",R282="C")),INDEX(Coefficients!$S$4:$S$22,MATCH(K282,Coefficients!$R$4:$R$22)),INDEX(Coefficients!$T$4:$T$22,MATCH(K282,Coefficients!$R$4:$R$22)))</f>
        <v>25</v>
      </c>
      <c r="AR282" s="27">
        <f>IF(OR(R282="A",R282="B",R282="C",R282="D"),IF(AN282&gt;=11,IF(AN282&gt;=26,Coefficients!$M$6,Coefficients!$M$5),Coefficients!$M$4),IF(AN282&gt;=11,IF(AN282&gt;=26,Coefficients!$N$6,Coefficients!$N$5),Coefficients!$N$4))</f>
        <v>1</v>
      </c>
      <c r="AS282" s="27">
        <f>INDEX(Coefficients!$X$3:$X$4,MATCH(S282,Coefficients!$W$3:$W$4))</f>
        <v>1</v>
      </c>
      <c r="AT282" s="27">
        <f>INDEX(Coefficients!$X$7:$X$8,MATCH(O282,Coefficients!$W$7:$W$8))</f>
        <v>1</v>
      </c>
      <c r="AU282" s="27">
        <f>INDEX(Coefficients!$X$11:$X$12,MATCH(P282,Coefficients!$W$11:$W$12))</f>
        <v>1</v>
      </c>
      <c r="AV282" s="27">
        <f>INDEX(Coefficients!$X$15:$X$17,MATCH(Q282,Coefficients!$W$15:$W$17))</f>
        <v>1</v>
      </c>
      <c r="AW282" s="27">
        <f t="shared" si="232"/>
        <v>1</v>
      </c>
      <c r="AX282" s="27">
        <f t="shared" si="233"/>
        <v>1</v>
      </c>
      <c r="AY282" s="27">
        <f t="shared" si="234"/>
        <v>1.3</v>
      </c>
      <c r="AZ282" s="29">
        <f t="shared" si="235"/>
        <v>55.450500054667614</v>
      </c>
      <c r="BA282" s="29">
        <f t="shared" si="236"/>
        <v>0</v>
      </c>
      <c r="BB282" s="29">
        <f t="shared" si="237"/>
        <v>2.8834260028427163</v>
      </c>
      <c r="BC282" s="29">
        <f t="shared" si="238"/>
        <v>1.7116573997157283</v>
      </c>
      <c r="BD282" s="29">
        <f t="shared" si="241"/>
        <v>0.36068204940049903</v>
      </c>
      <c r="BE282" s="16">
        <f t="shared" si="242"/>
        <v>161.07928869068004</v>
      </c>
      <c r="BF282" s="16">
        <f t="shared" si="243"/>
        <v>77.841422618639911</v>
      </c>
      <c r="BG282" s="25">
        <f t="shared" si="244"/>
        <v>1</v>
      </c>
      <c r="BH282" s="29">
        <f t="shared" si="245"/>
        <v>354.37443511949613</v>
      </c>
      <c r="BI282" s="29">
        <f t="shared" si="246"/>
        <v>-308.74887023899225</v>
      </c>
      <c r="BJ282" s="29">
        <f t="shared" si="247"/>
        <v>29.817112479923843</v>
      </c>
    </row>
    <row r="283" spans="2:62">
      <c r="B283" s="29" t="s">
        <v>91</v>
      </c>
      <c r="C283" s="83" t="str">
        <f>'Cooler&amp;Wetter'!$B$1</f>
        <v>MIROC-Medres</v>
      </c>
      <c r="D283" s="89">
        <v>2057</v>
      </c>
      <c r="E283" s="90">
        <f>'Cooler&amp;Wetter'!AA85</f>
        <v>35.624499999999998</v>
      </c>
      <c r="F283" s="90">
        <f>'Cooler&amp;Wetter'!AC85</f>
        <v>23.9</v>
      </c>
      <c r="G283" s="35">
        <f t="shared" si="228"/>
        <v>2005</v>
      </c>
      <c r="H283" s="91" t="str">
        <f t="shared" si="208"/>
        <v>Pile 32 @ Berth 201</v>
      </c>
      <c r="I283" s="35" t="str">
        <f t="shared" si="209"/>
        <v>Turpentine Gum</v>
      </c>
      <c r="J283" s="35" t="str">
        <f t="shared" si="210"/>
        <v>HW1</v>
      </c>
      <c r="K283" s="35" t="str">
        <f t="shared" si="229"/>
        <v>SPHU</v>
      </c>
      <c r="L283" s="35">
        <f t="shared" si="211"/>
        <v>400</v>
      </c>
      <c r="M283" s="35">
        <f t="shared" si="212"/>
        <v>20</v>
      </c>
      <c r="N283" s="35">
        <f t="shared" si="213"/>
        <v>200</v>
      </c>
      <c r="O283" s="35" t="str">
        <f t="shared" si="214"/>
        <v>MTN2</v>
      </c>
      <c r="P283" s="35" t="str">
        <f t="shared" si="215"/>
        <v>CNT2</v>
      </c>
      <c r="Q283" s="35" t="str">
        <f t="shared" si="216"/>
        <v>KNT3</v>
      </c>
      <c r="R283" s="35" t="str">
        <f t="shared" si="217"/>
        <v>E</v>
      </c>
      <c r="S283" s="35" t="str">
        <f t="shared" si="218"/>
        <v>EXP1</v>
      </c>
      <c r="T283" s="58"/>
      <c r="U283" s="58"/>
      <c r="V283" s="58"/>
      <c r="W283" s="58"/>
      <c r="X283" s="58"/>
      <c r="Y283" s="58"/>
      <c r="Z283" s="58"/>
      <c r="AA283" s="95">
        <f t="shared" si="248"/>
        <v>1</v>
      </c>
      <c r="AB283" s="96">
        <f t="shared" si="230"/>
        <v>165.1047197122966</v>
      </c>
      <c r="AC283" s="58"/>
      <c r="AD283" s="58"/>
      <c r="AE283" s="58"/>
      <c r="AF283" s="58"/>
      <c r="AG283" s="58"/>
      <c r="AH283" s="58"/>
      <c r="AI283" s="58"/>
      <c r="AJ283" s="58"/>
      <c r="AK283" s="58"/>
      <c r="AL283" s="58"/>
      <c r="AM283" s="89">
        <f t="shared" si="231"/>
        <v>52</v>
      </c>
      <c r="AN283" s="30">
        <f t="shared" si="239"/>
        <v>35.624499999999998</v>
      </c>
      <c r="AO283" s="29">
        <f t="shared" si="240"/>
        <v>2.235388206142483</v>
      </c>
      <c r="AP283" s="29">
        <f>IF((OR(R283="A",R283="B",R283="C")),INDEX(Coefficients!$S$4:$S$22,MATCH(J283,Coefficients!$R$4:$R$22)),INDEX(Coefficients!$T$4:$T$22,MATCH(J283,Coefficients!$R$4:$R$22)))</f>
        <v>1.3</v>
      </c>
      <c r="AQ283" s="27">
        <f>IF((OR(R283="A",R283="B",R283="C")),INDEX(Coefficients!$S$4:$S$22,MATCH(K283,Coefficients!$R$4:$R$22)),INDEX(Coefficients!$T$4:$T$22,MATCH(K283,Coefficients!$R$4:$R$22)))</f>
        <v>25</v>
      </c>
      <c r="AR283" s="27">
        <f>IF(OR(R283="A",R283="B",R283="C",R283="D"),IF(AN283&gt;=11,IF(AN283&gt;=26,Coefficients!$M$6,Coefficients!$M$5),Coefficients!$M$4),IF(AN283&gt;=11,IF(AN283&gt;=26,Coefficients!$N$6,Coefficients!$N$5),Coefficients!$N$4))</f>
        <v>1</v>
      </c>
      <c r="AS283" s="27">
        <f>INDEX(Coefficients!$X$3:$X$4,MATCH(S283,Coefficients!$W$3:$W$4))</f>
        <v>1</v>
      </c>
      <c r="AT283" s="27">
        <f>INDEX(Coefficients!$X$7:$X$8,MATCH(O283,Coefficients!$W$7:$W$8))</f>
        <v>1</v>
      </c>
      <c r="AU283" s="27">
        <f>INDEX(Coefficients!$X$11:$X$12,MATCH(P283,Coefficients!$W$11:$W$12))</f>
        <v>1</v>
      </c>
      <c r="AV283" s="27">
        <f>INDEX(Coefficients!$X$15:$X$17,MATCH(Q283,Coefficients!$W$15:$W$17))</f>
        <v>1</v>
      </c>
      <c r="AW283" s="27">
        <f t="shared" si="232"/>
        <v>1</v>
      </c>
      <c r="AX283" s="27">
        <f t="shared" si="233"/>
        <v>1</v>
      </c>
      <c r="AY283" s="27">
        <f t="shared" si="234"/>
        <v>1.3</v>
      </c>
      <c r="AZ283" s="29">
        <f t="shared" si="235"/>
        <v>55.884705153562074</v>
      </c>
      <c r="BA283" s="29">
        <f t="shared" si="236"/>
        <v>0</v>
      </c>
      <c r="BB283" s="29">
        <f t="shared" si="237"/>
        <v>2.9060046679852278</v>
      </c>
      <c r="BC283" s="29">
        <f t="shared" si="238"/>
        <v>1.7093995332014771</v>
      </c>
      <c r="BD283" s="29">
        <f t="shared" si="241"/>
        <v>0.3578796728915945</v>
      </c>
      <c r="BE283" s="16">
        <f t="shared" si="242"/>
        <v>165.1047197122966</v>
      </c>
      <c r="BF283" s="16">
        <f t="shared" si="243"/>
        <v>69.790560575406801</v>
      </c>
      <c r="BG283" s="25">
        <f t="shared" si="244"/>
        <v>1</v>
      </c>
      <c r="BH283" s="29">
        <f t="shared" si="245"/>
        <v>363.23038336705253</v>
      </c>
      <c r="BI283" s="29">
        <f t="shared" si="246"/>
        <v>-326.46076673410505</v>
      </c>
      <c r="BJ283" s="29">
        <f t="shared" si="247"/>
        <v>29.596484813138805</v>
      </c>
    </row>
    <row r="284" spans="2:62">
      <c r="B284" s="29" t="s">
        <v>91</v>
      </c>
      <c r="C284" s="83" t="str">
        <f>'Cooler&amp;Wetter'!$B$1</f>
        <v>MIROC-Medres</v>
      </c>
      <c r="D284" s="89">
        <v>2058</v>
      </c>
      <c r="E284" s="90">
        <f>'Cooler&amp;Wetter'!AA86</f>
        <v>35.628</v>
      </c>
      <c r="F284" s="90">
        <f>'Cooler&amp;Wetter'!AC86</f>
        <v>23.96</v>
      </c>
      <c r="G284" s="35">
        <f t="shared" si="228"/>
        <v>2005</v>
      </c>
      <c r="H284" s="91" t="str">
        <f t="shared" si="208"/>
        <v>Pile 32 @ Berth 201</v>
      </c>
      <c r="I284" s="35" t="str">
        <f t="shared" si="209"/>
        <v>Turpentine Gum</v>
      </c>
      <c r="J284" s="35" t="str">
        <f t="shared" si="210"/>
        <v>HW1</v>
      </c>
      <c r="K284" s="35" t="str">
        <f t="shared" si="229"/>
        <v>SPHU</v>
      </c>
      <c r="L284" s="35">
        <f t="shared" si="211"/>
        <v>400</v>
      </c>
      <c r="M284" s="35">
        <f t="shared" si="212"/>
        <v>20</v>
      </c>
      <c r="N284" s="35">
        <f t="shared" si="213"/>
        <v>200</v>
      </c>
      <c r="O284" s="35" t="str">
        <f t="shared" si="214"/>
        <v>MTN2</v>
      </c>
      <c r="P284" s="35" t="str">
        <f t="shared" si="215"/>
        <v>CNT2</v>
      </c>
      <c r="Q284" s="35" t="str">
        <f t="shared" si="216"/>
        <v>KNT3</v>
      </c>
      <c r="R284" s="35" t="str">
        <f t="shared" si="217"/>
        <v>E</v>
      </c>
      <c r="S284" s="35" t="str">
        <f t="shared" si="218"/>
        <v>EXP1</v>
      </c>
      <c r="T284" s="58"/>
      <c r="U284" s="58"/>
      <c r="V284" s="58"/>
      <c r="W284" s="58"/>
      <c r="X284" s="58"/>
      <c r="Y284" s="58"/>
      <c r="Z284" s="58"/>
      <c r="AA284" s="95">
        <f t="shared" si="248"/>
        <v>1</v>
      </c>
      <c r="AB284" s="96">
        <f t="shared" si="230"/>
        <v>169.18453049579492</v>
      </c>
      <c r="AC284" s="58"/>
      <c r="AD284" s="58"/>
      <c r="AE284" s="58"/>
      <c r="AF284" s="58"/>
      <c r="AG284" s="58"/>
      <c r="AH284" s="58"/>
      <c r="AI284" s="58"/>
      <c r="AJ284" s="58"/>
      <c r="AK284" s="58"/>
      <c r="AL284" s="58"/>
      <c r="AM284" s="89">
        <f t="shared" si="231"/>
        <v>53</v>
      </c>
      <c r="AN284" s="30">
        <f t="shared" si="239"/>
        <v>35.628</v>
      </c>
      <c r="AO284" s="29">
        <f t="shared" si="240"/>
        <v>2.2528924118062514</v>
      </c>
      <c r="AP284" s="29">
        <f>IF((OR(R284="A",R284="B",R284="C")),INDEX(Coefficients!$S$4:$S$22,MATCH(J284,Coefficients!$R$4:$R$22)),INDEX(Coefficients!$T$4:$T$22,MATCH(J284,Coefficients!$R$4:$R$22)))</f>
        <v>1.3</v>
      </c>
      <c r="AQ284" s="27">
        <f>IF((OR(R284="A",R284="B",R284="C")),INDEX(Coefficients!$S$4:$S$22,MATCH(K284,Coefficients!$R$4:$R$22)),INDEX(Coefficients!$T$4:$T$22,MATCH(K284,Coefficients!$R$4:$R$22)))</f>
        <v>25</v>
      </c>
      <c r="AR284" s="27">
        <f>IF(OR(R284="A",R284="B",R284="C",R284="D"),IF(AN284&gt;=11,IF(AN284&gt;=26,Coefficients!$M$6,Coefficients!$M$5),Coefficients!$M$4),IF(AN284&gt;=11,IF(AN284&gt;=26,Coefficients!$N$6,Coefficients!$N$5),Coefficients!$N$4))</f>
        <v>1</v>
      </c>
      <c r="AS284" s="27">
        <f>INDEX(Coefficients!$X$3:$X$4,MATCH(S284,Coefficients!$W$3:$W$4))</f>
        <v>1</v>
      </c>
      <c r="AT284" s="27">
        <f>INDEX(Coefficients!$X$7:$X$8,MATCH(O284,Coefficients!$W$7:$W$8))</f>
        <v>1</v>
      </c>
      <c r="AU284" s="27">
        <f>INDEX(Coefficients!$X$11:$X$12,MATCH(P284,Coefficients!$W$11:$W$12))</f>
        <v>1</v>
      </c>
      <c r="AV284" s="27">
        <f>INDEX(Coefficients!$X$15:$X$17,MATCH(Q284,Coefficients!$W$15:$W$17))</f>
        <v>1</v>
      </c>
      <c r="AW284" s="27">
        <f t="shared" si="232"/>
        <v>1</v>
      </c>
      <c r="AX284" s="27">
        <f t="shared" si="233"/>
        <v>1</v>
      </c>
      <c r="AY284" s="27">
        <f t="shared" si="234"/>
        <v>1.3</v>
      </c>
      <c r="AZ284" s="29">
        <f t="shared" si="235"/>
        <v>56.322310295156285</v>
      </c>
      <c r="BA284" s="29">
        <f t="shared" si="236"/>
        <v>0</v>
      </c>
      <c r="BB284" s="29">
        <f t="shared" si="237"/>
        <v>2.928760135348127</v>
      </c>
      <c r="BC284" s="29">
        <f t="shared" si="238"/>
        <v>1.7071239864651873</v>
      </c>
      <c r="BD284" s="29">
        <f t="shared" si="241"/>
        <v>0.35509906989237972</v>
      </c>
      <c r="BE284" s="16">
        <f t="shared" si="242"/>
        <v>169.18453049579492</v>
      </c>
      <c r="BF284" s="16">
        <f t="shared" si="243"/>
        <v>61.630939008410166</v>
      </c>
      <c r="BG284" s="25">
        <f t="shared" si="244"/>
        <v>1</v>
      </c>
      <c r="BH284" s="29">
        <f t="shared" si="245"/>
        <v>372.20596709074886</v>
      </c>
      <c r="BI284" s="29">
        <f t="shared" si="246"/>
        <v>-344.41193418149771</v>
      </c>
      <c r="BJ284" s="29">
        <f t="shared" si="247"/>
        <v>29.377536125002159</v>
      </c>
    </row>
    <row r="285" spans="2:62">
      <c r="B285" s="29" t="s">
        <v>91</v>
      </c>
      <c r="C285" s="83" t="str">
        <f>'Cooler&amp;Wetter'!$B$1</f>
        <v>MIROC-Medres</v>
      </c>
      <c r="D285" s="89">
        <v>2059</v>
      </c>
      <c r="E285" s="90">
        <f>'Cooler&amp;Wetter'!AA87</f>
        <v>35.631500000000003</v>
      </c>
      <c r="F285" s="90">
        <f>'Cooler&amp;Wetter'!AC87</f>
        <v>24.02</v>
      </c>
      <c r="G285" s="35">
        <f t="shared" si="228"/>
        <v>2005</v>
      </c>
      <c r="H285" s="91" t="str">
        <f t="shared" si="208"/>
        <v>Pile 32 @ Berth 201</v>
      </c>
      <c r="I285" s="35" t="str">
        <f t="shared" si="209"/>
        <v>Turpentine Gum</v>
      </c>
      <c r="J285" s="35" t="str">
        <f t="shared" si="210"/>
        <v>HW1</v>
      </c>
      <c r="K285" s="35" t="str">
        <f t="shared" si="229"/>
        <v>SPHU</v>
      </c>
      <c r="L285" s="35">
        <f t="shared" si="211"/>
        <v>400</v>
      </c>
      <c r="M285" s="35">
        <f t="shared" si="212"/>
        <v>20</v>
      </c>
      <c r="N285" s="35">
        <f t="shared" si="213"/>
        <v>200</v>
      </c>
      <c r="O285" s="35" t="str">
        <f t="shared" si="214"/>
        <v>MTN2</v>
      </c>
      <c r="P285" s="35" t="str">
        <f t="shared" si="215"/>
        <v>CNT2</v>
      </c>
      <c r="Q285" s="35" t="str">
        <f t="shared" si="216"/>
        <v>KNT3</v>
      </c>
      <c r="R285" s="35" t="str">
        <f t="shared" si="217"/>
        <v>E</v>
      </c>
      <c r="S285" s="35" t="str">
        <f t="shared" si="218"/>
        <v>EXP1</v>
      </c>
      <c r="T285" s="58"/>
      <c r="U285" s="58"/>
      <c r="V285" s="58"/>
      <c r="W285" s="58"/>
      <c r="X285" s="58"/>
      <c r="Y285" s="58"/>
      <c r="Z285" s="58"/>
      <c r="AA285" s="95">
        <f t="shared" si="248"/>
        <v>1</v>
      </c>
      <c r="AB285" s="96">
        <f t="shared" si="230"/>
        <v>173.31932667044234</v>
      </c>
      <c r="AC285" s="58"/>
      <c r="AD285" s="58"/>
      <c r="AE285" s="58"/>
      <c r="AF285" s="58"/>
      <c r="AG285" s="58"/>
      <c r="AH285" s="58"/>
      <c r="AI285" s="58"/>
      <c r="AJ285" s="58"/>
      <c r="AK285" s="58"/>
      <c r="AL285" s="58"/>
      <c r="AM285" s="89">
        <f t="shared" si="231"/>
        <v>54</v>
      </c>
      <c r="AN285" s="30">
        <f t="shared" si="239"/>
        <v>35.631500000000003</v>
      </c>
      <c r="AO285" s="29">
        <f t="shared" si="240"/>
        <v>2.2705336841392789</v>
      </c>
      <c r="AP285" s="29">
        <f>IF((OR(R285="A",R285="B",R285="C")),INDEX(Coefficients!$S$4:$S$22,MATCH(J285,Coefficients!$R$4:$R$22)),INDEX(Coefficients!$T$4:$T$22,MATCH(J285,Coefficients!$R$4:$R$22)))</f>
        <v>1.3</v>
      </c>
      <c r="AQ285" s="27">
        <f>IF((OR(R285="A",R285="B",R285="C")),INDEX(Coefficients!$S$4:$S$22,MATCH(K285,Coefficients!$R$4:$R$22)),INDEX(Coefficients!$T$4:$T$22,MATCH(K285,Coefficients!$R$4:$R$22)))</f>
        <v>25</v>
      </c>
      <c r="AR285" s="27">
        <f>IF(OR(R285="A",R285="B",R285="C",R285="D"),IF(AN285&gt;=11,IF(AN285&gt;=26,Coefficients!$M$6,Coefficients!$M$5),Coefficients!$M$4),IF(AN285&gt;=11,IF(AN285&gt;=26,Coefficients!$N$6,Coefficients!$N$5),Coefficients!$N$4))</f>
        <v>1</v>
      </c>
      <c r="AS285" s="27">
        <f>INDEX(Coefficients!$X$3:$X$4,MATCH(S285,Coefficients!$W$3:$W$4))</f>
        <v>1</v>
      </c>
      <c r="AT285" s="27">
        <f>INDEX(Coefficients!$X$7:$X$8,MATCH(O285,Coefficients!$W$7:$W$8))</f>
        <v>1</v>
      </c>
      <c r="AU285" s="27">
        <f>INDEX(Coefficients!$X$11:$X$12,MATCH(P285,Coefficients!$W$11:$W$12))</f>
        <v>1</v>
      </c>
      <c r="AV285" s="27">
        <f>INDEX(Coefficients!$X$15:$X$17,MATCH(Q285,Coefficients!$W$15:$W$17))</f>
        <v>1</v>
      </c>
      <c r="AW285" s="27">
        <f t="shared" si="232"/>
        <v>1</v>
      </c>
      <c r="AX285" s="27">
        <f t="shared" si="233"/>
        <v>1</v>
      </c>
      <c r="AY285" s="27">
        <f t="shared" si="234"/>
        <v>1.3</v>
      </c>
      <c r="AZ285" s="29">
        <f t="shared" si="235"/>
        <v>56.763342103481975</v>
      </c>
      <c r="BA285" s="29">
        <f t="shared" si="236"/>
        <v>0</v>
      </c>
      <c r="BB285" s="29">
        <f t="shared" si="237"/>
        <v>2.9516937893810629</v>
      </c>
      <c r="BC285" s="29">
        <f t="shared" si="238"/>
        <v>1.7048306210618938</v>
      </c>
      <c r="BD285" s="29">
        <f t="shared" si="241"/>
        <v>0.35234007123011102</v>
      </c>
      <c r="BE285" s="16">
        <f t="shared" si="242"/>
        <v>173.31932667044234</v>
      </c>
      <c r="BF285" s="16">
        <f t="shared" si="243"/>
        <v>53.361346659115327</v>
      </c>
      <c r="BG285" s="25">
        <f t="shared" si="244"/>
        <v>1</v>
      </c>
      <c r="BH285" s="29">
        <f t="shared" si="245"/>
        <v>381.30251867497316</v>
      </c>
      <c r="BI285" s="29">
        <f t="shared" si="246"/>
        <v>-362.60503734994631</v>
      </c>
      <c r="BJ285" s="29">
        <f t="shared" si="247"/>
        <v>29.160253094608237</v>
      </c>
    </row>
    <row r="286" spans="2:62">
      <c r="B286" s="29" t="s">
        <v>91</v>
      </c>
      <c r="C286" s="83" t="str">
        <f>'Cooler&amp;Wetter'!$B$1</f>
        <v>MIROC-Medres</v>
      </c>
      <c r="D286" s="89">
        <v>2060</v>
      </c>
      <c r="E286" s="90">
        <f>'Cooler&amp;Wetter'!AA88</f>
        <v>35.634999999999998</v>
      </c>
      <c r="F286" s="90">
        <f>'Cooler&amp;Wetter'!AC88</f>
        <v>24.080000000000002</v>
      </c>
      <c r="G286" s="35">
        <f t="shared" si="228"/>
        <v>2005</v>
      </c>
      <c r="H286" s="91" t="str">
        <f t="shared" si="208"/>
        <v>Pile 32 @ Berth 201</v>
      </c>
      <c r="I286" s="35" t="str">
        <f t="shared" si="209"/>
        <v>Turpentine Gum</v>
      </c>
      <c r="J286" s="35" t="str">
        <f t="shared" si="210"/>
        <v>HW1</v>
      </c>
      <c r="K286" s="35" t="str">
        <f t="shared" si="229"/>
        <v>SPHU</v>
      </c>
      <c r="L286" s="35">
        <f t="shared" si="211"/>
        <v>400</v>
      </c>
      <c r="M286" s="35">
        <f t="shared" si="212"/>
        <v>20</v>
      </c>
      <c r="N286" s="35">
        <f t="shared" si="213"/>
        <v>200</v>
      </c>
      <c r="O286" s="35" t="str">
        <f t="shared" si="214"/>
        <v>MTN2</v>
      </c>
      <c r="P286" s="35" t="str">
        <f t="shared" si="215"/>
        <v>CNT2</v>
      </c>
      <c r="Q286" s="35" t="str">
        <f t="shared" si="216"/>
        <v>KNT3</v>
      </c>
      <c r="R286" s="35" t="str">
        <f t="shared" si="217"/>
        <v>E</v>
      </c>
      <c r="S286" s="35" t="str">
        <f t="shared" si="218"/>
        <v>EXP1</v>
      </c>
      <c r="T286" s="58"/>
      <c r="U286" s="58"/>
      <c r="V286" s="58"/>
      <c r="W286" s="58"/>
      <c r="X286" s="58"/>
      <c r="Y286" s="58"/>
      <c r="Z286" s="58"/>
      <c r="AA286" s="95">
        <f t="shared" si="248"/>
        <v>1</v>
      </c>
      <c r="AB286" s="96">
        <f t="shared" si="230"/>
        <v>177.50972002867681</v>
      </c>
      <c r="AC286" s="58"/>
      <c r="AD286" s="58"/>
      <c r="AE286" s="58"/>
      <c r="AF286" s="58"/>
      <c r="AG286" s="58"/>
      <c r="AH286" s="58"/>
      <c r="AI286" s="58"/>
      <c r="AJ286" s="58"/>
      <c r="AK286" s="58"/>
      <c r="AL286" s="58"/>
      <c r="AM286" s="89">
        <f t="shared" si="231"/>
        <v>55</v>
      </c>
      <c r="AN286" s="30">
        <f t="shared" si="239"/>
        <v>35.634999999999998</v>
      </c>
      <c r="AO286" s="29">
        <f t="shared" si="240"/>
        <v>2.2883130964420171</v>
      </c>
      <c r="AP286" s="29">
        <f>IF((OR(R286="A",R286="B",R286="C")),INDEX(Coefficients!$S$4:$S$22,MATCH(J286,Coefficients!$R$4:$R$22)),INDEX(Coefficients!$T$4:$T$22,MATCH(J286,Coefficients!$R$4:$R$22)))</f>
        <v>1.3</v>
      </c>
      <c r="AQ286" s="27">
        <f>IF((OR(R286="A",R286="B",R286="C")),INDEX(Coefficients!$S$4:$S$22,MATCH(K286,Coefficients!$R$4:$R$22)),INDEX(Coefficients!$T$4:$T$22,MATCH(K286,Coefficients!$R$4:$R$22)))</f>
        <v>25</v>
      </c>
      <c r="AR286" s="27">
        <f>IF(OR(R286="A",R286="B",R286="C",R286="D"),IF(AN286&gt;=11,IF(AN286&gt;=26,Coefficients!$M$6,Coefficients!$M$5),Coefficients!$M$4),IF(AN286&gt;=11,IF(AN286&gt;=26,Coefficients!$N$6,Coefficients!$N$5),Coefficients!$N$4))</f>
        <v>1</v>
      </c>
      <c r="AS286" s="27">
        <f>INDEX(Coefficients!$X$3:$X$4,MATCH(S286,Coefficients!$W$3:$W$4))</f>
        <v>1</v>
      </c>
      <c r="AT286" s="27">
        <f>INDEX(Coefficients!$X$7:$X$8,MATCH(O286,Coefficients!$W$7:$W$8))</f>
        <v>1</v>
      </c>
      <c r="AU286" s="27">
        <f>INDEX(Coefficients!$X$11:$X$12,MATCH(P286,Coefficients!$W$11:$W$12))</f>
        <v>1</v>
      </c>
      <c r="AV286" s="27">
        <f>INDEX(Coefficients!$X$15:$X$17,MATCH(Q286,Coefficients!$W$15:$W$17))</f>
        <v>1</v>
      </c>
      <c r="AW286" s="27">
        <f t="shared" si="232"/>
        <v>1</v>
      </c>
      <c r="AX286" s="27">
        <f t="shared" si="233"/>
        <v>1</v>
      </c>
      <c r="AY286" s="27">
        <f t="shared" si="234"/>
        <v>1.3</v>
      </c>
      <c r="AZ286" s="29">
        <f t="shared" si="235"/>
        <v>57.207827411050424</v>
      </c>
      <c r="BA286" s="29">
        <f t="shared" si="236"/>
        <v>0</v>
      </c>
      <c r="BB286" s="29">
        <f t="shared" si="237"/>
        <v>2.9748070253746222</v>
      </c>
      <c r="BC286" s="29">
        <f t="shared" si="238"/>
        <v>1.7025192974625378</v>
      </c>
      <c r="BD286" s="29">
        <f t="shared" si="241"/>
        <v>0.34960250904645862</v>
      </c>
      <c r="BE286" s="16">
        <f t="shared" si="242"/>
        <v>177.50972002867681</v>
      </c>
      <c r="BF286" s="16">
        <f t="shared" si="243"/>
        <v>44.98055994264638</v>
      </c>
      <c r="BG286" s="25">
        <f t="shared" si="244"/>
        <v>1</v>
      </c>
      <c r="BH286" s="29">
        <f t="shared" si="245"/>
        <v>390.52138406308899</v>
      </c>
      <c r="BI286" s="29">
        <f t="shared" si="246"/>
        <v>-381.04276812617798</v>
      </c>
      <c r="BJ286" s="29">
        <f t="shared" si="247"/>
        <v>28.944622502390427</v>
      </c>
    </row>
    <row r="287" spans="2:62">
      <c r="B287" s="29" t="s">
        <v>91</v>
      </c>
      <c r="C287" s="83" t="str">
        <f>'Cooler&amp;Wetter'!$B$1</f>
        <v>MIROC-Medres</v>
      </c>
      <c r="D287" s="89">
        <v>2061</v>
      </c>
      <c r="E287" s="90">
        <f>'Cooler&amp;Wetter'!AA89</f>
        <v>35.638500000000001</v>
      </c>
      <c r="F287" s="90">
        <f>'Cooler&amp;Wetter'!AC89</f>
        <v>24.14</v>
      </c>
      <c r="G287" s="35">
        <f t="shared" si="228"/>
        <v>2005</v>
      </c>
      <c r="H287" s="91" t="str">
        <f t="shared" si="208"/>
        <v>Pile 32 @ Berth 201</v>
      </c>
      <c r="I287" s="35" t="str">
        <f t="shared" si="209"/>
        <v>Turpentine Gum</v>
      </c>
      <c r="J287" s="35" t="str">
        <f t="shared" si="210"/>
        <v>HW1</v>
      </c>
      <c r="K287" s="35" t="str">
        <f t="shared" si="229"/>
        <v>SPHU</v>
      </c>
      <c r="L287" s="35">
        <f t="shared" si="211"/>
        <v>400</v>
      </c>
      <c r="M287" s="35">
        <f t="shared" si="212"/>
        <v>20</v>
      </c>
      <c r="N287" s="35">
        <f t="shared" si="213"/>
        <v>200</v>
      </c>
      <c r="O287" s="35" t="str">
        <f t="shared" si="214"/>
        <v>MTN2</v>
      </c>
      <c r="P287" s="35" t="str">
        <f t="shared" si="215"/>
        <v>CNT2</v>
      </c>
      <c r="Q287" s="35" t="str">
        <f t="shared" si="216"/>
        <v>KNT3</v>
      </c>
      <c r="R287" s="35" t="str">
        <f t="shared" si="217"/>
        <v>E</v>
      </c>
      <c r="S287" s="35" t="str">
        <f t="shared" si="218"/>
        <v>EXP1</v>
      </c>
      <c r="T287" s="58"/>
      <c r="U287" s="58"/>
      <c r="V287" s="58"/>
      <c r="W287" s="58"/>
      <c r="X287" s="58"/>
      <c r="Y287" s="58"/>
      <c r="Z287" s="58"/>
      <c r="AA287" s="95">
        <f t="shared" si="248"/>
        <v>1</v>
      </c>
      <c r="AB287" s="96">
        <f t="shared" si="230"/>
        <v>181.75632858569392</v>
      </c>
      <c r="AC287" s="58"/>
      <c r="AD287" s="58"/>
      <c r="AE287" s="58"/>
      <c r="AF287" s="58"/>
      <c r="AG287" s="58"/>
      <c r="AH287" s="58"/>
      <c r="AI287" s="58"/>
      <c r="AJ287" s="58"/>
      <c r="AK287" s="58"/>
      <c r="AL287" s="58"/>
      <c r="AM287" s="89">
        <f t="shared" si="231"/>
        <v>56</v>
      </c>
      <c r="AN287" s="30">
        <f t="shared" si="239"/>
        <v>35.638500000000001</v>
      </c>
      <c r="AO287" s="29">
        <f t="shared" si="240"/>
        <v>2.3062317304193942</v>
      </c>
      <c r="AP287" s="29">
        <f>IF((OR(R287="A",R287="B",R287="C")),INDEX(Coefficients!$S$4:$S$22,MATCH(J287,Coefficients!$R$4:$R$22)),INDEX(Coefficients!$T$4:$T$22,MATCH(J287,Coefficients!$R$4:$R$22)))</f>
        <v>1.3</v>
      </c>
      <c r="AQ287" s="27">
        <f>IF((OR(R287="A",R287="B",R287="C")),INDEX(Coefficients!$S$4:$S$22,MATCH(K287,Coefficients!$R$4:$R$22)),INDEX(Coefficients!$T$4:$T$22,MATCH(K287,Coefficients!$R$4:$R$22)))</f>
        <v>25</v>
      </c>
      <c r="AR287" s="27">
        <f>IF(OR(R287="A",R287="B",R287="C",R287="D"),IF(AN287&gt;=11,IF(AN287&gt;=26,Coefficients!$M$6,Coefficients!$M$5),Coefficients!$M$4),IF(AN287&gt;=11,IF(AN287&gt;=26,Coefficients!$N$6,Coefficients!$N$5),Coefficients!$N$4))</f>
        <v>1</v>
      </c>
      <c r="AS287" s="27">
        <f>INDEX(Coefficients!$X$3:$X$4,MATCH(S287,Coefficients!$W$3:$W$4))</f>
        <v>1</v>
      </c>
      <c r="AT287" s="27">
        <f>INDEX(Coefficients!$X$7:$X$8,MATCH(O287,Coefficients!$W$7:$W$8))</f>
        <v>1</v>
      </c>
      <c r="AU287" s="27">
        <f>INDEX(Coefficients!$X$11:$X$12,MATCH(P287,Coefficients!$W$11:$W$12))</f>
        <v>1</v>
      </c>
      <c r="AV287" s="27">
        <f>INDEX(Coefficients!$X$15:$X$17,MATCH(Q287,Coefficients!$W$15:$W$17))</f>
        <v>1</v>
      </c>
      <c r="AW287" s="27">
        <f t="shared" si="232"/>
        <v>1</v>
      </c>
      <c r="AX287" s="27">
        <f t="shared" si="233"/>
        <v>1</v>
      </c>
      <c r="AY287" s="27">
        <f t="shared" si="234"/>
        <v>1.3</v>
      </c>
      <c r="AZ287" s="29">
        <f t="shared" si="235"/>
        <v>57.655793260484856</v>
      </c>
      <c r="BA287" s="29">
        <f t="shared" si="236"/>
        <v>0</v>
      </c>
      <c r="BB287" s="29">
        <f t="shared" si="237"/>
        <v>2.9981012495452126</v>
      </c>
      <c r="BC287" s="29">
        <f t="shared" si="238"/>
        <v>1.7001898750454787</v>
      </c>
      <c r="BD287" s="29">
        <f t="shared" si="241"/>
        <v>0.34688621678729481</v>
      </c>
      <c r="BE287" s="16">
        <f t="shared" si="242"/>
        <v>181.75632858569392</v>
      </c>
      <c r="BF287" s="16">
        <f t="shared" si="243"/>
        <v>36.487342828612157</v>
      </c>
      <c r="BG287" s="25">
        <f t="shared" si="244"/>
        <v>1</v>
      </c>
      <c r="BH287" s="29">
        <f t="shared" si="245"/>
        <v>399.86392288852664</v>
      </c>
      <c r="BI287" s="29">
        <f t="shared" si="246"/>
        <v>-399.72784577705329</v>
      </c>
      <c r="BJ287" s="29">
        <f t="shared" si="247"/>
        <v>28.730631229316984</v>
      </c>
    </row>
    <row r="288" spans="2:62">
      <c r="B288" s="29" t="s">
        <v>91</v>
      </c>
      <c r="C288" s="83" t="str">
        <f>'Cooler&amp;Wetter'!$B$1</f>
        <v>MIROC-Medres</v>
      </c>
      <c r="D288" s="89">
        <v>2062</v>
      </c>
      <c r="E288" s="90">
        <f>'Cooler&amp;Wetter'!AA90</f>
        <v>35.642000000000003</v>
      </c>
      <c r="F288" s="90">
        <f>'Cooler&amp;Wetter'!AC90</f>
        <v>24.2</v>
      </c>
      <c r="G288" s="35">
        <f t="shared" si="228"/>
        <v>2005</v>
      </c>
      <c r="H288" s="91" t="str">
        <f t="shared" si="208"/>
        <v>Pile 32 @ Berth 201</v>
      </c>
      <c r="I288" s="35" t="str">
        <f t="shared" si="209"/>
        <v>Turpentine Gum</v>
      </c>
      <c r="J288" s="35" t="str">
        <f t="shared" si="210"/>
        <v>HW1</v>
      </c>
      <c r="K288" s="35" t="str">
        <f t="shared" si="229"/>
        <v>SPHU</v>
      </c>
      <c r="L288" s="35">
        <f t="shared" si="211"/>
        <v>400</v>
      </c>
      <c r="M288" s="35">
        <f t="shared" si="212"/>
        <v>20</v>
      </c>
      <c r="N288" s="35">
        <f t="shared" si="213"/>
        <v>200</v>
      </c>
      <c r="O288" s="35" t="str">
        <f t="shared" si="214"/>
        <v>MTN2</v>
      </c>
      <c r="P288" s="35" t="str">
        <f t="shared" si="215"/>
        <v>CNT2</v>
      </c>
      <c r="Q288" s="35" t="str">
        <f t="shared" si="216"/>
        <v>KNT3</v>
      </c>
      <c r="R288" s="35" t="str">
        <f t="shared" si="217"/>
        <v>E</v>
      </c>
      <c r="S288" s="35" t="str">
        <f t="shared" si="218"/>
        <v>EXP1</v>
      </c>
      <c r="T288" s="58"/>
      <c r="U288" s="58"/>
      <c r="V288" s="58"/>
      <c r="W288" s="58"/>
      <c r="X288" s="58"/>
      <c r="Y288" s="58"/>
      <c r="Z288" s="58"/>
      <c r="AA288" s="95">
        <f t="shared" si="248"/>
        <v>1</v>
      </c>
      <c r="AB288" s="96">
        <f t="shared" si="230"/>
        <v>186.05977663959303</v>
      </c>
      <c r="AC288" s="58"/>
      <c r="AD288" s="58"/>
      <c r="AE288" s="58"/>
      <c r="AF288" s="58"/>
      <c r="AG288" s="58"/>
      <c r="AH288" s="58"/>
      <c r="AI288" s="58"/>
      <c r="AJ288" s="58"/>
      <c r="AK288" s="58"/>
      <c r="AL288" s="58"/>
      <c r="AM288" s="89">
        <f t="shared" si="231"/>
        <v>57</v>
      </c>
      <c r="AN288" s="30">
        <f t="shared" si="239"/>
        <v>35.642000000000003</v>
      </c>
      <c r="AO288" s="29">
        <f t="shared" si="240"/>
        <v>2.3242906762466284</v>
      </c>
      <c r="AP288" s="29">
        <f>IF((OR(R288="A",R288="B",R288="C")),INDEX(Coefficients!$S$4:$S$22,MATCH(J288,Coefficients!$R$4:$R$22)),INDEX(Coefficients!$T$4:$T$22,MATCH(J288,Coefficients!$R$4:$R$22)))</f>
        <v>1.3</v>
      </c>
      <c r="AQ288" s="27">
        <f>IF((OR(R288="A",R288="B",R288="C")),INDEX(Coefficients!$S$4:$S$22,MATCH(K288,Coefficients!$R$4:$R$22)),INDEX(Coefficients!$T$4:$T$22,MATCH(K288,Coefficients!$R$4:$R$22)))</f>
        <v>25</v>
      </c>
      <c r="AR288" s="27">
        <f>IF(OR(R288="A",R288="B",R288="C",R288="D"),IF(AN288&gt;=11,IF(AN288&gt;=26,Coefficients!$M$6,Coefficients!$M$5),Coefficients!$M$4),IF(AN288&gt;=11,IF(AN288&gt;=26,Coefficients!$N$6,Coefficients!$N$5),Coefficients!$N$4))</f>
        <v>1</v>
      </c>
      <c r="AS288" s="27">
        <f>INDEX(Coefficients!$X$3:$X$4,MATCH(S288,Coefficients!$W$3:$W$4))</f>
        <v>1</v>
      </c>
      <c r="AT288" s="27">
        <f>INDEX(Coefficients!$X$7:$X$8,MATCH(O288,Coefficients!$W$7:$W$8))</f>
        <v>1</v>
      </c>
      <c r="AU288" s="27">
        <f>INDEX(Coefficients!$X$11:$X$12,MATCH(P288,Coefficients!$W$11:$W$12))</f>
        <v>1</v>
      </c>
      <c r="AV288" s="27">
        <f>INDEX(Coefficients!$X$15:$X$17,MATCH(Q288,Coefficients!$W$15:$W$17))</f>
        <v>1</v>
      </c>
      <c r="AW288" s="27">
        <f t="shared" si="232"/>
        <v>1</v>
      </c>
      <c r="AX288" s="27">
        <f t="shared" si="233"/>
        <v>1</v>
      </c>
      <c r="AY288" s="27">
        <f t="shared" si="234"/>
        <v>1.3</v>
      </c>
      <c r="AZ288" s="29">
        <f t="shared" si="235"/>
        <v>58.107266906165712</v>
      </c>
      <c r="BA288" s="29">
        <f t="shared" si="236"/>
        <v>0</v>
      </c>
      <c r="BB288" s="29">
        <f t="shared" si="237"/>
        <v>3.0215778791206169</v>
      </c>
      <c r="BC288" s="29">
        <f t="shared" si="238"/>
        <v>1.6978422120879384</v>
      </c>
      <c r="BD288" s="29">
        <f t="shared" si="241"/>
        <v>0.34419102919256073</v>
      </c>
      <c r="BE288" s="16">
        <f t="shared" si="242"/>
        <v>186.05977663959303</v>
      </c>
      <c r="BF288" s="16">
        <f t="shared" si="243"/>
        <v>27.88044672081395</v>
      </c>
      <c r="BG288" s="25">
        <f t="shared" si="244"/>
        <v>1</v>
      </c>
      <c r="BH288" s="29">
        <f t="shared" si="245"/>
        <v>409.33150860710469</v>
      </c>
      <c r="BI288" s="29">
        <f t="shared" si="246"/>
        <v>-418.66301721420939</v>
      </c>
      <c r="BJ288" s="29">
        <f t="shared" si="247"/>
        <v>28.518266256092865</v>
      </c>
    </row>
    <row r="289" spans="1:62">
      <c r="B289" s="29" t="s">
        <v>91</v>
      </c>
      <c r="C289" s="83" t="str">
        <f>'Cooler&amp;Wetter'!$B$1</f>
        <v>MIROC-Medres</v>
      </c>
      <c r="D289" s="89">
        <v>2063</v>
      </c>
      <c r="E289" s="90">
        <f>'Cooler&amp;Wetter'!AA91</f>
        <v>35.645499999999998</v>
      </c>
      <c r="F289" s="90">
        <f>'Cooler&amp;Wetter'!AC91</f>
        <v>24.26</v>
      </c>
      <c r="G289" s="35">
        <f t="shared" si="228"/>
        <v>2005</v>
      </c>
      <c r="H289" s="91" t="str">
        <f t="shared" si="208"/>
        <v>Pile 32 @ Berth 201</v>
      </c>
      <c r="I289" s="35" t="str">
        <f t="shared" si="209"/>
        <v>Turpentine Gum</v>
      </c>
      <c r="J289" s="35" t="str">
        <f t="shared" si="210"/>
        <v>HW1</v>
      </c>
      <c r="K289" s="35" t="str">
        <f t="shared" si="229"/>
        <v>SPHU</v>
      </c>
      <c r="L289" s="35">
        <f t="shared" si="211"/>
        <v>400</v>
      </c>
      <c r="M289" s="35">
        <f t="shared" si="212"/>
        <v>20</v>
      </c>
      <c r="N289" s="35">
        <f t="shared" si="213"/>
        <v>200</v>
      </c>
      <c r="O289" s="35" t="str">
        <f t="shared" si="214"/>
        <v>MTN2</v>
      </c>
      <c r="P289" s="35" t="str">
        <f t="shared" si="215"/>
        <v>CNT2</v>
      </c>
      <c r="Q289" s="35" t="str">
        <f t="shared" si="216"/>
        <v>KNT3</v>
      </c>
      <c r="R289" s="35" t="str">
        <f t="shared" si="217"/>
        <v>E</v>
      </c>
      <c r="S289" s="35" t="str">
        <f t="shared" si="218"/>
        <v>EXP1</v>
      </c>
      <c r="T289" s="58"/>
      <c r="U289" s="58"/>
      <c r="V289" s="58"/>
      <c r="W289" s="58"/>
      <c r="X289" s="58"/>
      <c r="Y289" s="58"/>
      <c r="Z289" s="58"/>
      <c r="AA289" s="95">
        <f t="shared" si="248"/>
        <v>1</v>
      </c>
      <c r="AB289" s="96">
        <f t="shared" si="230"/>
        <v>190.42069483208684</v>
      </c>
      <c r="AC289" s="58"/>
      <c r="AD289" s="58"/>
      <c r="AE289" s="58"/>
      <c r="AF289" s="58"/>
      <c r="AG289" s="58"/>
      <c r="AH289" s="58"/>
      <c r="AI289" s="58"/>
      <c r="AJ289" s="58"/>
      <c r="AK289" s="58"/>
      <c r="AL289" s="58"/>
      <c r="AM289" s="89">
        <f t="shared" si="231"/>
        <v>58</v>
      </c>
      <c r="AN289" s="30">
        <f t="shared" si="239"/>
        <v>35.645499999999998</v>
      </c>
      <c r="AO289" s="29">
        <f t="shared" si="240"/>
        <v>2.3424910326355568</v>
      </c>
      <c r="AP289" s="29">
        <f>IF((OR(R289="A",R289="B",R289="C")),INDEX(Coefficients!$S$4:$S$22,MATCH(J289,Coefficients!$R$4:$R$22)),INDEX(Coefficients!$T$4:$T$22,MATCH(J289,Coefficients!$R$4:$R$22)))</f>
        <v>1.3</v>
      </c>
      <c r="AQ289" s="27">
        <f>IF((OR(R289="A",R289="B",R289="C")),INDEX(Coefficients!$S$4:$S$22,MATCH(K289,Coefficients!$R$4:$R$22)),INDEX(Coefficients!$T$4:$T$22,MATCH(K289,Coefficients!$R$4:$R$22)))</f>
        <v>25</v>
      </c>
      <c r="AR289" s="27">
        <f>IF(OR(R289="A",R289="B",R289="C",R289="D"),IF(AN289&gt;=11,IF(AN289&gt;=26,Coefficients!$M$6,Coefficients!$M$5),Coefficients!$M$4),IF(AN289&gt;=11,IF(AN289&gt;=26,Coefficients!$N$6,Coefficients!$N$5),Coefficients!$N$4))</f>
        <v>1</v>
      </c>
      <c r="AS289" s="27">
        <f>INDEX(Coefficients!$X$3:$X$4,MATCH(S289,Coefficients!$W$3:$W$4))</f>
        <v>1</v>
      </c>
      <c r="AT289" s="27">
        <f>INDEX(Coefficients!$X$7:$X$8,MATCH(O289,Coefficients!$W$7:$W$8))</f>
        <v>1</v>
      </c>
      <c r="AU289" s="27">
        <f>INDEX(Coefficients!$X$11:$X$12,MATCH(P289,Coefficients!$W$11:$W$12))</f>
        <v>1</v>
      </c>
      <c r="AV289" s="27">
        <f>INDEX(Coefficients!$X$15:$X$17,MATCH(Q289,Coefficients!$W$15:$W$17))</f>
        <v>1</v>
      </c>
      <c r="AW289" s="27">
        <f t="shared" si="232"/>
        <v>1</v>
      </c>
      <c r="AX289" s="27">
        <f t="shared" si="233"/>
        <v>1</v>
      </c>
      <c r="AY289" s="27">
        <f t="shared" si="234"/>
        <v>1.3</v>
      </c>
      <c r="AZ289" s="29">
        <f t="shared" si="235"/>
        <v>58.562275815888917</v>
      </c>
      <c r="BA289" s="29">
        <f t="shared" si="236"/>
        <v>0</v>
      </c>
      <c r="BB289" s="29">
        <f t="shared" si="237"/>
        <v>3.0452383424262242</v>
      </c>
      <c r="BC289" s="29">
        <f t="shared" si="238"/>
        <v>1.6954761657573776</v>
      </c>
      <c r="BD289" s="29">
        <f t="shared" si="241"/>
        <v>0.34151678228621141</v>
      </c>
      <c r="BE289" s="16">
        <f t="shared" si="242"/>
        <v>190.42069483208684</v>
      </c>
      <c r="BF289" s="16">
        <f t="shared" si="243"/>
        <v>19.158610335826324</v>
      </c>
      <c r="BG289" s="25">
        <f t="shared" si="244"/>
        <v>1</v>
      </c>
      <c r="BH289" s="29">
        <f t="shared" si="245"/>
        <v>418.92552863059109</v>
      </c>
      <c r="BI289" s="29">
        <f t="shared" si="246"/>
        <v>-437.85105726118218</v>
      </c>
      <c r="BJ289" s="29">
        <f t="shared" si="247"/>
        <v>28.307514662367542</v>
      </c>
    </row>
    <row r="290" spans="1:62">
      <c r="B290" s="29" t="s">
        <v>91</v>
      </c>
      <c r="C290" s="83" t="str">
        <f>'Cooler&amp;Wetter'!$B$1</f>
        <v>MIROC-Medres</v>
      </c>
      <c r="D290" s="89">
        <v>2064</v>
      </c>
      <c r="E290" s="90">
        <f>'Cooler&amp;Wetter'!AA92</f>
        <v>35.649000000000001</v>
      </c>
      <c r="F290" s="90">
        <f>'Cooler&amp;Wetter'!AC92</f>
        <v>24.32</v>
      </c>
      <c r="G290" s="35">
        <f t="shared" si="228"/>
        <v>2005</v>
      </c>
      <c r="H290" s="91" t="str">
        <f t="shared" ref="H290:H296" si="249">$H$10</f>
        <v>Pile 32 @ Berth 201</v>
      </c>
      <c r="I290" s="35" t="str">
        <f t="shared" ref="I290:I296" si="250">$I$10</f>
        <v>Turpentine Gum</v>
      </c>
      <c r="J290" s="35" t="str">
        <f t="shared" ref="J290:J296" si="251">$J$10</f>
        <v>HW1</v>
      </c>
      <c r="K290" s="35" t="str">
        <f t="shared" si="229"/>
        <v>SPHU</v>
      </c>
      <c r="L290" s="35">
        <f t="shared" ref="L290:L296" si="252">$L$10</f>
        <v>400</v>
      </c>
      <c r="M290" s="35">
        <f t="shared" ref="M290:M296" si="253">$M$10</f>
        <v>20</v>
      </c>
      <c r="N290" s="35">
        <f t="shared" ref="N290:N296" si="254">$N$10</f>
        <v>200</v>
      </c>
      <c r="O290" s="35" t="str">
        <f t="shared" ref="O290:O296" si="255">$O$10</f>
        <v>MTN2</v>
      </c>
      <c r="P290" s="35" t="str">
        <f t="shared" ref="P290:P296" si="256">$P$10</f>
        <v>CNT2</v>
      </c>
      <c r="Q290" s="35" t="str">
        <f t="shared" ref="Q290:Q296" si="257">$Q$10</f>
        <v>KNT3</v>
      </c>
      <c r="R290" s="35" t="str">
        <f t="shared" ref="R290:R296" si="258">$R$10</f>
        <v>E</v>
      </c>
      <c r="S290" s="35" t="str">
        <f t="shared" ref="S290:S296" si="259">$S$10</f>
        <v>EXP1</v>
      </c>
      <c r="T290" s="58"/>
      <c r="U290" s="58"/>
      <c r="V290" s="58"/>
      <c r="W290" s="58"/>
      <c r="X290" s="58"/>
      <c r="Y290" s="58"/>
      <c r="Z290" s="58"/>
      <c r="AA290" s="95">
        <f t="shared" si="248"/>
        <v>1</v>
      </c>
      <c r="AB290" s="96">
        <f t="shared" si="230"/>
        <v>194.83972020977899</v>
      </c>
      <c r="AC290" s="58"/>
      <c r="AD290" s="58"/>
      <c r="AE290" s="58"/>
      <c r="AF290" s="58"/>
      <c r="AG290" s="58"/>
      <c r="AH290" s="58"/>
      <c r="AI290" s="58"/>
      <c r="AJ290" s="58"/>
      <c r="AK290" s="58"/>
      <c r="AL290" s="58"/>
      <c r="AM290" s="89">
        <f t="shared" si="231"/>
        <v>59</v>
      </c>
      <c r="AN290" s="30">
        <f t="shared" ref="AN290:AN296" si="260">E290</f>
        <v>35.649000000000001</v>
      </c>
      <c r="AO290" s="29">
        <f t="shared" ref="AO290:AO296" si="261">0.1*EXP(0.13*F290)</f>
        <v>2.3608339069014721</v>
      </c>
      <c r="AP290" s="29">
        <f>IF((OR(R290="A",R290="B",R290="C")),INDEX(Coefficients!$S$4:$S$22,MATCH(J290,Coefficients!$R$4:$R$22)),INDEX(Coefficients!$T$4:$T$22,MATCH(J290,Coefficients!$R$4:$R$22)))</f>
        <v>1.3</v>
      </c>
      <c r="AQ290" s="27">
        <f>IF((OR(R290="A",R290="B",R290="C")),INDEX(Coefficients!$S$4:$S$22,MATCH(K290,Coefficients!$R$4:$R$22)),INDEX(Coefficients!$T$4:$T$22,MATCH(K290,Coefficients!$R$4:$R$22)))</f>
        <v>25</v>
      </c>
      <c r="AR290" s="27">
        <f>IF(OR(R290="A",R290="B",R290="C",R290="D"),IF(AN290&gt;=11,IF(AN290&gt;=26,Coefficients!$M$6,Coefficients!$M$5),Coefficients!$M$4),IF(AN290&gt;=11,IF(AN290&gt;=26,Coefficients!$N$6,Coefficients!$N$5),Coefficients!$N$4))</f>
        <v>1</v>
      </c>
      <c r="AS290" s="27">
        <f>INDEX(Coefficients!$X$3:$X$4,MATCH(S290,Coefficients!$W$3:$W$4))</f>
        <v>1</v>
      </c>
      <c r="AT290" s="27">
        <f>INDEX(Coefficients!$X$7:$X$8,MATCH(O290,Coefficients!$W$7:$W$8))</f>
        <v>1</v>
      </c>
      <c r="AU290" s="27">
        <f>INDEX(Coefficients!$X$11:$X$12,MATCH(P290,Coefficients!$W$11:$W$12))</f>
        <v>1</v>
      </c>
      <c r="AV290" s="27">
        <f>INDEX(Coefficients!$X$15:$X$17,MATCH(Q290,Coefficients!$W$15:$W$17))</f>
        <v>1</v>
      </c>
      <c r="AW290" s="27">
        <f t="shared" si="232"/>
        <v>1</v>
      </c>
      <c r="AX290" s="27">
        <f t="shared" si="233"/>
        <v>1</v>
      </c>
      <c r="AY290" s="27">
        <f t="shared" si="234"/>
        <v>1.3</v>
      </c>
      <c r="AZ290" s="29">
        <f t="shared" si="235"/>
        <v>59.020847672536803</v>
      </c>
      <c r="BA290" s="29">
        <f t="shared" si="236"/>
        <v>0</v>
      </c>
      <c r="BB290" s="29">
        <f t="shared" si="237"/>
        <v>3.069084078971914</v>
      </c>
      <c r="BC290" s="29">
        <f t="shared" si="238"/>
        <v>1.6930915921028085</v>
      </c>
      <c r="BD290" s="29">
        <f t="shared" ref="BD290:BD296" si="262">M290/AZ290+BA290</f>
        <v>0.33886331336624076</v>
      </c>
      <c r="BE290" s="16">
        <f t="shared" ref="BE290:BE296" si="263">IF(AM290&lt;=0,0,IF(AM290&gt;(BD290+BC290),M290+(AM290-BD290-BC290)*BB290,M290))</f>
        <v>194.83972020977899</v>
      </c>
      <c r="BF290" s="16">
        <f t="shared" ref="BF290:BF296" si="264">L290-2*BE290</f>
        <v>10.320559580442023</v>
      </c>
      <c r="BG290" s="25">
        <f t="shared" ref="BG290:BG296" si="265">IF(2*BE290&gt;(L290-N290),1,BE290/((L290-N290)/2))</f>
        <v>1</v>
      </c>
      <c r="BH290" s="29">
        <f t="shared" ref="BH290:BH296" si="266">BE290*(1+$BF$1*$BF$2)</f>
        <v>428.64738446151381</v>
      </c>
      <c r="BI290" s="29">
        <f t="shared" ref="BI290:BI296" si="267">L290-2*BH290</f>
        <v>-457.29476892302762</v>
      </c>
      <c r="BJ290" s="29">
        <f t="shared" ref="BJ290:BJ296" si="268">($BF$3/2-M290)/BB290+BD290+BC290</f>
        <v>28.098363625949105</v>
      </c>
    </row>
    <row r="291" spans="1:62">
      <c r="B291" s="29" t="s">
        <v>91</v>
      </c>
      <c r="C291" s="83" t="str">
        <f>'Cooler&amp;Wetter'!$B$1</f>
        <v>MIROC-Medres</v>
      </c>
      <c r="D291" s="89">
        <v>2065</v>
      </c>
      <c r="E291" s="90">
        <f>'Cooler&amp;Wetter'!AA93</f>
        <v>35.652500000000003</v>
      </c>
      <c r="F291" s="90">
        <f>'Cooler&amp;Wetter'!AC93</f>
        <v>24.380000000000003</v>
      </c>
      <c r="G291" s="35">
        <f t="shared" ref="G291:G296" si="269">$G$10</f>
        <v>2005</v>
      </c>
      <c r="H291" s="91" t="str">
        <f t="shared" si="249"/>
        <v>Pile 32 @ Berth 201</v>
      </c>
      <c r="I291" s="35" t="str">
        <f t="shared" si="250"/>
        <v>Turpentine Gum</v>
      </c>
      <c r="J291" s="35" t="str">
        <f t="shared" si="251"/>
        <v>HW1</v>
      </c>
      <c r="K291" s="35" t="str">
        <f t="shared" ref="K291:K296" si="270">$K$10</f>
        <v>SPHU</v>
      </c>
      <c r="L291" s="35">
        <f t="shared" si="252"/>
        <v>400</v>
      </c>
      <c r="M291" s="35">
        <f t="shared" si="253"/>
        <v>20</v>
      </c>
      <c r="N291" s="35">
        <f t="shared" si="254"/>
        <v>200</v>
      </c>
      <c r="O291" s="35" t="str">
        <f t="shared" si="255"/>
        <v>MTN2</v>
      </c>
      <c r="P291" s="35" t="str">
        <f t="shared" si="256"/>
        <v>CNT2</v>
      </c>
      <c r="Q291" s="35" t="str">
        <f t="shared" si="257"/>
        <v>KNT3</v>
      </c>
      <c r="R291" s="35" t="str">
        <f t="shared" si="258"/>
        <v>E</v>
      </c>
      <c r="S291" s="35" t="str">
        <f t="shared" si="259"/>
        <v>EXP1</v>
      </c>
      <c r="T291" s="58"/>
      <c r="U291" s="58"/>
      <c r="V291" s="58"/>
      <c r="W291" s="58"/>
      <c r="X291" s="58"/>
      <c r="Y291" s="58"/>
      <c r="Z291" s="58"/>
      <c r="AA291" s="95">
        <f t="shared" si="248"/>
        <v>1</v>
      </c>
      <c r="AB291" s="96">
        <f t="shared" ref="AB291:AB296" si="271">BE291</f>
        <v>199.31749628601759</v>
      </c>
      <c r="AC291" s="58"/>
      <c r="AD291" s="58"/>
      <c r="AE291" s="58"/>
      <c r="AF291" s="58"/>
      <c r="AG291" s="58"/>
      <c r="AH291" s="58"/>
      <c r="AI291" s="58"/>
      <c r="AJ291" s="58"/>
      <c r="AK291" s="58"/>
      <c r="AL291" s="58"/>
      <c r="AM291" s="89">
        <f t="shared" ref="AM291:AM296" si="272">MAX(0,D291-G291)</f>
        <v>60</v>
      </c>
      <c r="AN291" s="30">
        <f t="shared" si="260"/>
        <v>35.652500000000003</v>
      </c>
      <c r="AO291" s="29">
        <f t="shared" si="261"/>
        <v>2.3793204150305067</v>
      </c>
      <c r="AP291" s="29">
        <f>IF((OR(R291="A",R291="B",R291="C")),INDEX(Coefficients!$S$4:$S$22,MATCH(J291,Coefficients!$R$4:$R$22)),INDEX(Coefficients!$T$4:$T$22,MATCH(J291,Coefficients!$R$4:$R$22)))</f>
        <v>1.3</v>
      </c>
      <c r="AQ291" s="27">
        <f>IF((OR(R291="A",R291="B",R291="C")),INDEX(Coefficients!$S$4:$S$22,MATCH(K291,Coefficients!$R$4:$R$22)),INDEX(Coefficients!$T$4:$T$22,MATCH(K291,Coefficients!$R$4:$R$22)))</f>
        <v>25</v>
      </c>
      <c r="AR291" s="27">
        <f>IF(OR(R291="A",R291="B",R291="C",R291="D"),IF(AN291&gt;=11,IF(AN291&gt;=26,Coefficients!$M$6,Coefficients!$M$5),Coefficients!$M$4),IF(AN291&gt;=11,IF(AN291&gt;=26,Coefficients!$N$6,Coefficients!$N$5),Coefficients!$N$4))</f>
        <v>1</v>
      </c>
      <c r="AS291" s="27">
        <f>INDEX(Coefficients!$X$3:$X$4,MATCH(S291,Coefficients!$W$3:$W$4))</f>
        <v>1</v>
      </c>
      <c r="AT291" s="27">
        <f>INDEX(Coefficients!$X$7:$X$8,MATCH(O291,Coefficients!$W$7:$W$8))</f>
        <v>1</v>
      </c>
      <c r="AU291" s="27">
        <f>INDEX(Coefficients!$X$11:$X$12,MATCH(P291,Coefficients!$W$11:$W$12))</f>
        <v>1</v>
      </c>
      <c r="AV291" s="27">
        <f>INDEX(Coefficients!$X$15:$X$17,MATCH(Q291,Coefficients!$W$15:$W$17))</f>
        <v>1</v>
      </c>
      <c r="AW291" s="27">
        <f t="shared" ref="AW291:AW296" si="273">AR291*AS291</f>
        <v>1</v>
      </c>
      <c r="AX291" s="27">
        <f t="shared" ref="AX291:AX296" si="274">AT291*AU291*AV291</f>
        <v>1</v>
      </c>
      <c r="AY291" s="27">
        <f t="shared" ref="AY291:AY296" si="275">AP291*AR291*AS291*AT291*AU291*AV291</f>
        <v>1.3</v>
      </c>
      <c r="AZ291" s="29">
        <f t="shared" ref="AZ291:AZ296" si="276">AO291*AQ291*AW291*AX291</f>
        <v>59.483010375762667</v>
      </c>
      <c r="BA291" s="29">
        <f t="shared" ref="BA291:BA296" si="277">IF(AZ291&gt;=20,0,2-0.1*AZ291)</f>
        <v>0</v>
      </c>
      <c r="BB291" s="29">
        <f t="shared" ref="BB291:BB296" si="278">AO291*AP291*AR291*AS291*AT291*AU291*AV291</f>
        <v>3.0931165395396589</v>
      </c>
      <c r="BC291" s="29">
        <f t="shared" ref="BC291:BC296" si="279">IF(BB291&gt;=20,0,2-0.1*BB291)</f>
        <v>1.690688346046034</v>
      </c>
      <c r="BD291" s="29">
        <f t="shared" si="262"/>
        <v>0.3362304609947806</v>
      </c>
      <c r="BE291" s="16">
        <f t="shared" si="263"/>
        <v>199.31749628601759</v>
      </c>
      <c r="BF291" s="16">
        <f t="shared" si="264"/>
        <v>1.3650074279648265</v>
      </c>
      <c r="BG291" s="25">
        <f t="shared" si="265"/>
        <v>1</v>
      </c>
      <c r="BH291" s="29">
        <f t="shared" si="266"/>
        <v>438.49849182923873</v>
      </c>
      <c r="BI291" s="29">
        <f t="shared" si="267"/>
        <v>-476.99698365847746</v>
      </c>
      <c r="BJ291" s="29">
        <f t="shared" si="268"/>
        <v>27.890800422023936</v>
      </c>
    </row>
    <row r="292" spans="1:62">
      <c r="B292" s="29" t="s">
        <v>91</v>
      </c>
      <c r="C292" s="83" t="str">
        <f>'Cooler&amp;Wetter'!$B$1</f>
        <v>MIROC-Medres</v>
      </c>
      <c r="D292" s="89">
        <v>2066</v>
      </c>
      <c r="E292" s="90">
        <f>'Cooler&amp;Wetter'!AA94</f>
        <v>35.655999999999999</v>
      </c>
      <c r="F292" s="90">
        <f>'Cooler&amp;Wetter'!AC94</f>
        <v>24.44</v>
      </c>
      <c r="G292" s="35">
        <f t="shared" si="269"/>
        <v>2005</v>
      </c>
      <c r="H292" s="91" t="str">
        <f t="shared" si="249"/>
        <v>Pile 32 @ Berth 201</v>
      </c>
      <c r="I292" s="35" t="str">
        <f t="shared" si="250"/>
        <v>Turpentine Gum</v>
      </c>
      <c r="J292" s="35" t="str">
        <f t="shared" si="251"/>
        <v>HW1</v>
      </c>
      <c r="K292" s="35" t="str">
        <f t="shared" si="270"/>
        <v>SPHU</v>
      </c>
      <c r="L292" s="35">
        <f t="shared" si="252"/>
        <v>400</v>
      </c>
      <c r="M292" s="35">
        <f t="shared" si="253"/>
        <v>20</v>
      </c>
      <c r="N292" s="35">
        <f t="shared" si="254"/>
        <v>200</v>
      </c>
      <c r="O292" s="35" t="str">
        <f t="shared" si="255"/>
        <v>MTN2</v>
      </c>
      <c r="P292" s="35" t="str">
        <f t="shared" si="256"/>
        <v>CNT2</v>
      </c>
      <c r="Q292" s="35" t="str">
        <f t="shared" si="257"/>
        <v>KNT3</v>
      </c>
      <c r="R292" s="35" t="str">
        <f t="shared" si="258"/>
        <v>E</v>
      </c>
      <c r="S292" s="35" t="str">
        <f t="shared" si="259"/>
        <v>EXP1</v>
      </c>
      <c r="T292" s="58"/>
      <c r="U292" s="58"/>
      <c r="V292" s="58"/>
      <c r="W292" s="58"/>
      <c r="X292" s="58"/>
      <c r="Y292" s="58"/>
      <c r="Z292" s="58"/>
      <c r="AA292" s="95">
        <f t="shared" si="248"/>
        <v>1</v>
      </c>
      <c r="AB292" s="96">
        <f t="shared" si="271"/>
        <v>203.85467310332564</v>
      </c>
      <c r="AC292" s="58"/>
      <c r="AD292" s="58"/>
      <c r="AE292" s="58"/>
      <c r="AF292" s="58"/>
      <c r="AG292" s="58"/>
      <c r="AH292" s="58"/>
      <c r="AI292" s="58"/>
      <c r="AJ292" s="58"/>
      <c r="AK292" s="58"/>
      <c r="AL292" s="58"/>
      <c r="AM292" s="89">
        <f t="shared" si="272"/>
        <v>61</v>
      </c>
      <c r="AN292" s="30">
        <f t="shared" si="260"/>
        <v>35.655999999999999</v>
      </c>
      <c r="AO292" s="29">
        <f t="shared" si="261"/>
        <v>2.3979516817475144</v>
      </c>
      <c r="AP292" s="29">
        <f>IF((OR(R292="A",R292="B",R292="C")),INDEX(Coefficients!$S$4:$S$22,MATCH(J292,Coefficients!$R$4:$R$22)),INDEX(Coefficients!$T$4:$T$22,MATCH(J292,Coefficients!$R$4:$R$22)))</f>
        <v>1.3</v>
      </c>
      <c r="AQ292" s="27">
        <f>IF((OR(R292="A",R292="B",R292="C")),INDEX(Coefficients!$S$4:$S$22,MATCH(K292,Coefficients!$R$4:$R$22)),INDEX(Coefficients!$T$4:$T$22,MATCH(K292,Coefficients!$R$4:$R$22)))</f>
        <v>25</v>
      </c>
      <c r="AR292" s="27">
        <f>IF(OR(R292="A",R292="B",R292="C",R292="D"),IF(AN292&gt;=11,IF(AN292&gt;=26,Coefficients!$M$6,Coefficients!$M$5),Coefficients!$M$4),IF(AN292&gt;=11,IF(AN292&gt;=26,Coefficients!$N$6,Coefficients!$N$5),Coefficients!$N$4))</f>
        <v>1</v>
      </c>
      <c r="AS292" s="27">
        <f>INDEX(Coefficients!$X$3:$X$4,MATCH(S292,Coefficients!$W$3:$W$4))</f>
        <v>1</v>
      </c>
      <c r="AT292" s="27">
        <f>INDEX(Coefficients!$X$7:$X$8,MATCH(O292,Coefficients!$W$7:$W$8))</f>
        <v>1</v>
      </c>
      <c r="AU292" s="27">
        <f>INDEX(Coefficients!$X$11:$X$12,MATCH(P292,Coefficients!$W$11:$W$12))</f>
        <v>1</v>
      </c>
      <c r="AV292" s="27">
        <f>INDEX(Coefficients!$X$15:$X$17,MATCH(Q292,Coefficients!$W$15:$W$17))</f>
        <v>1</v>
      </c>
      <c r="AW292" s="27">
        <f t="shared" si="273"/>
        <v>1</v>
      </c>
      <c r="AX292" s="27">
        <f t="shared" si="274"/>
        <v>1</v>
      </c>
      <c r="AY292" s="27">
        <f t="shared" si="275"/>
        <v>1.3</v>
      </c>
      <c r="AZ292" s="29">
        <f t="shared" si="276"/>
        <v>59.94879204368786</v>
      </c>
      <c r="BA292" s="29">
        <f t="shared" si="277"/>
        <v>0</v>
      </c>
      <c r="BB292" s="29">
        <f t="shared" si="278"/>
        <v>3.1173371862717687</v>
      </c>
      <c r="BC292" s="29">
        <f t="shared" si="279"/>
        <v>1.6882662813728231</v>
      </c>
      <c r="BD292" s="29">
        <f t="shared" si="262"/>
        <v>0.333618064988281</v>
      </c>
      <c r="BE292" s="16">
        <f t="shared" si="263"/>
        <v>203.85467310332564</v>
      </c>
      <c r="BF292" s="16">
        <f t="shared" si="264"/>
        <v>-7.7093462066512757</v>
      </c>
      <c r="BG292" s="25">
        <f t="shared" si="265"/>
        <v>1</v>
      </c>
      <c r="BH292" s="29">
        <f t="shared" si="266"/>
        <v>448.48028082731645</v>
      </c>
      <c r="BI292" s="29">
        <f t="shared" si="267"/>
        <v>-496.9605616546329</v>
      </c>
      <c r="BJ292" s="29">
        <f t="shared" si="268"/>
        <v>27.68481242238272</v>
      </c>
    </row>
    <row r="293" spans="1:62">
      <c r="B293" s="29" t="s">
        <v>91</v>
      </c>
      <c r="C293" s="83" t="str">
        <f>'Cooler&amp;Wetter'!$B$1</f>
        <v>MIROC-Medres</v>
      </c>
      <c r="D293" s="89">
        <v>2067</v>
      </c>
      <c r="E293" s="90">
        <f>'Cooler&amp;Wetter'!AA95</f>
        <v>35.659500000000001</v>
      </c>
      <c r="F293" s="90">
        <f>'Cooler&amp;Wetter'!AC95</f>
        <v>24.5</v>
      </c>
      <c r="G293" s="35">
        <f t="shared" si="269"/>
        <v>2005</v>
      </c>
      <c r="H293" s="91" t="str">
        <f t="shared" si="249"/>
        <v>Pile 32 @ Berth 201</v>
      </c>
      <c r="I293" s="35" t="str">
        <f t="shared" si="250"/>
        <v>Turpentine Gum</v>
      </c>
      <c r="J293" s="35" t="str">
        <f t="shared" si="251"/>
        <v>HW1</v>
      </c>
      <c r="K293" s="35" t="str">
        <f t="shared" si="270"/>
        <v>SPHU</v>
      </c>
      <c r="L293" s="35">
        <f t="shared" si="252"/>
        <v>400</v>
      </c>
      <c r="M293" s="35">
        <f t="shared" si="253"/>
        <v>20</v>
      </c>
      <c r="N293" s="35">
        <f t="shared" si="254"/>
        <v>200</v>
      </c>
      <c r="O293" s="35" t="str">
        <f t="shared" si="255"/>
        <v>MTN2</v>
      </c>
      <c r="P293" s="35" t="str">
        <f t="shared" si="256"/>
        <v>CNT2</v>
      </c>
      <c r="Q293" s="35" t="str">
        <f t="shared" si="257"/>
        <v>KNT3</v>
      </c>
      <c r="R293" s="35" t="str">
        <f t="shared" si="258"/>
        <v>E</v>
      </c>
      <c r="S293" s="35" t="str">
        <f t="shared" si="259"/>
        <v>EXP1</v>
      </c>
      <c r="T293" s="58"/>
      <c r="U293" s="58"/>
      <c r="V293" s="58"/>
      <c r="W293" s="58"/>
      <c r="X293" s="58"/>
      <c r="Y293" s="58"/>
      <c r="Z293" s="58"/>
      <c r="AA293" s="95">
        <f t="shared" si="248"/>
        <v>1</v>
      </c>
      <c r="AB293" s="96">
        <f t="shared" si="271"/>
        <v>208.45190729641803</v>
      </c>
      <c r="AC293" s="58"/>
      <c r="AD293" s="58"/>
      <c r="AE293" s="58"/>
      <c r="AF293" s="58"/>
      <c r="AG293" s="58"/>
      <c r="AH293" s="58"/>
      <c r="AI293" s="58"/>
      <c r="AJ293" s="58"/>
      <c r="AK293" s="58"/>
      <c r="AL293" s="58"/>
      <c r="AM293" s="89">
        <f t="shared" si="272"/>
        <v>62</v>
      </c>
      <c r="AN293" s="30">
        <f t="shared" si="260"/>
        <v>35.659500000000001</v>
      </c>
      <c r="AO293" s="29">
        <f t="shared" si="261"/>
        <v>2.4167288405845095</v>
      </c>
      <c r="AP293" s="29">
        <f>IF((OR(R293="A",R293="B",R293="C")),INDEX(Coefficients!$S$4:$S$22,MATCH(J293,Coefficients!$R$4:$R$22)),INDEX(Coefficients!$T$4:$T$22,MATCH(J293,Coefficients!$R$4:$R$22)))</f>
        <v>1.3</v>
      </c>
      <c r="AQ293" s="27">
        <f>IF((OR(R293="A",R293="B",R293="C")),INDEX(Coefficients!$S$4:$S$22,MATCH(K293,Coefficients!$R$4:$R$22)),INDEX(Coefficients!$T$4:$T$22,MATCH(K293,Coefficients!$R$4:$R$22)))</f>
        <v>25</v>
      </c>
      <c r="AR293" s="27">
        <f>IF(OR(R293="A",R293="B",R293="C",R293="D"),IF(AN293&gt;=11,IF(AN293&gt;=26,Coefficients!$M$6,Coefficients!$M$5),Coefficients!$M$4),IF(AN293&gt;=11,IF(AN293&gt;=26,Coefficients!$N$6,Coefficients!$N$5),Coefficients!$N$4))</f>
        <v>1</v>
      </c>
      <c r="AS293" s="27">
        <f>INDEX(Coefficients!$X$3:$X$4,MATCH(S293,Coefficients!$W$3:$W$4))</f>
        <v>1</v>
      </c>
      <c r="AT293" s="27">
        <f>INDEX(Coefficients!$X$7:$X$8,MATCH(O293,Coefficients!$W$7:$W$8))</f>
        <v>1</v>
      </c>
      <c r="AU293" s="27">
        <f>INDEX(Coefficients!$X$11:$X$12,MATCH(P293,Coefficients!$W$11:$W$12))</f>
        <v>1</v>
      </c>
      <c r="AV293" s="27">
        <f>INDEX(Coefficients!$X$15:$X$17,MATCH(Q293,Coefficients!$W$15:$W$17))</f>
        <v>1</v>
      </c>
      <c r="AW293" s="27">
        <f t="shared" si="273"/>
        <v>1</v>
      </c>
      <c r="AX293" s="27">
        <f t="shared" si="274"/>
        <v>1</v>
      </c>
      <c r="AY293" s="27">
        <f t="shared" si="275"/>
        <v>1.3</v>
      </c>
      <c r="AZ293" s="29">
        <f t="shared" si="276"/>
        <v>60.41822101461274</v>
      </c>
      <c r="BA293" s="29">
        <f t="shared" si="277"/>
        <v>0</v>
      </c>
      <c r="BB293" s="29">
        <f t="shared" si="278"/>
        <v>3.1417474927598623</v>
      </c>
      <c r="BC293" s="29">
        <f t="shared" si="279"/>
        <v>1.6858252507240137</v>
      </c>
      <c r="BD293" s="29">
        <f t="shared" si="262"/>
        <v>0.33102596640776305</v>
      </c>
      <c r="BE293" s="16">
        <f t="shared" si="263"/>
        <v>208.45190729641803</v>
      </c>
      <c r="BF293" s="16">
        <f t="shared" si="264"/>
        <v>-16.903814592836056</v>
      </c>
      <c r="BG293" s="25">
        <f t="shared" si="265"/>
        <v>1</v>
      </c>
      <c r="BH293" s="29">
        <f t="shared" si="266"/>
        <v>458.59419605211968</v>
      </c>
      <c r="BI293" s="29">
        <f t="shared" si="267"/>
        <v>-517.18839210423937</v>
      </c>
      <c r="BJ293" s="29">
        <f t="shared" si="268"/>
        <v>27.480387094652016</v>
      </c>
    </row>
    <row r="294" spans="1:62">
      <c r="B294" s="29" t="s">
        <v>91</v>
      </c>
      <c r="C294" s="83" t="str">
        <f>'Cooler&amp;Wetter'!$B$1</f>
        <v>MIROC-Medres</v>
      </c>
      <c r="D294" s="89">
        <v>2068</v>
      </c>
      <c r="E294" s="90">
        <f>'Cooler&amp;Wetter'!AA96</f>
        <v>35.662999999999997</v>
      </c>
      <c r="F294" s="90">
        <f>'Cooler&amp;Wetter'!AC96</f>
        <v>24.560000000000002</v>
      </c>
      <c r="G294" s="35">
        <f t="shared" si="269"/>
        <v>2005</v>
      </c>
      <c r="H294" s="91" t="str">
        <f t="shared" si="249"/>
        <v>Pile 32 @ Berth 201</v>
      </c>
      <c r="I294" s="35" t="str">
        <f t="shared" si="250"/>
        <v>Turpentine Gum</v>
      </c>
      <c r="J294" s="35" t="str">
        <f t="shared" si="251"/>
        <v>HW1</v>
      </c>
      <c r="K294" s="35" t="str">
        <f t="shared" si="270"/>
        <v>SPHU</v>
      </c>
      <c r="L294" s="35">
        <f t="shared" si="252"/>
        <v>400</v>
      </c>
      <c r="M294" s="35">
        <f t="shared" si="253"/>
        <v>20</v>
      </c>
      <c r="N294" s="35">
        <f t="shared" si="254"/>
        <v>200</v>
      </c>
      <c r="O294" s="35" t="str">
        <f t="shared" si="255"/>
        <v>MTN2</v>
      </c>
      <c r="P294" s="35" t="str">
        <f t="shared" si="256"/>
        <v>CNT2</v>
      </c>
      <c r="Q294" s="35" t="str">
        <f t="shared" si="257"/>
        <v>KNT3</v>
      </c>
      <c r="R294" s="35" t="str">
        <f t="shared" si="258"/>
        <v>E</v>
      </c>
      <c r="S294" s="35" t="str">
        <f t="shared" si="259"/>
        <v>EXP1</v>
      </c>
      <c r="T294" s="58"/>
      <c r="U294" s="58"/>
      <c r="V294" s="58"/>
      <c r="W294" s="58"/>
      <c r="X294" s="58"/>
      <c r="Y294" s="58"/>
      <c r="Z294" s="58"/>
      <c r="AA294" s="95">
        <f t="shared" si="248"/>
        <v>1</v>
      </c>
      <c r="AB294" s="96">
        <f t="shared" si="271"/>
        <v>213.10986215580795</v>
      </c>
      <c r="AC294" s="58"/>
      <c r="AD294" s="58"/>
      <c r="AE294" s="58"/>
      <c r="AF294" s="58"/>
      <c r="AG294" s="58"/>
      <c r="AH294" s="58"/>
      <c r="AI294" s="58"/>
      <c r="AJ294" s="58"/>
      <c r="AK294" s="58"/>
      <c r="AL294" s="58"/>
      <c r="AM294" s="89">
        <f t="shared" si="272"/>
        <v>63</v>
      </c>
      <c r="AN294" s="30">
        <f t="shared" si="260"/>
        <v>35.662999999999997</v>
      </c>
      <c r="AO294" s="29">
        <f t="shared" si="261"/>
        <v>2.435653033949631</v>
      </c>
      <c r="AP294" s="29">
        <f>IF((OR(R294="A",R294="B",R294="C")),INDEX(Coefficients!$S$4:$S$22,MATCH(J294,Coefficients!$R$4:$R$22)),INDEX(Coefficients!$T$4:$T$22,MATCH(J294,Coefficients!$R$4:$R$22)))</f>
        <v>1.3</v>
      </c>
      <c r="AQ294" s="27">
        <f>IF((OR(R294="A",R294="B",R294="C")),INDEX(Coefficients!$S$4:$S$22,MATCH(K294,Coefficients!$R$4:$R$22)),INDEX(Coefficients!$T$4:$T$22,MATCH(K294,Coefficients!$R$4:$R$22)))</f>
        <v>25</v>
      </c>
      <c r="AR294" s="27">
        <f>IF(OR(R294="A",R294="B",R294="C",R294="D"),IF(AN294&gt;=11,IF(AN294&gt;=26,Coefficients!$M$6,Coefficients!$M$5),Coefficients!$M$4),IF(AN294&gt;=11,IF(AN294&gt;=26,Coefficients!$N$6,Coefficients!$N$5),Coefficients!$N$4))</f>
        <v>1</v>
      </c>
      <c r="AS294" s="27">
        <f>INDEX(Coefficients!$X$3:$X$4,MATCH(S294,Coefficients!$W$3:$W$4))</f>
        <v>1</v>
      </c>
      <c r="AT294" s="27">
        <f>INDEX(Coefficients!$X$7:$X$8,MATCH(O294,Coefficients!$W$7:$W$8))</f>
        <v>1</v>
      </c>
      <c r="AU294" s="27">
        <f>INDEX(Coefficients!$X$11:$X$12,MATCH(P294,Coefficients!$W$11:$W$12))</f>
        <v>1</v>
      </c>
      <c r="AV294" s="27">
        <f>INDEX(Coefficients!$X$15:$X$17,MATCH(Q294,Coefficients!$W$15:$W$17))</f>
        <v>1</v>
      </c>
      <c r="AW294" s="27">
        <f t="shared" si="273"/>
        <v>1</v>
      </c>
      <c r="AX294" s="27">
        <f t="shared" si="274"/>
        <v>1</v>
      </c>
      <c r="AY294" s="27">
        <f t="shared" si="275"/>
        <v>1.3</v>
      </c>
      <c r="AZ294" s="29">
        <f t="shared" si="276"/>
        <v>60.891325848740777</v>
      </c>
      <c r="BA294" s="29">
        <f t="shared" si="277"/>
        <v>0</v>
      </c>
      <c r="BB294" s="29">
        <f t="shared" si="278"/>
        <v>3.1663489441345205</v>
      </c>
      <c r="BC294" s="29">
        <f t="shared" si="279"/>
        <v>1.6833651055865479</v>
      </c>
      <c r="BD294" s="29">
        <f t="shared" si="262"/>
        <v>0.32845400754914911</v>
      </c>
      <c r="BE294" s="16">
        <f t="shared" si="263"/>
        <v>213.10986215580795</v>
      </c>
      <c r="BF294" s="16">
        <f t="shared" si="264"/>
        <v>-26.219724311615892</v>
      </c>
      <c r="BG294" s="25">
        <f t="shared" si="265"/>
        <v>1</v>
      </c>
      <c r="BH294" s="29">
        <f t="shared" si="266"/>
        <v>468.84169674277751</v>
      </c>
      <c r="BI294" s="29">
        <f t="shared" si="267"/>
        <v>-537.68339348555503</v>
      </c>
      <c r="BJ294" s="29">
        <f t="shared" si="268"/>
        <v>27.277512001531779</v>
      </c>
    </row>
    <row r="295" spans="1:62">
      <c r="B295" s="29" t="s">
        <v>91</v>
      </c>
      <c r="C295" s="83" t="str">
        <f>'Cooler&amp;Wetter'!$B$1</f>
        <v>MIROC-Medres</v>
      </c>
      <c r="D295" s="89">
        <v>2069</v>
      </c>
      <c r="E295" s="90">
        <f>'Cooler&amp;Wetter'!AA97</f>
        <v>35.666499999999999</v>
      </c>
      <c r="F295" s="90">
        <f>'Cooler&amp;Wetter'!AC97</f>
        <v>24.62</v>
      </c>
      <c r="G295" s="35">
        <f t="shared" si="269"/>
        <v>2005</v>
      </c>
      <c r="H295" s="91" t="str">
        <f t="shared" si="249"/>
        <v>Pile 32 @ Berth 201</v>
      </c>
      <c r="I295" s="35" t="str">
        <f t="shared" si="250"/>
        <v>Turpentine Gum</v>
      </c>
      <c r="J295" s="35" t="str">
        <f t="shared" si="251"/>
        <v>HW1</v>
      </c>
      <c r="K295" s="35" t="str">
        <f t="shared" si="270"/>
        <v>SPHU</v>
      </c>
      <c r="L295" s="35">
        <f t="shared" si="252"/>
        <v>400</v>
      </c>
      <c r="M295" s="35">
        <f t="shared" si="253"/>
        <v>20</v>
      </c>
      <c r="N295" s="35">
        <f t="shared" si="254"/>
        <v>200</v>
      </c>
      <c r="O295" s="35" t="str">
        <f t="shared" si="255"/>
        <v>MTN2</v>
      </c>
      <c r="P295" s="35" t="str">
        <f t="shared" si="256"/>
        <v>CNT2</v>
      </c>
      <c r="Q295" s="35" t="str">
        <f t="shared" si="257"/>
        <v>KNT3</v>
      </c>
      <c r="R295" s="35" t="str">
        <f t="shared" si="258"/>
        <v>E</v>
      </c>
      <c r="S295" s="35" t="str">
        <f t="shared" si="259"/>
        <v>EXP1</v>
      </c>
      <c r="T295" s="58"/>
      <c r="U295" s="58"/>
      <c r="V295" s="58"/>
      <c r="W295" s="58"/>
      <c r="X295" s="58"/>
      <c r="Y295" s="58"/>
      <c r="Z295" s="58"/>
      <c r="AA295" s="95">
        <f t="shared" si="248"/>
        <v>1</v>
      </c>
      <c r="AB295" s="96">
        <f t="shared" si="271"/>
        <v>217.82920769200754</v>
      </c>
      <c r="AC295" s="58"/>
      <c r="AD295" s="58"/>
      <c r="AE295" s="58"/>
      <c r="AF295" s="58"/>
      <c r="AG295" s="58"/>
      <c r="AH295" s="58"/>
      <c r="AI295" s="58"/>
      <c r="AJ295" s="58"/>
      <c r="AK295" s="58"/>
      <c r="AL295" s="58"/>
      <c r="AM295" s="89">
        <f t="shared" si="272"/>
        <v>64</v>
      </c>
      <c r="AN295" s="30">
        <f t="shared" si="260"/>
        <v>35.666499999999999</v>
      </c>
      <c r="AO295" s="29">
        <f t="shared" si="261"/>
        <v>2.4547254131966358</v>
      </c>
      <c r="AP295" s="29">
        <f>IF((OR(R295="A",R295="B",R295="C")),INDEX(Coefficients!$S$4:$S$22,MATCH(J295,Coefficients!$R$4:$R$22)),INDEX(Coefficients!$T$4:$T$22,MATCH(J295,Coefficients!$R$4:$R$22)))</f>
        <v>1.3</v>
      </c>
      <c r="AQ295" s="27">
        <f>IF((OR(R295="A",R295="B",R295="C")),INDEX(Coefficients!$S$4:$S$22,MATCH(K295,Coefficients!$R$4:$R$22)),INDEX(Coefficients!$T$4:$T$22,MATCH(K295,Coefficients!$R$4:$R$22)))</f>
        <v>25</v>
      </c>
      <c r="AR295" s="27">
        <f>IF(OR(R295="A",R295="B",R295="C",R295="D"),IF(AN295&gt;=11,IF(AN295&gt;=26,Coefficients!$M$6,Coefficients!$M$5),Coefficients!$M$4),IF(AN295&gt;=11,IF(AN295&gt;=26,Coefficients!$N$6,Coefficients!$N$5),Coefficients!$N$4))</f>
        <v>1</v>
      </c>
      <c r="AS295" s="27">
        <f>INDEX(Coefficients!$X$3:$X$4,MATCH(S295,Coefficients!$W$3:$W$4))</f>
        <v>1</v>
      </c>
      <c r="AT295" s="27">
        <f>INDEX(Coefficients!$X$7:$X$8,MATCH(O295,Coefficients!$W$7:$W$8))</f>
        <v>1</v>
      </c>
      <c r="AU295" s="27">
        <f>INDEX(Coefficients!$X$11:$X$12,MATCH(P295,Coefficients!$W$11:$W$12))</f>
        <v>1</v>
      </c>
      <c r="AV295" s="27">
        <f>INDEX(Coefficients!$X$15:$X$17,MATCH(Q295,Coefficients!$W$15:$W$17))</f>
        <v>1</v>
      </c>
      <c r="AW295" s="27">
        <f t="shared" si="273"/>
        <v>1</v>
      </c>
      <c r="AX295" s="27">
        <f t="shared" si="274"/>
        <v>1</v>
      </c>
      <c r="AY295" s="27">
        <f t="shared" si="275"/>
        <v>1.3</v>
      </c>
      <c r="AZ295" s="29">
        <f t="shared" si="276"/>
        <v>61.368135329915894</v>
      </c>
      <c r="BA295" s="29">
        <f t="shared" si="277"/>
        <v>0</v>
      </c>
      <c r="BB295" s="29">
        <f t="shared" si="278"/>
        <v>3.1911430371556269</v>
      </c>
      <c r="BC295" s="29">
        <f t="shared" si="279"/>
        <v>1.6808856962844372</v>
      </c>
      <c r="BD295" s="29">
        <f t="shared" si="262"/>
        <v>0.32590203193366946</v>
      </c>
      <c r="BE295" s="16">
        <f t="shared" si="263"/>
        <v>217.82920769200754</v>
      </c>
      <c r="BF295" s="16">
        <f t="shared" si="264"/>
        <v>-35.658415384015086</v>
      </c>
      <c r="BG295" s="25">
        <f t="shared" si="265"/>
        <v>1</v>
      </c>
      <c r="BH295" s="29">
        <f t="shared" si="266"/>
        <v>479.22425692241666</v>
      </c>
      <c r="BI295" s="29">
        <f t="shared" si="267"/>
        <v>-558.44851384483331</v>
      </c>
      <c r="BJ295" s="29">
        <f t="shared" si="268"/>
        <v>27.076174800038835</v>
      </c>
    </row>
    <row r="296" spans="1:62">
      <c r="B296" s="29" t="s">
        <v>91</v>
      </c>
      <c r="C296" s="83" t="str">
        <f>'Cooler&amp;Wetter'!$B$1</f>
        <v>MIROC-Medres</v>
      </c>
      <c r="D296" s="89">
        <v>2070</v>
      </c>
      <c r="E296" s="90">
        <f>'Cooler&amp;Wetter'!AA98</f>
        <v>35.67</v>
      </c>
      <c r="F296" s="90">
        <f>'Cooler&amp;Wetter'!AC98</f>
        <v>24.68</v>
      </c>
      <c r="G296" s="35">
        <f t="shared" si="269"/>
        <v>2005</v>
      </c>
      <c r="H296" s="91" t="str">
        <f t="shared" si="249"/>
        <v>Pile 32 @ Berth 201</v>
      </c>
      <c r="I296" s="35" t="str">
        <f t="shared" si="250"/>
        <v>Turpentine Gum</v>
      </c>
      <c r="J296" s="35" t="str">
        <f t="shared" si="251"/>
        <v>HW1</v>
      </c>
      <c r="K296" s="35" t="str">
        <f t="shared" si="270"/>
        <v>SPHU</v>
      </c>
      <c r="L296" s="35">
        <f t="shared" si="252"/>
        <v>400</v>
      </c>
      <c r="M296" s="35">
        <f t="shared" si="253"/>
        <v>20</v>
      </c>
      <c r="N296" s="35">
        <f t="shared" si="254"/>
        <v>200</v>
      </c>
      <c r="O296" s="35" t="str">
        <f t="shared" si="255"/>
        <v>MTN2</v>
      </c>
      <c r="P296" s="35" t="str">
        <f t="shared" si="256"/>
        <v>CNT2</v>
      </c>
      <c r="Q296" s="35" t="str">
        <f t="shared" si="257"/>
        <v>KNT3</v>
      </c>
      <c r="R296" s="35" t="str">
        <f t="shared" si="258"/>
        <v>E</v>
      </c>
      <c r="S296" s="35" t="str">
        <f t="shared" si="259"/>
        <v>EXP1</v>
      </c>
      <c r="T296" s="58"/>
      <c r="U296" s="58"/>
      <c r="V296" s="58"/>
      <c r="W296" s="58"/>
      <c r="X296" s="58"/>
      <c r="Y296" s="58"/>
      <c r="Z296" s="58"/>
      <c r="AA296" s="95">
        <f t="shared" si="248"/>
        <v>1</v>
      </c>
      <c r="AB296" s="96">
        <f t="shared" si="271"/>
        <v>222.61062070033216</v>
      </c>
      <c r="AC296" s="58"/>
      <c r="AD296" s="58"/>
      <c r="AE296" s="58"/>
      <c r="AF296" s="58"/>
      <c r="AG296" s="58"/>
      <c r="AH296" s="58"/>
      <c r="AI296" s="58"/>
      <c r="AJ296" s="58"/>
      <c r="AK296" s="58"/>
      <c r="AL296" s="58"/>
      <c r="AM296" s="89">
        <f t="shared" si="272"/>
        <v>65</v>
      </c>
      <c r="AN296" s="30">
        <f t="shared" si="260"/>
        <v>35.67</v>
      </c>
      <c r="AO296" s="29">
        <f t="shared" si="261"/>
        <v>2.4739471386949639</v>
      </c>
      <c r="AP296" s="29">
        <f>IF((OR(R296="A",R296="B",R296="C")),INDEX(Coefficients!$S$4:$S$22,MATCH(J296,Coefficients!$R$4:$R$22)),INDEX(Coefficients!$T$4:$T$22,MATCH(J296,Coefficients!$R$4:$R$22)))</f>
        <v>1.3</v>
      </c>
      <c r="AQ296" s="27">
        <f>IF((OR(R296="A",R296="B",R296="C")),INDEX(Coefficients!$S$4:$S$22,MATCH(K296,Coefficients!$R$4:$R$22)),INDEX(Coefficients!$T$4:$T$22,MATCH(K296,Coefficients!$R$4:$R$22)))</f>
        <v>25</v>
      </c>
      <c r="AR296" s="27">
        <f>IF(OR(R296="A",R296="B",R296="C",R296="D"),IF(AN296&gt;=11,IF(AN296&gt;=26,Coefficients!$M$6,Coefficients!$M$5),Coefficients!$M$4),IF(AN296&gt;=11,IF(AN296&gt;=26,Coefficients!$N$6,Coefficients!$N$5),Coefficients!$N$4))</f>
        <v>1</v>
      </c>
      <c r="AS296" s="27">
        <f>INDEX(Coefficients!$X$3:$X$4,MATCH(S296,Coefficients!$W$3:$W$4))</f>
        <v>1</v>
      </c>
      <c r="AT296" s="27">
        <f>INDEX(Coefficients!$X$7:$X$8,MATCH(O296,Coefficients!$W$7:$W$8))</f>
        <v>1</v>
      </c>
      <c r="AU296" s="27">
        <f>INDEX(Coefficients!$X$11:$X$12,MATCH(P296,Coefficients!$W$11:$W$12))</f>
        <v>1</v>
      </c>
      <c r="AV296" s="27">
        <f>INDEX(Coefficients!$X$15:$X$17,MATCH(Q296,Coefficients!$W$15:$W$17))</f>
        <v>1</v>
      </c>
      <c r="AW296" s="27">
        <f t="shared" si="273"/>
        <v>1</v>
      </c>
      <c r="AX296" s="27">
        <f t="shared" si="274"/>
        <v>1</v>
      </c>
      <c r="AY296" s="27">
        <f t="shared" si="275"/>
        <v>1.3</v>
      </c>
      <c r="AZ296" s="29">
        <f t="shared" si="276"/>
        <v>61.8486784673741</v>
      </c>
      <c r="BA296" s="29">
        <f t="shared" si="277"/>
        <v>0</v>
      </c>
      <c r="BB296" s="29">
        <f t="shared" si="278"/>
        <v>3.2161312803034532</v>
      </c>
      <c r="BC296" s="29">
        <f t="shared" si="279"/>
        <v>1.6783868719696546</v>
      </c>
      <c r="BD296" s="29">
        <f t="shared" si="262"/>
        <v>0.32336988429834007</v>
      </c>
      <c r="BE296" s="16">
        <f t="shared" si="263"/>
        <v>222.61062070033216</v>
      </c>
      <c r="BF296" s="16">
        <f t="shared" si="264"/>
        <v>-45.221241400664326</v>
      </c>
      <c r="BG296" s="25">
        <f t="shared" si="265"/>
        <v>1</v>
      </c>
      <c r="BH296" s="29">
        <f t="shared" si="266"/>
        <v>489.74336554073079</v>
      </c>
      <c r="BI296" s="29">
        <f t="shared" si="267"/>
        <v>-579.48673108146158</v>
      </c>
      <c r="BJ296" s="29">
        <f t="shared" si="268"/>
        <v>26.876363240755694</v>
      </c>
    </row>
    <row r="297" spans="1:62" s="86" customFormat="1">
      <c r="A297" s="86" t="s">
        <v>199</v>
      </c>
      <c r="B297" s="86" t="str">
        <f>B298&amp;" "&amp;C298</f>
        <v>A1B MRI-CGCM2.3.2</v>
      </c>
      <c r="H297" s="77"/>
      <c r="AA297" s="97"/>
    </row>
    <row r="298" spans="1:62">
      <c r="B298" s="35" t="s">
        <v>133</v>
      </c>
      <c r="C298" s="35" t="str">
        <f>MostLikely!$B$1</f>
        <v>MRI-CGCM2.3.2</v>
      </c>
      <c r="D298" s="89">
        <v>2000</v>
      </c>
      <c r="E298" s="57">
        <f>'Cooler&amp;Wetter'!AA28</f>
        <v>35.508333333333333</v>
      </c>
      <c r="F298" s="36">
        <f>MostLikely!AD28</f>
        <v>21.604410516666668</v>
      </c>
      <c r="G298" s="35">
        <f>$G$10</f>
        <v>2005</v>
      </c>
      <c r="H298" s="91" t="str">
        <f t="shared" ref="H298:H361" si="280">$H$10</f>
        <v>Pile 32 @ Berth 201</v>
      </c>
      <c r="I298" s="35" t="str">
        <f t="shared" ref="I298:I361" si="281">$I$10</f>
        <v>Turpentine Gum</v>
      </c>
      <c r="J298" s="35" t="str">
        <f t="shared" ref="J298:J361" si="282">$J$10</f>
        <v>HW1</v>
      </c>
      <c r="K298" s="35" t="str">
        <f>$K$10</f>
        <v>SPHU</v>
      </c>
      <c r="L298" s="35">
        <f t="shared" ref="L298:L361" si="283">$L$10</f>
        <v>400</v>
      </c>
      <c r="M298" s="35">
        <f t="shared" ref="M298:M361" si="284">$M$10</f>
        <v>20</v>
      </c>
      <c r="N298" s="35">
        <f t="shared" ref="N298:N361" si="285">$N$10</f>
        <v>200</v>
      </c>
      <c r="O298" s="35" t="str">
        <f t="shared" ref="O298:O361" si="286">$O$10</f>
        <v>MTN2</v>
      </c>
      <c r="P298" s="35" t="str">
        <f t="shared" ref="P298:P361" si="287">$P$10</f>
        <v>CNT2</v>
      </c>
      <c r="Q298" s="35" t="str">
        <f t="shared" ref="Q298:Q361" si="288">$Q$10</f>
        <v>KNT3</v>
      </c>
      <c r="R298" s="35" t="str">
        <f t="shared" ref="R298:R361" si="289">$R$10</f>
        <v>E</v>
      </c>
      <c r="S298" s="35" t="str">
        <f t="shared" ref="S298:S361" si="290">$S$10</f>
        <v>EXP1</v>
      </c>
      <c r="T298" s="58"/>
      <c r="U298" s="58"/>
      <c r="V298" s="58"/>
      <c r="W298" s="58"/>
      <c r="X298" s="58"/>
      <c r="Y298" s="58"/>
      <c r="Z298" s="58"/>
      <c r="AA298" s="95">
        <f t="shared" si="248"/>
        <v>0</v>
      </c>
      <c r="AB298" s="96">
        <f>BE298</f>
        <v>0</v>
      </c>
      <c r="AC298" s="58"/>
      <c r="AD298" s="58"/>
      <c r="AE298" s="58"/>
      <c r="AF298" s="58"/>
      <c r="AG298" s="58"/>
      <c r="AH298" s="58"/>
      <c r="AI298" s="58"/>
      <c r="AJ298" s="58"/>
      <c r="AK298" s="58"/>
      <c r="AL298" s="58"/>
      <c r="AM298" s="89">
        <f>MAX(0,D298-G298)</f>
        <v>0</v>
      </c>
      <c r="AN298" s="36">
        <f t="shared" ref="AN298:AN329" si="291">E298</f>
        <v>35.508333333333333</v>
      </c>
      <c r="AO298" s="35">
        <f t="shared" ref="AO298:AO329" si="292">0.1*EXP(0.13*F298)</f>
        <v>1.658623885898906</v>
      </c>
      <c r="AP298" s="35">
        <f>IF((OR(R298="A",R298="B",R298="C")),INDEX(Coefficients!$S$4:$S$22,MATCH(J298,Coefficients!$R$4:$R$22)),INDEX(Coefficients!$T$4:$T$22,MATCH(J298,Coefficients!$R$4:$R$22)))</f>
        <v>1.3</v>
      </c>
      <c r="AQ298" s="27">
        <f>IF((OR(R298="A",R298="B",R298="C")),INDEX(Coefficients!$S$4:$S$22,MATCH(K298,Coefficients!$R$4:$R$22)),INDEX(Coefficients!$T$4:$T$22,MATCH(K298,Coefficients!$R$4:$R$22)))</f>
        <v>25</v>
      </c>
      <c r="AR298" s="27">
        <f>IF(OR(R298="A",R298="B",R298="C",R298="D"),IF(AN298&gt;=11,IF(AN298&gt;=26,Coefficients!$M$6,Coefficients!$M$5),Coefficients!$M$4),IF(AN298&gt;=11,IF(AN298&gt;=26,Coefficients!$N$6,Coefficients!$N$5),Coefficients!$N$4))</f>
        <v>1</v>
      </c>
      <c r="AS298" s="27">
        <f>INDEX(Coefficients!$X$3:$X$4,MATCH(S298,Coefficients!$W$3:$W$4))</f>
        <v>1</v>
      </c>
      <c r="AT298" s="27">
        <f>INDEX(Coefficients!$X$7:$X$8,MATCH(O298,Coefficients!$W$7:$W$8))</f>
        <v>1</v>
      </c>
      <c r="AU298" s="27">
        <f>INDEX(Coefficients!$X$11:$X$12,MATCH(P298,Coefficients!$W$11:$W$12))</f>
        <v>1</v>
      </c>
      <c r="AV298" s="27">
        <f>INDEX(Coefficients!$X$15:$X$17,MATCH(Q298,Coefficients!$W$15:$W$17))</f>
        <v>1</v>
      </c>
      <c r="AW298" s="27">
        <f>AR298*AS298</f>
        <v>1</v>
      </c>
      <c r="AX298" s="27">
        <f>AT298*AU298*AV298</f>
        <v>1</v>
      </c>
      <c r="AY298" s="27">
        <f>AP298*AR298*AS298*AT298*AU298*AV298</f>
        <v>1.3</v>
      </c>
      <c r="AZ298" s="35">
        <f>AO298*AQ298*AW298*AX298</f>
        <v>41.46559714747265</v>
      </c>
      <c r="BA298" s="35">
        <f>IF(AZ298&gt;=20,0,2-0.1*AZ298)</f>
        <v>0</v>
      </c>
      <c r="BB298" s="35">
        <f>AO298*AP298*AR298*AS298*AT298*AU298*AV298</f>
        <v>2.1562110516685777</v>
      </c>
      <c r="BC298" s="35">
        <f>IF(BB298&gt;=20,0,2-0.1*BB298)</f>
        <v>1.7843788948331423</v>
      </c>
      <c r="BD298" s="35">
        <f t="shared" ref="BD298:BD329" si="293">M298/AZ298+BA298</f>
        <v>0.48232755285953988</v>
      </c>
      <c r="BE298" s="16">
        <f t="shared" ref="BE298:BE329" si="294">IF(AM298&lt;=0,0,IF(AM298&gt;(BD298+BC298),M298+(AM298-BD298-BC298)*BB298,M298))</f>
        <v>0</v>
      </c>
      <c r="BF298" s="16">
        <f t="shared" ref="BF298:BF329" si="295">L298-2*BE298</f>
        <v>400</v>
      </c>
      <c r="BG298" s="25">
        <f t="shared" ref="BG298:BG329" si="296">IF(2*BE298&gt;(L298-N298),1,BE298/((L298-N298)/2))</f>
        <v>0</v>
      </c>
      <c r="BH298" s="35">
        <f t="shared" ref="BH298:BH329" si="297">BE298*(1+$BF$1*$BF$2)</f>
        <v>0</v>
      </c>
      <c r="BI298" s="35">
        <f t="shared" ref="BI298:BI329" si="298">L298-2*BH298</f>
        <v>400</v>
      </c>
      <c r="BJ298" s="35">
        <f t="shared" ref="BJ298:BJ329" si="299">($BF$3/2-M298)/BB298+BD298+BC298</f>
        <v>39.368825898426515</v>
      </c>
    </row>
    <row r="299" spans="1:62">
      <c r="B299" s="35" t="s">
        <v>133</v>
      </c>
      <c r="C299" s="84" t="str">
        <f>MostLikely!$B$1</f>
        <v>MRI-CGCM2.3.2</v>
      </c>
      <c r="D299" s="89">
        <v>2001</v>
      </c>
      <c r="E299" s="57">
        <f>'Cooler&amp;Wetter'!AA29</f>
        <v>35.509166666666665</v>
      </c>
      <c r="F299" s="90">
        <f>MostLikely!AD29</f>
        <v>21.614851568333332</v>
      </c>
      <c r="G299" s="35">
        <f t="shared" ref="G299:G362" si="300">$G$10</f>
        <v>2005</v>
      </c>
      <c r="H299" s="91" t="str">
        <f t="shared" si="280"/>
        <v>Pile 32 @ Berth 201</v>
      </c>
      <c r="I299" s="35" t="str">
        <f t="shared" si="281"/>
        <v>Turpentine Gum</v>
      </c>
      <c r="J299" s="35" t="str">
        <f t="shared" si="282"/>
        <v>HW1</v>
      </c>
      <c r="K299" s="35" t="str">
        <f t="shared" ref="K299:K362" si="301">$K$10</f>
        <v>SPHU</v>
      </c>
      <c r="L299" s="35">
        <f t="shared" si="283"/>
        <v>400</v>
      </c>
      <c r="M299" s="35">
        <f t="shared" si="284"/>
        <v>20</v>
      </c>
      <c r="N299" s="35">
        <f t="shared" si="285"/>
        <v>200</v>
      </c>
      <c r="O299" s="35" t="str">
        <f t="shared" si="286"/>
        <v>MTN2</v>
      </c>
      <c r="P299" s="35" t="str">
        <f t="shared" si="287"/>
        <v>CNT2</v>
      </c>
      <c r="Q299" s="35" t="str">
        <f t="shared" si="288"/>
        <v>KNT3</v>
      </c>
      <c r="R299" s="35" t="str">
        <f t="shared" si="289"/>
        <v>E</v>
      </c>
      <c r="S299" s="35" t="str">
        <f t="shared" si="290"/>
        <v>EXP1</v>
      </c>
      <c r="T299" s="58"/>
      <c r="U299" s="58"/>
      <c r="V299" s="58"/>
      <c r="W299" s="58"/>
      <c r="X299" s="58"/>
      <c r="Y299" s="58"/>
      <c r="Z299" s="58"/>
      <c r="AA299" s="95">
        <f t="shared" si="248"/>
        <v>0</v>
      </c>
      <c r="AB299" s="96">
        <f t="shared" ref="AB299:AB362" si="302">BE299</f>
        <v>0</v>
      </c>
      <c r="AC299" s="58"/>
      <c r="AD299" s="58"/>
      <c r="AE299" s="58"/>
      <c r="AF299" s="58"/>
      <c r="AG299" s="58"/>
      <c r="AH299" s="58"/>
      <c r="AI299" s="58"/>
      <c r="AJ299" s="58"/>
      <c r="AK299" s="58"/>
      <c r="AL299" s="58"/>
      <c r="AM299" s="89">
        <f t="shared" ref="AM299:AM362" si="303">MAX(0,D299-G299)</f>
        <v>0</v>
      </c>
      <c r="AN299" s="36">
        <f t="shared" si="291"/>
        <v>35.509166666666665</v>
      </c>
      <c r="AO299" s="35">
        <f t="shared" si="292"/>
        <v>1.660876725583508</v>
      </c>
      <c r="AP299" s="35">
        <f>IF((OR(R299="A",R299="B",R299="C")),INDEX(Coefficients!$S$4:$S$22,MATCH(J299,Coefficients!$R$4:$R$22)),INDEX(Coefficients!$T$4:$T$22,MATCH(J299,Coefficients!$R$4:$R$22)))</f>
        <v>1.3</v>
      </c>
      <c r="AQ299" s="27">
        <f>IF((OR(R299="A",R299="B",R299="C")),INDEX(Coefficients!$S$4:$S$22,MATCH(K299,Coefficients!$R$4:$R$22)),INDEX(Coefficients!$T$4:$T$22,MATCH(K299,Coefficients!$R$4:$R$22)))</f>
        <v>25</v>
      </c>
      <c r="AR299" s="27">
        <f>IF(OR(R299="A",R299="B",R299="C",R299="D"),IF(AN299&gt;=11,IF(AN299&gt;=26,Coefficients!$M$6,Coefficients!$M$5),Coefficients!$M$4),IF(AN299&gt;=11,IF(AN299&gt;=26,Coefficients!$N$6,Coefficients!$N$5),Coefficients!$N$4))</f>
        <v>1</v>
      </c>
      <c r="AS299" s="27">
        <f>INDEX(Coefficients!$X$3:$X$4,MATCH(S299,Coefficients!$W$3:$W$4))</f>
        <v>1</v>
      </c>
      <c r="AT299" s="27">
        <f>INDEX(Coefficients!$X$7:$X$8,MATCH(O299,Coefficients!$W$7:$W$8))</f>
        <v>1</v>
      </c>
      <c r="AU299" s="27">
        <f>INDEX(Coefficients!$X$11:$X$12,MATCH(P299,Coefficients!$W$11:$W$12))</f>
        <v>1</v>
      </c>
      <c r="AV299" s="27">
        <f>INDEX(Coefficients!$X$15:$X$17,MATCH(Q299,Coefficients!$W$15:$W$17))</f>
        <v>1</v>
      </c>
      <c r="AW299" s="27">
        <f t="shared" ref="AW299:AW362" si="304">AR299*AS299</f>
        <v>1</v>
      </c>
      <c r="AX299" s="27">
        <f t="shared" ref="AX299:AX362" si="305">AT299*AU299*AV299</f>
        <v>1</v>
      </c>
      <c r="AY299" s="27">
        <f t="shared" ref="AY299:AY362" si="306">AP299*AR299*AS299*AT299*AU299*AV299</f>
        <v>1.3</v>
      </c>
      <c r="AZ299" s="35">
        <f t="shared" ref="AZ299:AZ362" si="307">AO299*AQ299*AW299*AX299</f>
        <v>41.521918139587697</v>
      </c>
      <c r="BA299" s="35">
        <f t="shared" ref="BA299:BA362" si="308">IF(AZ299&gt;=20,0,2-0.1*AZ299)</f>
        <v>0</v>
      </c>
      <c r="BB299" s="35">
        <f t="shared" ref="BB299:BB362" si="309">AO299*AP299*AR299*AS299*AT299*AU299*AV299</f>
        <v>2.1591397432585606</v>
      </c>
      <c r="BC299" s="35">
        <f t="shared" ref="BC299:BC362" si="310">IF(BB299&gt;=20,0,2-0.1*BB299)</f>
        <v>1.784086025674144</v>
      </c>
      <c r="BD299" s="35">
        <f t="shared" si="293"/>
        <v>0.48167331607283487</v>
      </c>
      <c r="BE299" s="16">
        <f t="shared" si="294"/>
        <v>0</v>
      </c>
      <c r="BF299" s="16">
        <f t="shared" si="295"/>
        <v>400</v>
      </c>
      <c r="BG299" s="25">
        <f t="shared" si="296"/>
        <v>0</v>
      </c>
      <c r="BH299" s="35">
        <f t="shared" si="297"/>
        <v>0</v>
      </c>
      <c r="BI299" s="35">
        <f t="shared" si="298"/>
        <v>400</v>
      </c>
      <c r="BJ299" s="35">
        <f t="shared" si="299"/>
        <v>39.317552885811189</v>
      </c>
    </row>
    <row r="300" spans="1:62">
      <c r="B300" s="35" t="s">
        <v>133</v>
      </c>
      <c r="C300" s="84" t="str">
        <f>MostLikely!$B$1</f>
        <v>MRI-CGCM2.3.2</v>
      </c>
      <c r="D300" s="89">
        <v>2002</v>
      </c>
      <c r="E300" s="57">
        <f>'Cooler&amp;Wetter'!AA30</f>
        <v>35.51</v>
      </c>
      <c r="F300" s="90">
        <f>MostLikely!AD30</f>
        <v>21.62529262</v>
      </c>
      <c r="G300" s="35">
        <f t="shared" si="300"/>
        <v>2005</v>
      </c>
      <c r="H300" s="91" t="str">
        <f t="shared" si="280"/>
        <v>Pile 32 @ Berth 201</v>
      </c>
      <c r="I300" s="35" t="str">
        <f t="shared" si="281"/>
        <v>Turpentine Gum</v>
      </c>
      <c r="J300" s="35" t="str">
        <f t="shared" si="282"/>
        <v>HW1</v>
      </c>
      <c r="K300" s="35" t="str">
        <f t="shared" si="301"/>
        <v>SPHU</v>
      </c>
      <c r="L300" s="35">
        <f t="shared" si="283"/>
        <v>400</v>
      </c>
      <c r="M300" s="35">
        <f t="shared" si="284"/>
        <v>20</v>
      </c>
      <c r="N300" s="35">
        <f t="shared" si="285"/>
        <v>200</v>
      </c>
      <c r="O300" s="35" t="str">
        <f t="shared" si="286"/>
        <v>MTN2</v>
      </c>
      <c r="P300" s="35" t="str">
        <f t="shared" si="287"/>
        <v>CNT2</v>
      </c>
      <c r="Q300" s="35" t="str">
        <f t="shared" si="288"/>
        <v>KNT3</v>
      </c>
      <c r="R300" s="35" t="str">
        <f t="shared" si="289"/>
        <v>E</v>
      </c>
      <c r="S300" s="35" t="str">
        <f t="shared" si="290"/>
        <v>EXP1</v>
      </c>
      <c r="T300" s="58"/>
      <c r="U300" s="58"/>
      <c r="V300" s="58"/>
      <c r="W300" s="58"/>
      <c r="X300" s="58"/>
      <c r="Y300" s="58"/>
      <c r="Z300" s="58"/>
      <c r="AA300" s="95">
        <f t="shared" si="248"/>
        <v>0</v>
      </c>
      <c r="AB300" s="96">
        <f t="shared" si="302"/>
        <v>0</v>
      </c>
      <c r="AC300" s="58"/>
      <c r="AD300" s="58"/>
      <c r="AE300" s="58"/>
      <c r="AF300" s="58"/>
      <c r="AG300" s="58"/>
      <c r="AH300" s="58"/>
      <c r="AI300" s="58"/>
      <c r="AJ300" s="58"/>
      <c r="AK300" s="58"/>
      <c r="AL300" s="58"/>
      <c r="AM300" s="89">
        <f t="shared" si="303"/>
        <v>0</v>
      </c>
      <c r="AN300" s="36">
        <f t="shared" si="291"/>
        <v>35.51</v>
      </c>
      <c r="AO300" s="35">
        <f t="shared" si="292"/>
        <v>1.6631326252063445</v>
      </c>
      <c r="AP300" s="35">
        <f>IF((OR(R300="A",R300="B",R300="C")),INDEX(Coefficients!$S$4:$S$22,MATCH(J300,Coefficients!$R$4:$R$22)),INDEX(Coefficients!$T$4:$T$22,MATCH(J300,Coefficients!$R$4:$R$22)))</f>
        <v>1.3</v>
      </c>
      <c r="AQ300" s="27">
        <f>IF((OR(R300="A",R300="B",R300="C")),INDEX(Coefficients!$S$4:$S$22,MATCH(K300,Coefficients!$R$4:$R$22)),INDEX(Coefficients!$T$4:$T$22,MATCH(K300,Coefficients!$R$4:$R$22)))</f>
        <v>25</v>
      </c>
      <c r="AR300" s="27">
        <f>IF(OR(R300="A",R300="B",R300="C",R300="D"),IF(AN300&gt;=11,IF(AN300&gt;=26,Coefficients!$M$6,Coefficients!$M$5),Coefficients!$M$4),IF(AN300&gt;=11,IF(AN300&gt;=26,Coefficients!$N$6,Coefficients!$N$5),Coefficients!$N$4))</f>
        <v>1</v>
      </c>
      <c r="AS300" s="27">
        <f>INDEX(Coefficients!$X$3:$X$4,MATCH(S300,Coefficients!$W$3:$W$4))</f>
        <v>1</v>
      </c>
      <c r="AT300" s="27">
        <f>INDEX(Coefficients!$X$7:$X$8,MATCH(O300,Coefficients!$W$7:$W$8))</f>
        <v>1</v>
      </c>
      <c r="AU300" s="27">
        <f>INDEX(Coefficients!$X$11:$X$12,MATCH(P300,Coefficients!$W$11:$W$12))</f>
        <v>1</v>
      </c>
      <c r="AV300" s="27">
        <f>INDEX(Coefficients!$X$15:$X$17,MATCH(Q300,Coefficients!$W$15:$W$17))</f>
        <v>1</v>
      </c>
      <c r="AW300" s="27">
        <f t="shared" si="304"/>
        <v>1</v>
      </c>
      <c r="AX300" s="27">
        <f t="shared" si="305"/>
        <v>1</v>
      </c>
      <c r="AY300" s="27">
        <f t="shared" si="306"/>
        <v>1.3</v>
      </c>
      <c r="AZ300" s="35">
        <f t="shared" si="307"/>
        <v>41.578315630158613</v>
      </c>
      <c r="BA300" s="35">
        <f t="shared" si="308"/>
        <v>0</v>
      </c>
      <c r="BB300" s="35">
        <f t="shared" si="309"/>
        <v>2.1620724127682478</v>
      </c>
      <c r="BC300" s="35">
        <f t="shared" si="310"/>
        <v>1.7837927587231752</v>
      </c>
      <c r="BD300" s="35">
        <f t="shared" si="293"/>
        <v>0.48101996670334346</v>
      </c>
      <c r="BE300" s="16">
        <f t="shared" si="294"/>
        <v>0</v>
      </c>
      <c r="BF300" s="16">
        <f t="shared" si="295"/>
        <v>400</v>
      </c>
      <c r="BG300" s="25">
        <f t="shared" si="296"/>
        <v>0</v>
      </c>
      <c r="BH300" s="35">
        <f t="shared" si="297"/>
        <v>0</v>
      </c>
      <c r="BI300" s="35">
        <f t="shared" si="298"/>
        <v>400</v>
      </c>
      <c r="BJ300" s="35">
        <f t="shared" si="299"/>
        <v>39.266348625683705</v>
      </c>
    </row>
    <row r="301" spans="1:62">
      <c r="B301" s="35" t="s">
        <v>133</v>
      </c>
      <c r="C301" s="84" t="str">
        <f>MostLikely!$B$1</f>
        <v>MRI-CGCM2.3.2</v>
      </c>
      <c r="D301" s="89">
        <v>2003</v>
      </c>
      <c r="E301" s="57">
        <f>'Cooler&amp;Wetter'!AA31</f>
        <v>35.510833333333331</v>
      </c>
      <c r="F301" s="90">
        <f>MostLikely!AD31</f>
        <v>21.635733671666667</v>
      </c>
      <c r="G301" s="35">
        <f t="shared" si="300"/>
        <v>2005</v>
      </c>
      <c r="H301" s="91" t="str">
        <f t="shared" si="280"/>
        <v>Pile 32 @ Berth 201</v>
      </c>
      <c r="I301" s="35" t="str">
        <f t="shared" si="281"/>
        <v>Turpentine Gum</v>
      </c>
      <c r="J301" s="35" t="str">
        <f t="shared" si="282"/>
        <v>HW1</v>
      </c>
      <c r="K301" s="35" t="str">
        <f t="shared" si="301"/>
        <v>SPHU</v>
      </c>
      <c r="L301" s="35">
        <f t="shared" si="283"/>
        <v>400</v>
      </c>
      <c r="M301" s="35">
        <f t="shared" si="284"/>
        <v>20</v>
      </c>
      <c r="N301" s="35">
        <f t="shared" si="285"/>
        <v>200</v>
      </c>
      <c r="O301" s="35" t="str">
        <f t="shared" si="286"/>
        <v>MTN2</v>
      </c>
      <c r="P301" s="35" t="str">
        <f t="shared" si="287"/>
        <v>CNT2</v>
      </c>
      <c r="Q301" s="35" t="str">
        <f t="shared" si="288"/>
        <v>KNT3</v>
      </c>
      <c r="R301" s="35" t="str">
        <f t="shared" si="289"/>
        <v>E</v>
      </c>
      <c r="S301" s="35" t="str">
        <f t="shared" si="290"/>
        <v>EXP1</v>
      </c>
      <c r="T301" s="58"/>
      <c r="U301" s="58"/>
      <c r="V301" s="58"/>
      <c r="W301" s="58"/>
      <c r="X301" s="58"/>
      <c r="Y301" s="58"/>
      <c r="Z301" s="58"/>
      <c r="AA301" s="95">
        <f t="shared" si="248"/>
        <v>0</v>
      </c>
      <c r="AB301" s="96">
        <f t="shared" si="302"/>
        <v>0</v>
      </c>
      <c r="AC301" s="58"/>
      <c r="AD301" s="58"/>
      <c r="AE301" s="58"/>
      <c r="AF301" s="58"/>
      <c r="AG301" s="58"/>
      <c r="AH301" s="58"/>
      <c r="AI301" s="58"/>
      <c r="AJ301" s="58"/>
      <c r="AK301" s="58"/>
      <c r="AL301" s="58"/>
      <c r="AM301" s="89">
        <f t="shared" si="303"/>
        <v>0</v>
      </c>
      <c r="AN301" s="36">
        <f t="shared" si="291"/>
        <v>35.510833333333331</v>
      </c>
      <c r="AO301" s="35">
        <f t="shared" si="292"/>
        <v>1.6653915889236015</v>
      </c>
      <c r="AP301" s="35">
        <f>IF((OR(R301="A",R301="B",R301="C")),INDEX(Coefficients!$S$4:$S$22,MATCH(J301,Coefficients!$R$4:$R$22)),INDEX(Coefficients!$T$4:$T$22,MATCH(J301,Coefficients!$R$4:$R$22)))</f>
        <v>1.3</v>
      </c>
      <c r="AQ301" s="27">
        <f>IF((OR(R301="A",R301="B",R301="C")),INDEX(Coefficients!$S$4:$S$22,MATCH(K301,Coefficients!$R$4:$R$22)),INDEX(Coefficients!$T$4:$T$22,MATCH(K301,Coefficients!$R$4:$R$22)))</f>
        <v>25</v>
      </c>
      <c r="AR301" s="27">
        <f>IF(OR(R301="A",R301="B",R301="C",R301="D"),IF(AN301&gt;=11,IF(AN301&gt;=26,Coefficients!$M$6,Coefficients!$M$5),Coefficients!$M$4),IF(AN301&gt;=11,IF(AN301&gt;=26,Coefficients!$N$6,Coefficients!$N$5),Coefficients!$N$4))</f>
        <v>1</v>
      </c>
      <c r="AS301" s="27">
        <f>INDEX(Coefficients!$X$3:$X$4,MATCH(S301,Coefficients!$W$3:$W$4))</f>
        <v>1</v>
      </c>
      <c r="AT301" s="27">
        <f>INDEX(Coefficients!$X$7:$X$8,MATCH(O301,Coefficients!$W$7:$W$8))</f>
        <v>1</v>
      </c>
      <c r="AU301" s="27">
        <f>INDEX(Coefficients!$X$11:$X$12,MATCH(P301,Coefficients!$W$11:$W$12))</f>
        <v>1</v>
      </c>
      <c r="AV301" s="27">
        <f>INDEX(Coefficients!$X$15:$X$17,MATCH(Q301,Coefficients!$W$15:$W$17))</f>
        <v>1</v>
      </c>
      <c r="AW301" s="27">
        <f t="shared" si="304"/>
        <v>1</v>
      </c>
      <c r="AX301" s="27">
        <f t="shared" si="305"/>
        <v>1</v>
      </c>
      <c r="AY301" s="27">
        <f t="shared" si="306"/>
        <v>1.3</v>
      </c>
      <c r="AZ301" s="35">
        <f t="shared" si="307"/>
        <v>41.634789723090037</v>
      </c>
      <c r="BA301" s="35">
        <f t="shared" si="308"/>
        <v>0</v>
      </c>
      <c r="BB301" s="35">
        <f t="shared" si="309"/>
        <v>2.1650090656006822</v>
      </c>
      <c r="BC301" s="35">
        <f t="shared" si="310"/>
        <v>1.7834990934399317</v>
      </c>
      <c r="BD301" s="35">
        <f t="shared" si="293"/>
        <v>0.48036750354735902</v>
      </c>
      <c r="BE301" s="16">
        <f t="shared" si="294"/>
        <v>0</v>
      </c>
      <c r="BF301" s="16">
        <f t="shared" si="295"/>
        <v>400</v>
      </c>
      <c r="BG301" s="25">
        <f t="shared" si="296"/>
        <v>0</v>
      </c>
      <c r="BH301" s="35">
        <f t="shared" si="297"/>
        <v>0</v>
      </c>
      <c r="BI301" s="35">
        <f t="shared" si="298"/>
        <v>400</v>
      </c>
      <c r="BJ301" s="35">
        <f t="shared" si="299"/>
        <v>39.215213023707207</v>
      </c>
    </row>
    <row r="302" spans="1:62">
      <c r="B302" s="35" t="s">
        <v>133</v>
      </c>
      <c r="C302" s="84" t="str">
        <f>MostLikely!$B$1</f>
        <v>MRI-CGCM2.3.2</v>
      </c>
      <c r="D302" s="89">
        <v>2004</v>
      </c>
      <c r="E302" s="57">
        <f>'Cooler&amp;Wetter'!AA32</f>
        <v>35.511666666666663</v>
      </c>
      <c r="F302" s="90">
        <f>MostLikely!AD32</f>
        <v>21.646174723333331</v>
      </c>
      <c r="G302" s="35">
        <f t="shared" si="300"/>
        <v>2005</v>
      </c>
      <c r="H302" s="91" t="str">
        <f t="shared" si="280"/>
        <v>Pile 32 @ Berth 201</v>
      </c>
      <c r="I302" s="35" t="str">
        <f t="shared" si="281"/>
        <v>Turpentine Gum</v>
      </c>
      <c r="J302" s="35" t="str">
        <f t="shared" si="282"/>
        <v>HW1</v>
      </c>
      <c r="K302" s="35" t="str">
        <f t="shared" si="301"/>
        <v>SPHU</v>
      </c>
      <c r="L302" s="35">
        <f t="shared" si="283"/>
        <v>400</v>
      </c>
      <c r="M302" s="35">
        <f t="shared" si="284"/>
        <v>20</v>
      </c>
      <c r="N302" s="35">
        <f t="shared" si="285"/>
        <v>200</v>
      </c>
      <c r="O302" s="35" t="str">
        <f t="shared" si="286"/>
        <v>MTN2</v>
      </c>
      <c r="P302" s="35" t="str">
        <f t="shared" si="287"/>
        <v>CNT2</v>
      </c>
      <c r="Q302" s="35" t="str">
        <f t="shared" si="288"/>
        <v>KNT3</v>
      </c>
      <c r="R302" s="35" t="str">
        <f t="shared" si="289"/>
        <v>E</v>
      </c>
      <c r="S302" s="35" t="str">
        <f t="shared" si="290"/>
        <v>EXP1</v>
      </c>
      <c r="T302" s="58"/>
      <c r="U302" s="58"/>
      <c r="V302" s="58"/>
      <c r="W302" s="58"/>
      <c r="X302" s="58"/>
      <c r="Y302" s="58"/>
      <c r="Z302" s="58"/>
      <c r="AA302" s="95">
        <f t="shared" si="248"/>
        <v>0</v>
      </c>
      <c r="AB302" s="96">
        <f t="shared" si="302"/>
        <v>0</v>
      </c>
      <c r="AC302" s="58"/>
      <c r="AD302" s="58"/>
      <c r="AE302" s="58"/>
      <c r="AF302" s="58"/>
      <c r="AG302" s="58"/>
      <c r="AH302" s="58"/>
      <c r="AI302" s="58"/>
      <c r="AJ302" s="58"/>
      <c r="AK302" s="58"/>
      <c r="AL302" s="58"/>
      <c r="AM302" s="89">
        <f t="shared" si="303"/>
        <v>0</v>
      </c>
      <c r="AN302" s="36">
        <f t="shared" si="291"/>
        <v>35.511666666666663</v>
      </c>
      <c r="AO302" s="35">
        <f t="shared" si="292"/>
        <v>1.6676536208971109</v>
      </c>
      <c r="AP302" s="35">
        <f>IF((OR(R302="A",R302="B",R302="C")),INDEX(Coefficients!$S$4:$S$22,MATCH(J302,Coefficients!$R$4:$R$22)),INDEX(Coefficients!$T$4:$T$22,MATCH(J302,Coefficients!$R$4:$R$22)))</f>
        <v>1.3</v>
      </c>
      <c r="AQ302" s="27">
        <f>IF((OR(R302="A",R302="B",R302="C")),INDEX(Coefficients!$S$4:$S$22,MATCH(K302,Coefficients!$R$4:$R$22)),INDEX(Coefficients!$T$4:$T$22,MATCH(K302,Coefficients!$R$4:$R$22)))</f>
        <v>25</v>
      </c>
      <c r="AR302" s="27">
        <f>IF(OR(R302="A",R302="B",R302="C",R302="D"),IF(AN302&gt;=11,IF(AN302&gt;=26,Coefficients!$M$6,Coefficients!$M$5),Coefficients!$M$4),IF(AN302&gt;=11,IF(AN302&gt;=26,Coefficients!$N$6,Coefficients!$N$5),Coefficients!$N$4))</f>
        <v>1</v>
      </c>
      <c r="AS302" s="27">
        <f>INDEX(Coefficients!$X$3:$X$4,MATCH(S302,Coefficients!$W$3:$W$4))</f>
        <v>1</v>
      </c>
      <c r="AT302" s="27">
        <f>INDEX(Coefficients!$X$7:$X$8,MATCH(O302,Coefficients!$W$7:$W$8))</f>
        <v>1</v>
      </c>
      <c r="AU302" s="27">
        <f>INDEX(Coefficients!$X$11:$X$12,MATCH(P302,Coefficients!$W$11:$W$12))</f>
        <v>1</v>
      </c>
      <c r="AV302" s="27">
        <f>INDEX(Coefficients!$X$15:$X$17,MATCH(Q302,Coefficients!$W$15:$W$17))</f>
        <v>1</v>
      </c>
      <c r="AW302" s="27">
        <f t="shared" si="304"/>
        <v>1</v>
      </c>
      <c r="AX302" s="27">
        <f t="shared" si="305"/>
        <v>1</v>
      </c>
      <c r="AY302" s="27">
        <f t="shared" si="306"/>
        <v>1.3</v>
      </c>
      <c r="AZ302" s="35">
        <f t="shared" si="307"/>
        <v>41.691340522427772</v>
      </c>
      <c r="BA302" s="35">
        <f t="shared" si="308"/>
        <v>0</v>
      </c>
      <c r="BB302" s="35">
        <f t="shared" si="309"/>
        <v>2.1679497071662444</v>
      </c>
      <c r="BC302" s="35">
        <f t="shared" si="310"/>
        <v>1.7832050292833754</v>
      </c>
      <c r="BD302" s="35">
        <f t="shared" si="293"/>
        <v>0.47971592540280733</v>
      </c>
      <c r="BE302" s="16">
        <f t="shared" si="294"/>
        <v>0</v>
      </c>
      <c r="BF302" s="16">
        <f t="shared" si="295"/>
        <v>400</v>
      </c>
      <c r="BG302" s="25">
        <f t="shared" si="296"/>
        <v>0</v>
      </c>
      <c r="BH302" s="35">
        <f t="shared" si="297"/>
        <v>0</v>
      </c>
      <c r="BI302" s="35">
        <f t="shared" si="298"/>
        <v>400</v>
      </c>
      <c r="BJ302" s="35">
        <f t="shared" si="299"/>
        <v>39.164145985671354</v>
      </c>
    </row>
    <row r="303" spans="1:62">
      <c r="B303" s="35" t="s">
        <v>133</v>
      </c>
      <c r="C303" s="84" t="str">
        <f>MostLikely!$B$1</f>
        <v>MRI-CGCM2.3.2</v>
      </c>
      <c r="D303" s="89">
        <v>2005</v>
      </c>
      <c r="E303" s="57">
        <f>'Cooler&amp;Wetter'!AA33</f>
        <v>35.512500000000003</v>
      </c>
      <c r="F303" s="90">
        <f>MostLikely!AD33</f>
        <v>21.656615774999999</v>
      </c>
      <c r="G303" s="35">
        <f t="shared" si="300"/>
        <v>2005</v>
      </c>
      <c r="H303" s="91" t="str">
        <f t="shared" si="280"/>
        <v>Pile 32 @ Berth 201</v>
      </c>
      <c r="I303" s="35" t="str">
        <f t="shared" si="281"/>
        <v>Turpentine Gum</v>
      </c>
      <c r="J303" s="35" t="str">
        <f t="shared" si="282"/>
        <v>HW1</v>
      </c>
      <c r="K303" s="35" t="str">
        <f t="shared" si="301"/>
        <v>SPHU</v>
      </c>
      <c r="L303" s="35">
        <f t="shared" si="283"/>
        <v>400</v>
      </c>
      <c r="M303" s="35">
        <f t="shared" si="284"/>
        <v>20</v>
      </c>
      <c r="N303" s="35">
        <f t="shared" si="285"/>
        <v>200</v>
      </c>
      <c r="O303" s="35" t="str">
        <f t="shared" si="286"/>
        <v>MTN2</v>
      </c>
      <c r="P303" s="35" t="str">
        <f t="shared" si="287"/>
        <v>CNT2</v>
      </c>
      <c r="Q303" s="35" t="str">
        <f t="shared" si="288"/>
        <v>KNT3</v>
      </c>
      <c r="R303" s="35" t="str">
        <f t="shared" si="289"/>
        <v>E</v>
      </c>
      <c r="S303" s="35" t="str">
        <f t="shared" si="290"/>
        <v>EXP1</v>
      </c>
      <c r="T303" s="58"/>
      <c r="U303" s="58"/>
      <c r="V303" s="58"/>
      <c r="W303" s="58"/>
      <c r="X303" s="58"/>
      <c r="Y303" s="58"/>
      <c r="Z303" s="58"/>
      <c r="AA303" s="95">
        <f t="shared" si="248"/>
        <v>0</v>
      </c>
      <c r="AB303" s="96">
        <f t="shared" si="302"/>
        <v>0</v>
      </c>
      <c r="AC303" s="58"/>
      <c r="AD303" s="58"/>
      <c r="AE303" s="58"/>
      <c r="AF303" s="58"/>
      <c r="AG303" s="58"/>
      <c r="AH303" s="58"/>
      <c r="AI303" s="58"/>
      <c r="AJ303" s="58"/>
      <c r="AK303" s="58"/>
      <c r="AL303" s="58"/>
      <c r="AM303" s="89">
        <f t="shared" si="303"/>
        <v>0</v>
      </c>
      <c r="AN303" s="36">
        <f t="shared" si="291"/>
        <v>35.512500000000003</v>
      </c>
      <c r="AO303" s="35">
        <f t="shared" si="292"/>
        <v>1.669918725294357</v>
      </c>
      <c r="AP303" s="35">
        <f>IF((OR(R303="A",R303="B",R303="C")),INDEX(Coefficients!$S$4:$S$22,MATCH(J303,Coefficients!$R$4:$R$22)),INDEX(Coefficients!$T$4:$T$22,MATCH(J303,Coefficients!$R$4:$R$22)))</f>
        <v>1.3</v>
      </c>
      <c r="AQ303" s="27">
        <f>IF((OR(R303="A",R303="B",R303="C")),INDEX(Coefficients!$S$4:$S$22,MATCH(K303,Coefficients!$R$4:$R$22)),INDEX(Coefficients!$T$4:$T$22,MATCH(K303,Coefficients!$R$4:$R$22)))</f>
        <v>25</v>
      </c>
      <c r="AR303" s="27">
        <f>IF(OR(R303="A",R303="B",R303="C",R303="D"),IF(AN303&gt;=11,IF(AN303&gt;=26,Coefficients!$M$6,Coefficients!$M$5),Coefficients!$M$4),IF(AN303&gt;=11,IF(AN303&gt;=26,Coefficients!$N$6,Coefficients!$N$5),Coefficients!$N$4))</f>
        <v>1</v>
      </c>
      <c r="AS303" s="27">
        <f>INDEX(Coefficients!$X$3:$X$4,MATCH(S303,Coefficients!$W$3:$W$4))</f>
        <v>1</v>
      </c>
      <c r="AT303" s="27">
        <f>INDEX(Coefficients!$X$7:$X$8,MATCH(O303,Coefficients!$W$7:$W$8))</f>
        <v>1</v>
      </c>
      <c r="AU303" s="27">
        <f>INDEX(Coefficients!$X$11:$X$12,MATCH(P303,Coefficients!$W$11:$W$12))</f>
        <v>1</v>
      </c>
      <c r="AV303" s="27">
        <f>INDEX(Coefficients!$X$15:$X$17,MATCH(Q303,Coefficients!$W$15:$W$17))</f>
        <v>1</v>
      </c>
      <c r="AW303" s="27">
        <f t="shared" si="304"/>
        <v>1</v>
      </c>
      <c r="AX303" s="27">
        <f t="shared" si="305"/>
        <v>1</v>
      </c>
      <c r="AY303" s="27">
        <f t="shared" si="306"/>
        <v>1.3</v>
      </c>
      <c r="AZ303" s="35">
        <f t="shared" si="307"/>
        <v>41.747968132358928</v>
      </c>
      <c r="BA303" s="35">
        <f t="shared" si="308"/>
        <v>0</v>
      </c>
      <c r="BB303" s="35">
        <f t="shared" si="309"/>
        <v>2.1708943428826641</v>
      </c>
      <c r="BC303" s="35">
        <f t="shared" si="310"/>
        <v>1.7829105657117337</v>
      </c>
      <c r="BD303" s="35">
        <f t="shared" si="293"/>
        <v>0.47906523106924487</v>
      </c>
      <c r="BE303" s="16">
        <f t="shared" si="294"/>
        <v>0</v>
      </c>
      <c r="BF303" s="16">
        <f t="shared" si="295"/>
        <v>400</v>
      </c>
      <c r="BG303" s="25">
        <f t="shared" si="296"/>
        <v>0</v>
      </c>
      <c r="BH303" s="35">
        <f t="shared" si="297"/>
        <v>0</v>
      </c>
      <c r="BI303" s="35">
        <f t="shared" si="298"/>
        <v>400</v>
      </c>
      <c r="BJ303" s="35">
        <f t="shared" si="299"/>
        <v>39.113147417492115</v>
      </c>
    </row>
    <row r="304" spans="1:62">
      <c r="B304" s="35" t="s">
        <v>133</v>
      </c>
      <c r="C304" s="84" t="str">
        <f>MostLikely!$B$1</f>
        <v>MRI-CGCM2.3.2</v>
      </c>
      <c r="D304" s="89">
        <v>2006</v>
      </c>
      <c r="E304" s="57">
        <f>'Cooler&amp;Wetter'!AA34</f>
        <v>35.513333333333335</v>
      </c>
      <c r="F304" s="90">
        <f>MostLikely!AD34</f>
        <v>21.667056826666666</v>
      </c>
      <c r="G304" s="35">
        <f t="shared" si="300"/>
        <v>2005</v>
      </c>
      <c r="H304" s="91" t="str">
        <f t="shared" si="280"/>
        <v>Pile 32 @ Berth 201</v>
      </c>
      <c r="I304" s="35" t="str">
        <f t="shared" si="281"/>
        <v>Turpentine Gum</v>
      </c>
      <c r="J304" s="35" t="str">
        <f t="shared" si="282"/>
        <v>HW1</v>
      </c>
      <c r="K304" s="35" t="str">
        <f t="shared" si="301"/>
        <v>SPHU</v>
      </c>
      <c r="L304" s="35">
        <f t="shared" si="283"/>
        <v>400</v>
      </c>
      <c r="M304" s="35">
        <f t="shared" si="284"/>
        <v>20</v>
      </c>
      <c r="N304" s="35">
        <f t="shared" si="285"/>
        <v>200</v>
      </c>
      <c r="O304" s="35" t="str">
        <f t="shared" si="286"/>
        <v>MTN2</v>
      </c>
      <c r="P304" s="35" t="str">
        <f t="shared" si="287"/>
        <v>CNT2</v>
      </c>
      <c r="Q304" s="35" t="str">
        <f t="shared" si="288"/>
        <v>KNT3</v>
      </c>
      <c r="R304" s="35" t="str">
        <f t="shared" si="289"/>
        <v>E</v>
      </c>
      <c r="S304" s="35" t="str">
        <f t="shared" si="290"/>
        <v>EXP1</v>
      </c>
      <c r="T304" s="58"/>
      <c r="U304" s="58"/>
      <c r="V304" s="58"/>
      <c r="W304" s="58"/>
      <c r="X304" s="58"/>
      <c r="Y304" s="58"/>
      <c r="Z304" s="58"/>
      <c r="AA304" s="95">
        <f t="shared" si="248"/>
        <v>0.2</v>
      </c>
      <c r="AB304" s="96">
        <f t="shared" si="302"/>
        <v>20</v>
      </c>
      <c r="AC304" s="58"/>
      <c r="AD304" s="58"/>
      <c r="AE304" s="58"/>
      <c r="AF304" s="58"/>
      <c r="AG304" s="58"/>
      <c r="AH304" s="58"/>
      <c r="AI304" s="58"/>
      <c r="AJ304" s="58"/>
      <c r="AK304" s="58"/>
      <c r="AL304" s="58"/>
      <c r="AM304" s="89">
        <f t="shared" si="303"/>
        <v>1</v>
      </c>
      <c r="AN304" s="36">
        <f t="shared" si="291"/>
        <v>35.513333333333335</v>
      </c>
      <c r="AO304" s="35">
        <f t="shared" si="292"/>
        <v>1.6721869062884864</v>
      </c>
      <c r="AP304" s="35">
        <f>IF((OR(R304="A",R304="B",R304="C")),INDEX(Coefficients!$S$4:$S$22,MATCH(J304,Coefficients!$R$4:$R$22)),INDEX(Coefficients!$T$4:$T$22,MATCH(J304,Coefficients!$R$4:$R$22)))</f>
        <v>1.3</v>
      </c>
      <c r="AQ304" s="27">
        <f>IF((OR(R304="A",R304="B",R304="C")),INDEX(Coefficients!$S$4:$S$22,MATCH(K304,Coefficients!$R$4:$R$22)),INDEX(Coefficients!$T$4:$T$22,MATCH(K304,Coefficients!$R$4:$R$22)))</f>
        <v>25</v>
      </c>
      <c r="AR304" s="27">
        <f>IF(OR(R304="A",R304="B",R304="C",R304="D"),IF(AN304&gt;=11,IF(AN304&gt;=26,Coefficients!$M$6,Coefficients!$M$5),Coefficients!$M$4),IF(AN304&gt;=11,IF(AN304&gt;=26,Coefficients!$N$6,Coefficients!$N$5),Coefficients!$N$4))</f>
        <v>1</v>
      </c>
      <c r="AS304" s="27">
        <f>INDEX(Coefficients!$X$3:$X$4,MATCH(S304,Coefficients!$W$3:$W$4))</f>
        <v>1</v>
      </c>
      <c r="AT304" s="27">
        <f>INDEX(Coefficients!$X$7:$X$8,MATCH(O304,Coefficients!$W$7:$W$8))</f>
        <v>1</v>
      </c>
      <c r="AU304" s="27">
        <f>INDEX(Coefficients!$X$11:$X$12,MATCH(P304,Coefficients!$W$11:$W$12))</f>
        <v>1</v>
      </c>
      <c r="AV304" s="27">
        <f>INDEX(Coefficients!$X$15:$X$17,MATCH(Q304,Coefficients!$W$15:$W$17))</f>
        <v>1</v>
      </c>
      <c r="AW304" s="27">
        <f t="shared" si="304"/>
        <v>1</v>
      </c>
      <c r="AX304" s="27">
        <f t="shared" si="305"/>
        <v>1</v>
      </c>
      <c r="AY304" s="27">
        <f t="shared" si="306"/>
        <v>1.3</v>
      </c>
      <c r="AZ304" s="35">
        <f t="shared" si="307"/>
        <v>41.804672657212159</v>
      </c>
      <c r="BA304" s="35">
        <f t="shared" si="308"/>
        <v>0</v>
      </c>
      <c r="BB304" s="35">
        <f t="shared" si="309"/>
        <v>2.1738429781750326</v>
      </c>
      <c r="BC304" s="35">
        <f t="shared" si="310"/>
        <v>1.7826157021824967</v>
      </c>
      <c r="BD304" s="35">
        <f t="shared" si="293"/>
        <v>0.47841541934785592</v>
      </c>
      <c r="BE304" s="16">
        <f t="shared" si="294"/>
        <v>20</v>
      </c>
      <c r="BF304" s="16">
        <f t="shared" si="295"/>
        <v>360</v>
      </c>
      <c r="BG304" s="25">
        <f t="shared" si="296"/>
        <v>0.2</v>
      </c>
      <c r="BH304" s="35">
        <f t="shared" si="297"/>
        <v>44</v>
      </c>
      <c r="BI304" s="35">
        <f t="shared" si="298"/>
        <v>312</v>
      </c>
      <c r="BJ304" s="35">
        <f t="shared" si="299"/>
        <v>39.062217225211569</v>
      </c>
    </row>
    <row r="305" spans="2:62">
      <c r="B305" s="35" t="s">
        <v>133</v>
      </c>
      <c r="C305" s="84" t="str">
        <f>MostLikely!$B$1</f>
        <v>MRI-CGCM2.3.2</v>
      </c>
      <c r="D305" s="89">
        <v>2007</v>
      </c>
      <c r="E305" s="57">
        <f>'Cooler&amp;Wetter'!AA35</f>
        <v>35.514166666666668</v>
      </c>
      <c r="F305" s="90">
        <f>MostLikely!AD35</f>
        <v>21.677497878333334</v>
      </c>
      <c r="G305" s="35">
        <f t="shared" si="300"/>
        <v>2005</v>
      </c>
      <c r="H305" s="91" t="str">
        <f t="shared" si="280"/>
        <v>Pile 32 @ Berth 201</v>
      </c>
      <c r="I305" s="35" t="str">
        <f t="shared" si="281"/>
        <v>Turpentine Gum</v>
      </c>
      <c r="J305" s="35" t="str">
        <f t="shared" si="282"/>
        <v>HW1</v>
      </c>
      <c r="K305" s="35" t="str">
        <f t="shared" si="301"/>
        <v>SPHU</v>
      </c>
      <c r="L305" s="35">
        <f t="shared" si="283"/>
        <v>400</v>
      </c>
      <c r="M305" s="35">
        <f t="shared" si="284"/>
        <v>20</v>
      </c>
      <c r="N305" s="35">
        <f t="shared" si="285"/>
        <v>200</v>
      </c>
      <c r="O305" s="35" t="str">
        <f t="shared" si="286"/>
        <v>MTN2</v>
      </c>
      <c r="P305" s="35" t="str">
        <f t="shared" si="287"/>
        <v>CNT2</v>
      </c>
      <c r="Q305" s="35" t="str">
        <f t="shared" si="288"/>
        <v>KNT3</v>
      </c>
      <c r="R305" s="35" t="str">
        <f t="shared" si="289"/>
        <v>E</v>
      </c>
      <c r="S305" s="35" t="str">
        <f t="shared" si="290"/>
        <v>EXP1</v>
      </c>
      <c r="T305" s="58"/>
      <c r="U305" s="58"/>
      <c r="V305" s="58"/>
      <c r="W305" s="58"/>
      <c r="X305" s="58"/>
      <c r="Y305" s="58"/>
      <c r="Z305" s="58"/>
      <c r="AA305" s="95">
        <f t="shared" si="248"/>
        <v>0.2</v>
      </c>
      <c r="AB305" s="96">
        <f t="shared" si="302"/>
        <v>20</v>
      </c>
      <c r="AC305" s="58"/>
      <c r="AD305" s="58"/>
      <c r="AE305" s="58"/>
      <c r="AF305" s="58"/>
      <c r="AG305" s="58"/>
      <c r="AH305" s="58"/>
      <c r="AI305" s="58"/>
      <c r="AJ305" s="58"/>
      <c r="AK305" s="58"/>
      <c r="AL305" s="58"/>
      <c r="AM305" s="89">
        <f t="shared" si="303"/>
        <v>2</v>
      </c>
      <c r="AN305" s="36">
        <f t="shared" si="291"/>
        <v>35.514166666666668</v>
      </c>
      <c r="AO305" s="35">
        <f t="shared" si="292"/>
        <v>1.6744581680583099</v>
      </c>
      <c r="AP305" s="35">
        <f>IF((OR(R305="A",R305="B",R305="C")),INDEX(Coefficients!$S$4:$S$22,MATCH(J305,Coefficients!$R$4:$R$22)),INDEX(Coefficients!$T$4:$T$22,MATCH(J305,Coefficients!$R$4:$R$22)))</f>
        <v>1.3</v>
      </c>
      <c r="AQ305" s="27">
        <f>IF((OR(R305="A",R305="B",R305="C")),INDEX(Coefficients!$S$4:$S$22,MATCH(K305,Coefficients!$R$4:$R$22)),INDEX(Coefficients!$T$4:$T$22,MATCH(K305,Coefficients!$R$4:$R$22)))</f>
        <v>25</v>
      </c>
      <c r="AR305" s="27">
        <f>IF(OR(R305="A",R305="B",R305="C",R305="D"),IF(AN305&gt;=11,IF(AN305&gt;=26,Coefficients!$M$6,Coefficients!$M$5),Coefficients!$M$4),IF(AN305&gt;=11,IF(AN305&gt;=26,Coefficients!$N$6,Coefficients!$N$5),Coefficients!$N$4))</f>
        <v>1</v>
      </c>
      <c r="AS305" s="27">
        <f>INDEX(Coefficients!$X$3:$X$4,MATCH(S305,Coefficients!$W$3:$W$4))</f>
        <v>1</v>
      </c>
      <c r="AT305" s="27">
        <f>INDEX(Coefficients!$X$7:$X$8,MATCH(O305,Coefficients!$W$7:$W$8))</f>
        <v>1</v>
      </c>
      <c r="AU305" s="27">
        <f>INDEX(Coefficients!$X$11:$X$12,MATCH(P305,Coefficients!$W$11:$W$12))</f>
        <v>1</v>
      </c>
      <c r="AV305" s="27">
        <f>INDEX(Coefficients!$X$15:$X$17,MATCH(Q305,Coefficients!$W$15:$W$17))</f>
        <v>1</v>
      </c>
      <c r="AW305" s="27">
        <f t="shared" si="304"/>
        <v>1</v>
      </c>
      <c r="AX305" s="27">
        <f t="shared" si="305"/>
        <v>1</v>
      </c>
      <c r="AY305" s="27">
        <f t="shared" si="306"/>
        <v>1.3</v>
      </c>
      <c r="AZ305" s="35">
        <f t="shared" si="307"/>
        <v>41.861454201457747</v>
      </c>
      <c r="BA305" s="35">
        <f t="shared" si="308"/>
        <v>0</v>
      </c>
      <c r="BB305" s="35">
        <f t="shared" si="309"/>
        <v>2.1767956184758028</v>
      </c>
      <c r="BC305" s="35">
        <f t="shared" si="310"/>
        <v>1.7823204381524196</v>
      </c>
      <c r="BD305" s="35">
        <f t="shared" si="293"/>
        <v>0.4777664890414518</v>
      </c>
      <c r="BE305" s="16">
        <f t="shared" si="294"/>
        <v>20</v>
      </c>
      <c r="BF305" s="16">
        <f t="shared" si="295"/>
        <v>360</v>
      </c>
      <c r="BG305" s="25">
        <f t="shared" si="296"/>
        <v>0.2</v>
      </c>
      <c r="BH305" s="35">
        <f t="shared" si="297"/>
        <v>44</v>
      </c>
      <c r="BI305" s="35">
        <f t="shared" si="298"/>
        <v>312</v>
      </c>
      <c r="BJ305" s="35">
        <f t="shared" si="299"/>
        <v>39.011355314997857</v>
      </c>
    </row>
    <row r="306" spans="2:62">
      <c r="B306" s="35" t="s">
        <v>133</v>
      </c>
      <c r="C306" s="84" t="str">
        <f>MostLikely!$B$1</f>
        <v>MRI-CGCM2.3.2</v>
      </c>
      <c r="D306" s="89">
        <v>2008</v>
      </c>
      <c r="E306" s="57">
        <f>'Cooler&amp;Wetter'!AA36</f>
        <v>35.515000000000001</v>
      </c>
      <c r="F306" s="90">
        <f>MostLikely!AD36</f>
        <v>21.687938930000001</v>
      </c>
      <c r="G306" s="35">
        <f t="shared" si="300"/>
        <v>2005</v>
      </c>
      <c r="H306" s="91" t="str">
        <f t="shared" si="280"/>
        <v>Pile 32 @ Berth 201</v>
      </c>
      <c r="I306" s="35" t="str">
        <f t="shared" si="281"/>
        <v>Turpentine Gum</v>
      </c>
      <c r="J306" s="35" t="str">
        <f t="shared" si="282"/>
        <v>HW1</v>
      </c>
      <c r="K306" s="35" t="str">
        <f t="shared" si="301"/>
        <v>SPHU</v>
      </c>
      <c r="L306" s="35">
        <f t="shared" si="283"/>
        <v>400</v>
      </c>
      <c r="M306" s="35">
        <f t="shared" si="284"/>
        <v>20</v>
      </c>
      <c r="N306" s="35">
        <f t="shared" si="285"/>
        <v>200</v>
      </c>
      <c r="O306" s="35" t="str">
        <f t="shared" si="286"/>
        <v>MTN2</v>
      </c>
      <c r="P306" s="35" t="str">
        <f t="shared" si="287"/>
        <v>CNT2</v>
      </c>
      <c r="Q306" s="35" t="str">
        <f t="shared" si="288"/>
        <v>KNT3</v>
      </c>
      <c r="R306" s="35" t="str">
        <f t="shared" si="289"/>
        <v>E</v>
      </c>
      <c r="S306" s="35" t="str">
        <f t="shared" si="290"/>
        <v>EXP1</v>
      </c>
      <c r="T306" s="58"/>
      <c r="U306" s="58"/>
      <c r="V306" s="58"/>
      <c r="W306" s="58"/>
      <c r="X306" s="58"/>
      <c r="Y306" s="58"/>
      <c r="Z306" s="58"/>
      <c r="AA306" s="95">
        <f t="shared" si="248"/>
        <v>0.21614884264743886</v>
      </c>
      <c r="AB306" s="96">
        <f t="shared" si="302"/>
        <v>21.614884264743885</v>
      </c>
      <c r="AC306" s="58"/>
      <c r="AD306" s="58"/>
      <c r="AE306" s="58"/>
      <c r="AF306" s="58"/>
      <c r="AG306" s="58"/>
      <c r="AH306" s="58"/>
      <c r="AI306" s="58"/>
      <c r="AJ306" s="58"/>
      <c r="AK306" s="58"/>
      <c r="AL306" s="58"/>
      <c r="AM306" s="89">
        <f t="shared" si="303"/>
        <v>3</v>
      </c>
      <c r="AN306" s="36">
        <f t="shared" si="291"/>
        <v>35.515000000000001</v>
      </c>
      <c r="AO306" s="35">
        <f t="shared" si="292"/>
        <v>1.6767325147883185</v>
      </c>
      <c r="AP306" s="35">
        <f>IF((OR(R306="A",R306="B",R306="C")),INDEX(Coefficients!$S$4:$S$22,MATCH(J306,Coefficients!$R$4:$R$22)),INDEX(Coefficients!$T$4:$T$22,MATCH(J306,Coefficients!$R$4:$R$22)))</f>
        <v>1.3</v>
      </c>
      <c r="AQ306" s="27">
        <f>IF((OR(R306="A",R306="B",R306="C")),INDEX(Coefficients!$S$4:$S$22,MATCH(K306,Coefficients!$R$4:$R$22)),INDEX(Coefficients!$T$4:$T$22,MATCH(K306,Coefficients!$R$4:$R$22)))</f>
        <v>25</v>
      </c>
      <c r="AR306" s="27">
        <f>IF(OR(R306="A",R306="B",R306="C",R306="D"),IF(AN306&gt;=11,IF(AN306&gt;=26,Coefficients!$M$6,Coefficients!$M$5),Coefficients!$M$4),IF(AN306&gt;=11,IF(AN306&gt;=26,Coefficients!$N$6,Coefficients!$N$5),Coefficients!$N$4))</f>
        <v>1</v>
      </c>
      <c r="AS306" s="27">
        <f>INDEX(Coefficients!$X$3:$X$4,MATCH(S306,Coefficients!$W$3:$W$4))</f>
        <v>1</v>
      </c>
      <c r="AT306" s="27">
        <f>INDEX(Coefficients!$X$7:$X$8,MATCH(O306,Coefficients!$W$7:$W$8))</f>
        <v>1</v>
      </c>
      <c r="AU306" s="27">
        <f>INDEX(Coefficients!$X$11:$X$12,MATCH(P306,Coefficients!$W$11:$W$12))</f>
        <v>1</v>
      </c>
      <c r="AV306" s="27">
        <f>INDEX(Coefficients!$X$15:$X$17,MATCH(Q306,Coefficients!$W$15:$W$17))</f>
        <v>1</v>
      </c>
      <c r="AW306" s="27">
        <f t="shared" si="304"/>
        <v>1</v>
      </c>
      <c r="AX306" s="27">
        <f t="shared" si="305"/>
        <v>1</v>
      </c>
      <c r="AY306" s="27">
        <f t="shared" si="306"/>
        <v>1.3</v>
      </c>
      <c r="AZ306" s="35">
        <f t="shared" si="307"/>
        <v>41.918312869707961</v>
      </c>
      <c r="BA306" s="35">
        <f t="shared" si="308"/>
        <v>0</v>
      </c>
      <c r="BB306" s="35">
        <f t="shared" si="309"/>
        <v>2.1797522692248141</v>
      </c>
      <c r="BC306" s="35">
        <f t="shared" si="310"/>
        <v>1.7820247730775185</v>
      </c>
      <c r="BD306" s="35">
        <f t="shared" si="293"/>
        <v>0.47711843895446687</v>
      </c>
      <c r="BE306" s="16">
        <f t="shared" si="294"/>
        <v>21.614884264743885</v>
      </c>
      <c r="BF306" s="16">
        <f t="shared" si="295"/>
        <v>356.77023147051221</v>
      </c>
      <c r="BG306" s="25">
        <f t="shared" si="296"/>
        <v>0.21614884264743886</v>
      </c>
      <c r="BH306" s="35">
        <f t="shared" si="297"/>
        <v>47.552745382436555</v>
      </c>
      <c r="BI306" s="35">
        <f t="shared" si="298"/>
        <v>304.89450923512686</v>
      </c>
      <c r="BJ306" s="35">
        <f t="shared" si="299"/>
        <v>38.960561593144817</v>
      </c>
    </row>
    <row r="307" spans="2:62">
      <c r="B307" s="35" t="s">
        <v>133</v>
      </c>
      <c r="C307" s="84" t="str">
        <f>MostLikely!$B$1</f>
        <v>MRI-CGCM2.3.2</v>
      </c>
      <c r="D307" s="89">
        <v>2009</v>
      </c>
      <c r="E307" s="57">
        <f>'Cooler&amp;Wetter'!AA37</f>
        <v>35.515833333333333</v>
      </c>
      <c r="F307" s="90">
        <f>MostLikely!AD37</f>
        <v>21.698379981666665</v>
      </c>
      <c r="G307" s="35">
        <f t="shared" si="300"/>
        <v>2005</v>
      </c>
      <c r="H307" s="91" t="str">
        <f t="shared" si="280"/>
        <v>Pile 32 @ Berth 201</v>
      </c>
      <c r="I307" s="35" t="str">
        <f t="shared" si="281"/>
        <v>Turpentine Gum</v>
      </c>
      <c r="J307" s="35" t="str">
        <f t="shared" si="282"/>
        <v>HW1</v>
      </c>
      <c r="K307" s="35" t="str">
        <f t="shared" si="301"/>
        <v>SPHU</v>
      </c>
      <c r="L307" s="35">
        <f t="shared" si="283"/>
        <v>400</v>
      </c>
      <c r="M307" s="35">
        <f t="shared" si="284"/>
        <v>20</v>
      </c>
      <c r="N307" s="35">
        <f t="shared" si="285"/>
        <v>200</v>
      </c>
      <c r="O307" s="35" t="str">
        <f t="shared" si="286"/>
        <v>MTN2</v>
      </c>
      <c r="P307" s="35" t="str">
        <f t="shared" si="287"/>
        <v>CNT2</v>
      </c>
      <c r="Q307" s="35" t="str">
        <f t="shared" si="288"/>
        <v>KNT3</v>
      </c>
      <c r="R307" s="35" t="str">
        <f t="shared" si="289"/>
        <v>E</v>
      </c>
      <c r="S307" s="35" t="str">
        <f t="shared" si="290"/>
        <v>EXP1</v>
      </c>
      <c r="T307" s="58"/>
      <c r="U307" s="58"/>
      <c r="V307" s="58"/>
      <c r="W307" s="58"/>
      <c r="X307" s="58"/>
      <c r="Y307" s="58"/>
      <c r="Z307" s="58"/>
      <c r="AA307" s="95">
        <f t="shared" si="248"/>
        <v>0.23801849447779691</v>
      </c>
      <c r="AB307" s="96">
        <f t="shared" si="302"/>
        <v>23.801849447779691</v>
      </c>
      <c r="AC307" s="58"/>
      <c r="AD307" s="58"/>
      <c r="AE307" s="58"/>
      <c r="AF307" s="58"/>
      <c r="AG307" s="58"/>
      <c r="AH307" s="58"/>
      <c r="AI307" s="58"/>
      <c r="AJ307" s="58"/>
      <c r="AK307" s="58"/>
      <c r="AL307" s="58"/>
      <c r="AM307" s="89">
        <f t="shared" si="303"/>
        <v>4</v>
      </c>
      <c r="AN307" s="36">
        <f t="shared" si="291"/>
        <v>35.515833333333333</v>
      </c>
      <c r="AO307" s="35">
        <f t="shared" si="292"/>
        <v>1.6790099506686844</v>
      </c>
      <c r="AP307" s="35">
        <f>IF((OR(R307="A",R307="B",R307="C")),INDEX(Coefficients!$S$4:$S$22,MATCH(J307,Coefficients!$R$4:$R$22)),INDEX(Coefficients!$T$4:$T$22,MATCH(J307,Coefficients!$R$4:$R$22)))</f>
        <v>1.3</v>
      </c>
      <c r="AQ307" s="27">
        <f>IF((OR(R307="A",R307="B",R307="C")),INDEX(Coefficients!$S$4:$S$22,MATCH(K307,Coefficients!$R$4:$R$22)),INDEX(Coefficients!$T$4:$T$22,MATCH(K307,Coefficients!$R$4:$R$22)))</f>
        <v>25</v>
      </c>
      <c r="AR307" s="27">
        <f>IF(OR(R307="A",R307="B",R307="C",R307="D"),IF(AN307&gt;=11,IF(AN307&gt;=26,Coefficients!$M$6,Coefficients!$M$5),Coefficients!$M$4),IF(AN307&gt;=11,IF(AN307&gt;=26,Coefficients!$N$6,Coefficients!$N$5),Coefficients!$N$4))</f>
        <v>1</v>
      </c>
      <c r="AS307" s="27">
        <f>INDEX(Coefficients!$X$3:$X$4,MATCH(S307,Coefficients!$W$3:$W$4))</f>
        <v>1</v>
      </c>
      <c r="AT307" s="27">
        <f>INDEX(Coefficients!$X$7:$X$8,MATCH(O307,Coefficients!$W$7:$W$8))</f>
        <v>1</v>
      </c>
      <c r="AU307" s="27">
        <f>INDEX(Coefficients!$X$11:$X$12,MATCH(P307,Coefficients!$W$11:$W$12))</f>
        <v>1</v>
      </c>
      <c r="AV307" s="27">
        <f>INDEX(Coefficients!$X$15:$X$17,MATCH(Q307,Coefficients!$W$15:$W$17))</f>
        <v>1</v>
      </c>
      <c r="AW307" s="27">
        <f t="shared" si="304"/>
        <v>1</v>
      </c>
      <c r="AX307" s="27">
        <f t="shared" si="305"/>
        <v>1</v>
      </c>
      <c r="AY307" s="27">
        <f t="shared" si="306"/>
        <v>1.3</v>
      </c>
      <c r="AZ307" s="35">
        <f t="shared" si="307"/>
        <v>41.975248766717108</v>
      </c>
      <c r="BA307" s="35">
        <f t="shared" si="308"/>
        <v>0</v>
      </c>
      <c r="BB307" s="35">
        <f t="shared" si="309"/>
        <v>2.1827129358692896</v>
      </c>
      <c r="BC307" s="35">
        <f t="shared" si="310"/>
        <v>1.7817287064130709</v>
      </c>
      <c r="BD307" s="35">
        <f t="shared" si="293"/>
        <v>0.47647126789295746</v>
      </c>
      <c r="BE307" s="16">
        <f t="shared" si="294"/>
        <v>23.801849447779691</v>
      </c>
      <c r="BF307" s="16">
        <f t="shared" si="295"/>
        <v>352.39630110444062</v>
      </c>
      <c r="BG307" s="25">
        <f t="shared" si="296"/>
        <v>0.23801849447779691</v>
      </c>
      <c r="BH307" s="35">
        <f t="shared" si="297"/>
        <v>52.364068785115322</v>
      </c>
      <c r="BI307" s="35">
        <f t="shared" si="298"/>
        <v>295.27186242976939</v>
      </c>
      <c r="BJ307" s="35">
        <f t="shared" si="299"/>
        <v>38.909835966071981</v>
      </c>
    </row>
    <row r="308" spans="2:62">
      <c r="B308" s="35" t="s">
        <v>133</v>
      </c>
      <c r="C308" s="84" t="str">
        <f>MostLikely!$B$1</f>
        <v>MRI-CGCM2.3.2</v>
      </c>
      <c r="D308" s="89">
        <v>2010</v>
      </c>
      <c r="E308" s="57">
        <f>'Cooler&amp;Wetter'!AA38</f>
        <v>35.516666666666666</v>
      </c>
      <c r="F308" s="90">
        <f>MostLikely!AD38</f>
        <v>21.708821033333333</v>
      </c>
      <c r="G308" s="35">
        <f t="shared" si="300"/>
        <v>2005</v>
      </c>
      <c r="H308" s="91" t="str">
        <f t="shared" si="280"/>
        <v>Pile 32 @ Berth 201</v>
      </c>
      <c r="I308" s="35" t="str">
        <f t="shared" si="281"/>
        <v>Turpentine Gum</v>
      </c>
      <c r="J308" s="35" t="str">
        <f t="shared" si="282"/>
        <v>HW1</v>
      </c>
      <c r="K308" s="35" t="str">
        <f t="shared" si="301"/>
        <v>SPHU</v>
      </c>
      <c r="L308" s="35">
        <f t="shared" si="283"/>
        <v>400</v>
      </c>
      <c r="M308" s="35">
        <f t="shared" si="284"/>
        <v>20</v>
      </c>
      <c r="N308" s="35">
        <f t="shared" si="285"/>
        <v>200</v>
      </c>
      <c r="O308" s="35" t="str">
        <f t="shared" si="286"/>
        <v>MTN2</v>
      </c>
      <c r="P308" s="35" t="str">
        <f t="shared" si="287"/>
        <v>CNT2</v>
      </c>
      <c r="Q308" s="35" t="str">
        <f t="shared" si="288"/>
        <v>KNT3</v>
      </c>
      <c r="R308" s="35" t="str">
        <f t="shared" si="289"/>
        <v>E</v>
      </c>
      <c r="S308" s="35" t="str">
        <f t="shared" si="290"/>
        <v>EXP1</v>
      </c>
      <c r="T308" s="58"/>
      <c r="U308" s="58"/>
      <c r="V308" s="58"/>
      <c r="W308" s="58"/>
      <c r="X308" s="58"/>
      <c r="Y308" s="58"/>
      <c r="Z308" s="58"/>
      <c r="AA308" s="95">
        <f t="shared" si="248"/>
        <v>0.25994751539137473</v>
      </c>
      <c r="AB308" s="96">
        <f t="shared" si="302"/>
        <v>25.994751539137475</v>
      </c>
      <c r="AC308" s="58"/>
      <c r="AD308" s="58"/>
      <c r="AE308" s="58"/>
      <c r="AF308" s="58"/>
      <c r="AG308" s="58"/>
      <c r="AH308" s="58"/>
      <c r="AI308" s="58"/>
      <c r="AJ308" s="58"/>
      <c r="AK308" s="58"/>
      <c r="AL308" s="58"/>
      <c r="AM308" s="89">
        <f t="shared" si="303"/>
        <v>5</v>
      </c>
      <c r="AN308" s="36">
        <f t="shared" si="291"/>
        <v>35.516666666666666</v>
      </c>
      <c r="AO308" s="35">
        <f t="shared" si="292"/>
        <v>1.6812904798952717</v>
      </c>
      <c r="AP308" s="35">
        <f>IF((OR(R308="A",R308="B",R308="C")),INDEX(Coefficients!$S$4:$S$22,MATCH(J308,Coefficients!$R$4:$R$22)),INDEX(Coefficients!$T$4:$T$22,MATCH(J308,Coefficients!$R$4:$R$22)))</f>
        <v>1.3</v>
      </c>
      <c r="AQ308" s="27">
        <f>IF((OR(R308="A",R308="B",R308="C")),INDEX(Coefficients!$S$4:$S$22,MATCH(K308,Coefficients!$R$4:$R$22)),INDEX(Coefficients!$T$4:$T$22,MATCH(K308,Coefficients!$R$4:$R$22)))</f>
        <v>25</v>
      </c>
      <c r="AR308" s="27">
        <f>IF(OR(R308="A",R308="B",R308="C",R308="D"),IF(AN308&gt;=11,IF(AN308&gt;=26,Coefficients!$M$6,Coefficients!$M$5),Coefficients!$M$4),IF(AN308&gt;=11,IF(AN308&gt;=26,Coefficients!$N$6,Coefficients!$N$5),Coefficients!$N$4))</f>
        <v>1</v>
      </c>
      <c r="AS308" s="27">
        <f>INDEX(Coefficients!$X$3:$X$4,MATCH(S308,Coefficients!$W$3:$W$4))</f>
        <v>1</v>
      </c>
      <c r="AT308" s="27">
        <f>INDEX(Coefficients!$X$7:$X$8,MATCH(O308,Coefficients!$W$7:$W$8))</f>
        <v>1</v>
      </c>
      <c r="AU308" s="27">
        <f>INDEX(Coefficients!$X$11:$X$12,MATCH(P308,Coefficients!$W$11:$W$12))</f>
        <v>1</v>
      </c>
      <c r="AV308" s="27">
        <f>INDEX(Coefficients!$X$15:$X$17,MATCH(Q308,Coefficients!$W$15:$W$17))</f>
        <v>1</v>
      </c>
      <c r="AW308" s="27">
        <f t="shared" si="304"/>
        <v>1</v>
      </c>
      <c r="AX308" s="27">
        <f t="shared" si="305"/>
        <v>1</v>
      </c>
      <c r="AY308" s="27">
        <f t="shared" si="306"/>
        <v>1.3</v>
      </c>
      <c r="AZ308" s="35">
        <f t="shared" si="307"/>
        <v>42.032261997381795</v>
      </c>
      <c r="BA308" s="35">
        <f t="shared" si="308"/>
        <v>0</v>
      </c>
      <c r="BB308" s="35">
        <f t="shared" si="309"/>
        <v>2.1856776238638531</v>
      </c>
      <c r="BC308" s="35">
        <f t="shared" si="310"/>
        <v>1.7814322376136147</v>
      </c>
      <c r="BD308" s="35">
        <f t="shared" si="293"/>
        <v>0.4758249746645995</v>
      </c>
      <c r="BE308" s="16">
        <f t="shared" si="294"/>
        <v>25.994751539137475</v>
      </c>
      <c r="BF308" s="16">
        <f t="shared" si="295"/>
        <v>348.01049692172506</v>
      </c>
      <c r="BG308" s="25">
        <f t="shared" si="296"/>
        <v>0.25994751539137473</v>
      </c>
      <c r="BH308" s="35">
        <f t="shared" si="297"/>
        <v>57.188453386102452</v>
      </c>
      <c r="BI308" s="35">
        <f t="shared" si="298"/>
        <v>285.6230932277951</v>
      </c>
      <c r="BJ308" s="35">
        <f t="shared" si="299"/>
        <v>38.859178340324327</v>
      </c>
    </row>
    <row r="309" spans="2:62">
      <c r="B309" s="35" t="s">
        <v>133</v>
      </c>
      <c r="C309" s="84" t="str">
        <f>MostLikely!$B$1</f>
        <v>MRI-CGCM2.3.2</v>
      </c>
      <c r="D309" s="89">
        <v>2011</v>
      </c>
      <c r="E309" s="57">
        <f>'Cooler&amp;Wetter'!AA39</f>
        <v>35.518333333333331</v>
      </c>
      <c r="F309" s="90">
        <f>MostLikely!AD39</f>
        <v>21.729703136666664</v>
      </c>
      <c r="G309" s="35">
        <f t="shared" si="300"/>
        <v>2005</v>
      </c>
      <c r="H309" s="91" t="str">
        <f t="shared" si="280"/>
        <v>Pile 32 @ Berth 201</v>
      </c>
      <c r="I309" s="35" t="str">
        <f t="shared" si="281"/>
        <v>Turpentine Gum</v>
      </c>
      <c r="J309" s="35" t="str">
        <f t="shared" si="282"/>
        <v>HW1</v>
      </c>
      <c r="K309" s="35" t="str">
        <f t="shared" si="301"/>
        <v>SPHU</v>
      </c>
      <c r="L309" s="35">
        <f t="shared" si="283"/>
        <v>400</v>
      </c>
      <c r="M309" s="35">
        <f t="shared" si="284"/>
        <v>20</v>
      </c>
      <c r="N309" s="35">
        <f t="shared" si="285"/>
        <v>200</v>
      </c>
      <c r="O309" s="35" t="str">
        <f t="shared" si="286"/>
        <v>MTN2</v>
      </c>
      <c r="P309" s="35" t="str">
        <f t="shared" si="287"/>
        <v>CNT2</v>
      </c>
      <c r="Q309" s="35" t="str">
        <f t="shared" si="288"/>
        <v>KNT3</v>
      </c>
      <c r="R309" s="35" t="str">
        <f t="shared" si="289"/>
        <v>E</v>
      </c>
      <c r="S309" s="35" t="str">
        <f t="shared" si="290"/>
        <v>EXP1</v>
      </c>
      <c r="T309" s="58"/>
      <c r="U309" s="58"/>
      <c r="V309" s="58"/>
      <c r="W309" s="58"/>
      <c r="X309" s="58"/>
      <c r="Y309" s="58"/>
      <c r="Z309" s="58"/>
      <c r="AA309" s="95">
        <f t="shared" si="248"/>
        <v>0.28206795764741388</v>
      </c>
      <c r="AB309" s="96">
        <f t="shared" si="302"/>
        <v>28.206795764741386</v>
      </c>
      <c r="AC309" s="58"/>
      <c r="AD309" s="58"/>
      <c r="AE309" s="58"/>
      <c r="AF309" s="58"/>
      <c r="AG309" s="58"/>
      <c r="AH309" s="58"/>
      <c r="AI309" s="58"/>
      <c r="AJ309" s="58"/>
      <c r="AK309" s="58"/>
      <c r="AL309" s="58"/>
      <c r="AM309" s="89">
        <f t="shared" si="303"/>
        <v>6</v>
      </c>
      <c r="AN309" s="36">
        <f t="shared" si="291"/>
        <v>35.518333333333331</v>
      </c>
      <c r="AO309" s="35">
        <f t="shared" si="292"/>
        <v>1.6858608351990705</v>
      </c>
      <c r="AP309" s="35">
        <f>IF((OR(R309="A",R309="B",R309="C")),INDEX(Coefficients!$S$4:$S$22,MATCH(J309,Coefficients!$R$4:$R$22)),INDEX(Coefficients!$T$4:$T$22,MATCH(J309,Coefficients!$R$4:$R$22)))</f>
        <v>1.3</v>
      </c>
      <c r="AQ309" s="27">
        <f>IF((OR(R309="A",R309="B",R309="C")),INDEX(Coefficients!$S$4:$S$22,MATCH(K309,Coefficients!$R$4:$R$22)),INDEX(Coefficients!$T$4:$T$22,MATCH(K309,Coefficients!$R$4:$R$22)))</f>
        <v>25</v>
      </c>
      <c r="AR309" s="27">
        <f>IF(OR(R309="A",R309="B",R309="C",R309="D"),IF(AN309&gt;=11,IF(AN309&gt;=26,Coefficients!$M$6,Coefficients!$M$5),Coefficients!$M$4),IF(AN309&gt;=11,IF(AN309&gt;=26,Coefficients!$N$6,Coefficients!$N$5),Coefficients!$N$4))</f>
        <v>1</v>
      </c>
      <c r="AS309" s="27">
        <f>INDEX(Coefficients!$X$3:$X$4,MATCH(S309,Coefficients!$W$3:$W$4))</f>
        <v>1</v>
      </c>
      <c r="AT309" s="27">
        <f>INDEX(Coefficients!$X$7:$X$8,MATCH(O309,Coefficients!$W$7:$W$8))</f>
        <v>1</v>
      </c>
      <c r="AU309" s="27">
        <f>INDEX(Coefficients!$X$11:$X$12,MATCH(P309,Coefficients!$W$11:$W$12))</f>
        <v>1</v>
      </c>
      <c r="AV309" s="27">
        <f>INDEX(Coefficients!$X$15:$X$17,MATCH(Q309,Coefficients!$W$15:$W$17))</f>
        <v>1</v>
      </c>
      <c r="AW309" s="27">
        <f t="shared" si="304"/>
        <v>1</v>
      </c>
      <c r="AX309" s="27">
        <f t="shared" si="305"/>
        <v>1</v>
      </c>
      <c r="AY309" s="27">
        <f t="shared" si="306"/>
        <v>1.3</v>
      </c>
      <c r="AZ309" s="35">
        <f t="shared" si="307"/>
        <v>42.146520879976762</v>
      </c>
      <c r="BA309" s="35">
        <f t="shared" si="308"/>
        <v>0</v>
      </c>
      <c r="BB309" s="35">
        <f t="shared" si="309"/>
        <v>2.1916190857587918</v>
      </c>
      <c r="BC309" s="35">
        <f t="shared" si="310"/>
        <v>1.7808380914241209</v>
      </c>
      <c r="BD309" s="35">
        <f t="shared" si="293"/>
        <v>0.47453501694612538</v>
      </c>
      <c r="BE309" s="16">
        <f t="shared" si="294"/>
        <v>28.206795764741386</v>
      </c>
      <c r="BF309" s="16">
        <f t="shared" si="295"/>
        <v>343.5864084705172</v>
      </c>
      <c r="BG309" s="25">
        <f t="shared" si="296"/>
        <v>0.28206795764741388</v>
      </c>
      <c r="BH309" s="35">
        <f t="shared" si="297"/>
        <v>62.054950682431055</v>
      </c>
      <c r="BI309" s="35">
        <f t="shared" si="298"/>
        <v>275.89009863513786</v>
      </c>
      <c r="BJ309" s="35">
        <f t="shared" si="299"/>
        <v>38.75806671961066</v>
      </c>
    </row>
    <row r="310" spans="2:62">
      <c r="B310" s="35" t="s">
        <v>133</v>
      </c>
      <c r="C310" s="84" t="str">
        <f>MostLikely!$B$1</f>
        <v>MRI-CGCM2.3.2</v>
      </c>
      <c r="D310" s="89">
        <v>2012</v>
      </c>
      <c r="E310" s="57">
        <f>'Cooler&amp;Wetter'!AA40</f>
        <v>35.520000000000003</v>
      </c>
      <c r="F310" s="90">
        <f>MostLikely!AD40</f>
        <v>21.750585239999999</v>
      </c>
      <c r="G310" s="35">
        <f t="shared" si="300"/>
        <v>2005</v>
      </c>
      <c r="H310" s="91" t="str">
        <f t="shared" si="280"/>
        <v>Pile 32 @ Berth 201</v>
      </c>
      <c r="I310" s="35" t="str">
        <f t="shared" si="281"/>
        <v>Turpentine Gum</v>
      </c>
      <c r="J310" s="35" t="str">
        <f t="shared" si="282"/>
        <v>HW1</v>
      </c>
      <c r="K310" s="35" t="str">
        <f t="shared" si="301"/>
        <v>SPHU</v>
      </c>
      <c r="L310" s="35">
        <f t="shared" si="283"/>
        <v>400</v>
      </c>
      <c r="M310" s="35">
        <f t="shared" si="284"/>
        <v>20</v>
      </c>
      <c r="N310" s="35">
        <f t="shared" si="285"/>
        <v>200</v>
      </c>
      <c r="O310" s="35" t="str">
        <f t="shared" si="286"/>
        <v>MTN2</v>
      </c>
      <c r="P310" s="35" t="str">
        <f t="shared" si="287"/>
        <v>CNT2</v>
      </c>
      <c r="Q310" s="35" t="str">
        <f t="shared" si="288"/>
        <v>KNT3</v>
      </c>
      <c r="R310" s="35" t="str">
        <f t="shared" si="289"/>
        <v>E</v>
      </c>
      <c r="S310" s="35" t="str">
        <f t="shared" si="290"/>
        <v>EXP1</v>
      </c>
      <c r="T310" s="58"/>
      <c r="U310" s="58"/>
      <c r="V310" s="58"/>
      <c r="W310" s="58"/>
      <c r="X310" s="58"/>
      <c r="Y310" s="58"/>
      <c r="Z310" s="58"/>
      <c r="AA310" s="95">
        <f t="shared" si="248"/>
        <v>0.30430817828139589</v>
      </c>
      <c r="AB310" s="96">
        <f t="shared" si="302"/>
        <v>30.430817828139588</v>
      </c>
      <c r="AC310" s="58"/>
      <c r="AD310" s="58"/>
      <c r="AE310" s="58"/>
      <c r="AF310" s="58"/>
      <c r="AG310" s="58"/>
      <c r="AH310" s="58"/>
      <c r="AI310" s="58"/>
      <c r="AJ310" s="58"/>
      <c r="AK310" s="58"/>
      <c r="AL310" s="58"/>
      <c r="AM310" s="89">
        <f t="shared" si="303"/>
        <v>7</v>
      </c>
      <c r="AN310" s="36">
        <f t="shared" si="291"/>
        <v>35.520000000000003</v>
      </c>
      <c r="AO310" s="35">
        <f t="shared" si="292"/>
        <v>1.6904436143807502</v>
      </c>
      <c r="AP310" s="35">
        <f>IF((OR(R310="A",R310="B",R310="C")),INDEX(Coefficients!$S$4:$S$22,MATCH(J310,Coefficients!$R$4:$R$22)),INDEX(Coefficients!$T$4:$T$22,MATCH(J310,Coefficients!$R$4:$R$22)))</f>
        <v>1.3</v>
      </c>
      <c r="AQ310" s="27">
        <f>IF((OR(R310="A",R310="B",R310="C")),INDEX(Coefficients!$S$4:$S$22,MATCH(K310,Coefficients!$R$4:$R$22)),INDEX(Coefficients!$T$4:$T$22,MATCH(K310,Coefficients!$R$4:$R$22)))</f>
        <v>25</v>
      </c>
      <c r="AR310" s="27">
        <f>IF(OR(R310="A",R310="B",R310="C",R310="D"),IF(AN310&gt;=11,IF(AN310&gt;=26,Coefficients!$M$6,Coefficients!$M$5),Coefficients!$M$4),IF(AN310&gt;=11,IF(AN310&gt;=26,Coefficients!$N$6,Coefficients!$N$5),Coefficients!$N$4))</f>
        <v>1</v>
      </c>
      <c r="AS310" s="27">
        <f>INDEX(Coefficients!$X$3:$X$4,MATCH(S310,Coefficients!$W$3:$W$4))</f>
        <v>1</v>
      </c>
      <c r="AT310" s="27">
        <f>INDEX(Coefficients!$X$7:$X$8,MATCH(O310,Coefficients!$W$7:$W$8))</f>
        <v>1</v>
      </c>
      <c r="AU310" s="27">
        <f>INDEX(Coefficients!$X$11:$X$12,MATCH(P310,Coefficients!$W$11:$W$12))</f>
        <v>1</v>
      </c>
      <c r="AV310" s="27">
        <f>INDEX(Coefficients!$X$15:$X$17,MATCH(Q310,Coefficients!$W$15:$W$17))</f>
        <v>1</v>
      </c>
      <c r="AW310" s="27">
        <f t="shared" si="304"/>
        <v>1</v>
      </c>
      <c r="AX310" s="27">
        <f t="shared" si="305"/>
        <v>1</v>
      </c>
      <c r="AY310" s="27">
        <f t="shared" si="306"/>
        <v>1.3</v>
      </c>
      <c r="AZ310" s="35">
        <f t="shared" si="307"/>
        <v>42.261090359518754</v>
      </c>
      <c r="BA310" s="35">
        <f t="shared" si="308"/>
        <v>0</v>
      </c>
      <c r="BB310" s="35">
        <f t="shared" si="309"/>
        <v>2.1975766986949754</v>
      </c>
      <c r="BC310" s="35">
        <f t="shared" si="310"/>
        <v>1.7802423301305024</v>
      </c>
      <c r="BD310" s="35">
        <f t="shared" si="293"/>
        <v>0.47324855629275697</v>
      </c>
      <c r="BE310" s="16">
        <f t="shared" si="294"/>
        <v>30.430817828139588</v>
      </c>
      <c r="BF310" s="16">
        <f t="shared" si="295"/>
        <v>339.13836434372081</v>
      </c>
      <c r="BG310" s="25">
        <f t="shared" si="296"/>
        <v>0.30430817828139589</v>
      </c>
      <c r="BH310" s="35">
        <f t="shared" si="297"/>
        <v>66.947799221907104</v>
      </c>
      <c r="BI310" s="35">
        <f t="shared" si="298"/>
        <v>266.10440155618579</v>
      </c>
      <c r="BJ310" s="35">
        <f t="shared" si="299"/>
        <v>38.657225985866106</v>
      </c>
    </row>
    <row r="311" spans="2:62">
      <c r="B311" s="35" t="s">
        <v>133</v>
      </c>
      <c r="C311" s="84" t="str">
        <f>MostLikely!$B$1</f>
        <v>MRI-CGCM2.3.2</v>
      </c>
      <c r="D311" s="89">
        <v>2013</v>
      </c>
      <c r="E311" s="57">
        <f>'Cooler&amp;Wetter'!AA41</f>
        <v>35.521666666666668</v>
      </c>
      <c r="F311" s="90">
        <f>MostLikely!AD41</f>
        <v>21.771467343333335</v>
      </c>
      <c r="G311" s="35">
        <f t="shared" si="300"/>
        <v>2005</v>
      </c>
      <c r="H311" s="91" t="str">
        <f t="shared" si="280"/>
        <v>Pile 32 @ Berth 201</v>
      </c>
      <c r="I311" s="35" t="str">
        <f t="shared" si="281"/>
        <v>Turpentine Gum</v>
      </c>
      <c r="J311" s="35" t="str">
        <f t="shared" si="282"/>
        <v>HW1</v>
      </c>
      <c r="K311" s="35" t="str">
        <f t="shared" si="301"/>
        <v>SPHU</v>
      </c>
      <c r="L311" s="35">
        <f t="shared" si="283"/>
        <v>400</v>
      </c>
      <c r="M311" s="35">
        <f t="shared" si="284"/>
        <v>20</v>
      </c>
      <c r="N311" s="35">
        <f t="shared" si="285"/>
        <v>200</v>
      </c>
      <c r="O311" s="35" t="str">
        <f t="shared" si="286"/>
        <v>MTN2</v>
      </c>
      <c r="P311" s="35" t="str">
        <f t="shared" si="287"/>
        <v>CNT2</v>
      </c>
      <c r="Q311" s="35" t="str">
        <f t="shared" si="288"/>
        <v>KNT3</v>
      </c>
      <c r="R311" s="35" t="str">
        <f t="shared" si="289"/>
        <v>E</v>
      </c>
      <c r="S311" s="35" t="str">
        <f t="shared" si="290"/>
        <v>EXP1</v>
      </c>
      <c r="T311" s="58"/>
      <c r="U311" s="58"/>
      <c r="V311" s="58"/>
      <c r="W311" s="58"/>
      <c r="X311" s="58"/>
      <c r="Y311" s="58"/>
      <c r="Z311" s="58"/>
      <c r="AA311" s="95">
        <f t="shared" si="248"/>
        <v>0.32666866522964105</v>
      </c>
      <c r="AB311" s="96">
        <f t="shared" si="302"/>
        <v>32.666866522964106</v>
      </c>
      <c r="AC311" s="58"/>
      <c r="AD311" s="58"/>
      <c r="AE311" s="58"/>
      <c r="AF311" s="58"/>
      <c r="AG311" s="58"/>
      <c r="AH311" s="58"/>
      <c r="AI311" s="58"/>
      <c r="AJ311" s="58"/>
      <c r="AK311" s="58"/>
      <c r="AL311" s="58"/>
      <c r="AM311" s="89">
        <f t="shared" si="303"/>
        <v>8</v>
      </c>
      <c r="AN311" s="36">
        <f t="shared" si="291"/>
        <v>35.521666666666668</v>
      </c>
      <c r="AO311" s="35">
        <f t="shared" si="292"/>
        <v>1.6950388512129013</v>
      </c>
      <c r="AP311" s="35">
        <f>IF((OR(R311="A",R311="B",R311="C")),INDEX(Coefficients!$S$4:$S$22,MATCH(J311,Coefficients!$R$4:$R$22)),INDEX(Coefficients!$T$4:$T$22,MATCH(J311,Coefficients!$R$4:$R$22)))</f>
        <v>1.3</v>
      </c>
      <c r="AQ311" s="27">
        <f>IF((OR(R311="A",R311="B",R311="C")),INDEX(Coefficients!$S$4:$S$22,MATCH(K311,Coefficients!$R$4:$R$22)),INDEX(Coefficients!$T$4:$T$22,MATCH(K311,Coefficients!$R$4:$R$22)))</f>
        <v>25</v>
      </c>
      <c r="AR311" s="27">
        <f>IF(OR(R311="A",R311="B",R311="C",R311="D"),IF(AN311&gt;=11,IF(AN311&gt;=26,Coefficients!$M$6,Coefficients!$M$5),Coefficients!$M$4),IF(AN311&gt;=11,IF(AN311&gt;=26,Coefficients!$N$6,Coefficients!$N$5),Coefficients!$N$4))</f>
        <v>1</v>
      </c>
      <c r="AS311" s="27">
        <f>INDEX(Coefficients!$X$3:$X$4,MATCH(S311,Coefficients!$W$3:$W$4))</f>
        <v>1</v>
      </c>
      <c r="AT311" s="27">
        <f>INDEX(Coefficients!$X$7:$X$8,MATCH(O311,Coefficients!$W$7:$W$8))</f>
        <v>1</v>
      </c>
      <c r="AU311" s="27">
        <f>INDEX(Coefficients!$X$11:$X$12,MATCH(P311,Coefficients!$W$11:$W$12))</f>
        <v>1</v>
      </c>
      <c r="AV311" s="27">
        <f>INDEX(Coefficients!$X$15:$X$17,MATCH(Q311,Coefficients!$W$15:$W$17))</f>
        <v>1</v>
      </c>
      <c r="AW311" s="27">
        <f t="shared" si="304"/>
        <v>1</v>
      </c>
      <c r="AX311" s="27">
        <f t="shared" si="305"/>
        <v>1</v>
      </c>
      <c r="AY311" s="27">
        <f t="shared" si="306"/>
        <v>1.3</v>
      </c>
      <c r="AZ311" s="35">
        <f t="shared" si="307"/>
        <v>42.375971280322531</v>
      </c>
      <c r="BA311" s="35">
        <f t="shared" si="308"/>
        <v>0</v>
      </c>
      <c r="BB311" s="35">
        <f t="shared" si="309"/>
        <v>2.203550506576772</v>
      </c>
      <c r="BC311" s="35">
        <f t="shared" si="310"/>
        <v>1.7796449493423228</v>
      </c>
      <c r="BD311" s="35">
        <f t="shared" si="293"/>
        <v>0.4719655832239788</v>
      </c>
      <c r="BE311" s="16">
        <f t="shared" si="294"/>
        <v>32.666866522964106</v>
      </c>
      <c r="BF311" s="16">
        <f t="shared" si="295"/>
        <v>334.66626695407177</v>
      </c>
      <c r="BG311" s="25">
        <f t="shared" si="296"/>
        <v>0.32666866522964105</v>
      </c>
      <c r="BH311" s="35">
        <f t="shared" si="297"/>
        <v>71.867106350521041</v>
      </c>
      <c r="BI311" s="35">
        <f t="shared" si="298"/>
        <v>256.26578729895789</v>
      </c>
      <c r="BJ311" s="35">
        <f t="shared" si="299"/>
        <v>38.556655395949278</v>
      </c>
    </row>
    <row r="312" spans="2:62">
      <c r="B312" s="35" t="s">
        <v>133</v>
      </c>
      <c r="C312" s="84" t="str">
        <f>MostLikely!$B$1</f>
        <v>MRI-CGCM2.3.2</v>
      </c>
      <c r="D312" s="89">
        <v>2014</v>
      </c>
      <c r="E312" s="57">
        <f>'Cooler&amp;Wetter'!AA42</f>
        <v>35.523333333333333</v>
      </c>
      <c r="F312" s="90">
        <f>MostLikely!AD42</f>
        <v>21.792349446666666</v>
      </c>
      <c r="G312" s="35">
        <f t="shared" si="300"/>
        <v>2005</v>
      </c>
      <c r="H312" s="91" t="str">
        <f t="shared" si="280"/>
        <v>Pile 32 @ Berth 201</v>
      </c>
      <c r="I312" s="35" t="str">
        <f t="shared" si="281"/>
        <v>Turpentine Gum</v>
      </c>
      <c r="J312" s="35" t="str">
        <f t="shared" si="282"/>
        <v>HW1</v>
      </c>
      <c r="K312" s="35" t="str">
        <f t="shared" si="301"/>
        <v>SPHU</v>
      </c>
      <c r="L312" s="35">
        <f t="shared" si="283"/>
        <v>400</v>
      </c>
      <c r="M312" s="35">
        <f t="shared" si="284"/>
        <v>20</v>
      </c>
      <c r="N312" s="35">
        <f t="shared" si="285"/>
        <v>200</v>
      </c>
      <c r="O312" s="35" t="str">
        <f t="shared" si="286"/>
        <v>MTN2</v>
      </c>
      <c r="P312" s="35" t="str">
        <f t="shared" si="287"/>
        <v>CNT2</v>
      </c>
      <c r="Q312" s="35" t="str">
        <f t="shared" si="288"/>
        <v>KNT3</v>
      </c>
      <c r="R312" s="35" t="str">
        <f t="shared" si="289"/>
        <v>E</v>
      </c>
      <c r="S312" s="35" t="str">
        <f t="shared" si="290"/>
        <v>EXP1</v>
      </c>
      <c r="T312" s="58"/>
      <c r="U312" s="58"/>
      <c r="V312" s="58"/>
      <c r="W312" s="58"/>
      <c r="X312" s="58"/>
      <c r="Y312" s="58"/>
      <c r="Z312" s="58"/>
      <c r="AA312" s="95">
        <f t="shared" si="248"/>
        <v>0.34914990819719505</v>
      </c>
      <c r="AB312" s="96">
        <f t="shared" si="302"/>
        <v>34.914990819719506</v>
      </c>
      <c r="AC312" s="58"/>
      <c r="AD312" s="58"/>
      <c r="AE312" s="58"/>
      <c r="AF312" s="58"/>
      <c r="AG312" s="58"/>
      <c r="AH312" s="58"/>
      <c r="AI312" s="58"/>
      <c r="AJ312" s="58"/>
      <c r="AK312" s="58"/>
      <c r="AL312" s="58"/>
      <c r="AM312" s="89">
        <f t="shared" si="303"/>
        <v>9</v>
      </c>
      <c r="AN312" s="36">
        <f t="shared" si="291"/>
        <v>35.523333333333333</v>
      </c>
      <c r="AO312" s="35">
        <f t="shared" si="292"/>
        <v>1.6996465795599194</v>
      </c>
      <c r="AP312" s="35">
        <f>IF((OR(R312="A",R312="B",R312="C")),INDEX(Coefficients!$S$4:$S$22,MATCH(J312,Coefficients!$R$4:$R$22)),INDEX(Coefficients!$T$4:$T$22,MATCH(J312,Coefficients!$R$4:$R$22)))</f>
        <v>1.3</v>
      </c>
      <c r="AQ312" s="27">
        <f>IF((OR(R312="A",R312="B",R312="C")),INDEX(Coefficients!$S$4:$S$22,MATCH(K312,Coefficients!$R$4:$R$22)),INDEX(Coefficients!$T$4:$T$22,MATCH(K312,Coefficients!$R$4:$R$22)))</f>
        <v>25</v>
      </c>
      <c r="AR312" s="27">
        <f>IF(OR(R312="A",R312="B",R312="C",R312="D"),IF(AN312&gt;=11,IF(AN312&gt;=26,Coefficients!$M$6,Coefficients!$M$5),Coefficients!$M$4),IF(AN312&gt;=11,IF(AN312&gt;=26,Coefficients!$N$6,Coefficients!$N$5),Coefficients!$N$4))</f>
        <v>1</v>
      </c>
      <c r="AS312" s="27">
        <f>INDEX(Coefficients!$X$3:$X$4,MATCH(S312,Coefficients!$W$3:$W$4))</f>
        <v>1</v>
      </c>
      <c r="AT312" s="27">
        <f>INDEX(Coefficients!$X$7:$X$8,MATCH(O312,Coefficients!$W$7:$W$8))</f>
        <v>1</v>
      </c>
      <c r="AU312" s="27">
        <f>INDEX(Coefficients!$X$11:$X$12,MATCH(P312,Coefficients!$W$11:$W$12))</f>
        <v>1</v>
      </c>
      <c r="AV312" s="27">
        <f>INDEX(Coefficients!$X$15:$X$17,MATCH(Q312,Coefficients!$W$15:$W$17))</f>
        <v>1</v>
      </c>
      <c r="AW312" s="27">
        <f t="shared" si="304"/>
        <v>1</v>
      </c>
      <c r="AX312" s="27">
        <f t="shared" si="305"/>
        <v>1</v>
      </c>
      <c r="AY312" s="27">
        <f t="shared" si="306"/>
        <v>1.3</v>
      </c>
      <c r="AZ312" s="35">
        <f t="shared" si="307"/>
        <v>42.491164488997981</v>
      </c>
      <c r="BA312" s="35">
        <f t="shared" si="308"/>
        <v>0</v>
      </c>
      <c r="BB312" s="35">
        <f t="shared" si="309"/>
        <v>2.2095405534278951</v>
      </c>
      <c r="BC312" s="35">
        <f t="shared" si="310"/>
        <v>1.7790459446572104</v>
      </c>
      <c r="BD312" s="35">
        <f t="shared" si="293"/>
        <v>0.47068608828497738</v>
      </c>
      <c r="BE312" s="16">
        <f t="shared" si="294"/>
        <v>34.914990819719506</v>
      </c>
      <c r="BF312" s="16">
        <f t="shared" si="295"/>
        <v>330.17001836056102</v>
      </c>
      <c r="BG312" s="25">
        <f t="shared" si="296"/>
        <v>0.34914990819719505</v>
      </c>
      <c r="BH312" s="35">
        <f t="shared" si="297"/>
        <v>76.812979803382916</v>
      </c>
      <c r="BI312" s="35">
        <f t="shared" si="298"/>
        <v>246.37404039323417</v>
      </c>
      <c r="BJ312" s="35">
        <f t="shared" si="299"/>
        <v>38.456354208709683</v>
      </c>
    </row>
    <row r="313" spans="2:62">
      <c r="B313" s="35" t="s">
        <v>133</v>
      </c>
      <c r="C313" s="84" t="str">
        <f>MostLikely!$B$1</f>
        <v>MRI-CGCM2.3.2</v>
      </c>
      <c r="D313" s="89">
        <v>2015</v>
      </c>
      <c r="E313" s="57">
        <f>'Cooler&amp;Wetter'!AA43</f>
        <v>35.524999999999999</v>
      </c>
      <c r="F313" s="90">
        <f>MostLikely!AD43</f>
        <v>21.813231549999998</v>
      </c>
      <c r="G313" s="35">
        <f t="shared" si="300"/>
        <v>2005</v>
      </c>
      <c r="H313" s="91" t="str">
        <f t="shared" si="280"/>
        <v>Pile 32 @ Berth 201</v>
      </c>
      <c r="I313" s="35" t="str">
        <f t="shared" si="281"/>
        <v>Turpentine Gum</v>
      </c>
      <c r="J313" s="35" t="str">
        <f t="shared" si="282"/>
        <v>HW1</v>
      </c>
      <c r="K313" s="35" t="str">
        <f t="shared" si="301"/>
        <v>SPHU</v>
      </c>
      <c r="L313" s="35">
        <f t="shared" si="283"/>
        <v>400</v>
      </c>
      <c r="M313" s="35">
        <f t="shared" si="284"/>
        <v>20</v>
      </c>
      <c r="N313" s="35">
        <f t="shared" si="285"/>
        <v>200</v>
      </c>
      <c r="O313" s="35" t="str">
        <f t="shared" si="286"/>
        <v>MTN2</v>
      </c>
      <c r="P313" s="35" t="str">
        <f t="shared" si="287"/>
        <v>CNT2</v>
      </c>
      <c r="Q313" s="35" t="str">
        <f t="shared" si="288"/>
        <v>KNT3</v>
      </c>
      <c r="R313" s="35" t="str">
        <f t="shared" si="289"/>
        <v>E</v>
      </c>
      <c r="S313" s="35" t="str">
        <f t="shared" si="290"/>
        <v>EXP1</v>
      </c>
      <c r="T313" s="58"/>
      <c r="U313" s="58"/>
      <c r="V313" s="58"/>
      <c r="W313" s="58"/>
      <c r="X313" s="58"/>
      <c r="Y313" s="58"/>
      <c r="Z313" s="58"/>
      <c r="AA313" s="95">
        <f t="shared" si="248"/>
        <v>0.37175239866384585</v>
      </c>
      <c r="AB313" s="96">
        <f t="shared" si="302"/>
        <v>37.175239866384587</v>
      </c>
      <c r="AC313" s="58"/>
      <c r="AD313" s="58"/>
      <c r="AE313" s="58"/>
      <c r="AF313" s="58"/>
      <c r="AG313" s="58"/>
      <c r="AH313" s="58"/>
      <c r="AI313" s="58"/>
      <c r="AJ313" s="58"/>
      <c r="AK313" s="58"/>
      <c r="AL313" s="58"/>
      <c r="AM313" s="89">
        <f t="shared" si="303"/>
        <v>10</v>
      </c>
      <c r="AN313" s="36">
        <f t="shared" si="291"/>
        <v>35.524999999999999</v>
      </c>
      <c r="AO313" s="35">
        <f t="shared" si="292"/>
        <v>1.7042668333782598</v>
      </c>
      <c r="AP313" s="35">
        <f>IF((OR(R313="A",R313="B",R313="C")),INDEX(Coefficients!$S$4:$S$22,MATCH(J313,Coefficients!$R$4:$R$22)),INDEX(Coefficients!$T$4:$T$22,MATCH(J313,Coefficients!$R$4:$R$22)))</f>
        <v>1.3</v>
      </c>
      <c r="AQ313" s="27">
        <f>IF((OR(R313="A",R313="B",R313="C")),INDEX(Coefficients!$S$4:$S$22,MATCH(K313,Coefficients!$R$4:$R$22)),INDEX(Coefficients!$T$4:$T$22,MATCH(K313,Coefficients!$R$4:$R$22)))</f>
        <v>25</v>
      </c>
      <c r="AR313" s="27">
        <f>IF(OR(R313="A",R313="B",R313="C",R313="D"),IF(AN313&gt;=11,IF(AN313&gt;=26,Coefficients!$M$6,Coefficients!$M$5),Coefficients!$M$4),IF(AN313&gt;=11,IF(AN313&gt;=26,Coefficients!$N$6,Coefficients!$N$5),Coefficients!$N$4))</f>
        <v>1</v>
      </c>
      <c r="AS313" s="27">
        <f>INDEX(Coefficients!$X$3:$X$4,MATCH(S313,Coefficients!$W$3:$W$4))</f>
        <v>1</v>
      </c>
      <c r="AT313" s="27">
        <f>INDEX(Coefficients!$X$7:$X$8,MATCH(O313,Coefficients!$W$7:$W$8))</f>
        <v>1</v>
      </c>
      <c r="AU313" s="27">
        <f>INDEX(Coefficients!$X$11:$X$12,MATCH(P313,Coefficients!$W$11:$W$12))</f>
        <v>1</v>
      </c>
      <c r="AV313" s="27">
        <f>INDEX(Coefficients!$X$15:$X$17,MATCH(Q313,Coefficients!$W$15:$W$17))</f>
        <v>1</v>
      </c>
      <c r="AW313" s="27">
        <f t="shared" si="304"/>
        <v>1</v>
      </c>
      <c r="AX313" s="27">
        <f t="shared" si="305"/>
        <v>1</v>
      </c>
      <c r="AY313" s="27">
        <f t="shared" si="306"/>
        <v>1.3</v>
      </c>
      <c r="AZ313" s="35">
        <f t="shared" si="307"/>
        <v>42.606670834456494</v>
      </c>
      <c r="BA313" s="35">
        <f t="shared" si="308"/>
        <v>0</v>
      </c>
      <c r="BB313" s="35">
        <f t="shared" si="309"/>
        <v>2.2155468833917378</v>
      </c>
      <c r="BC313" s="35">
        <f t="shared" si="310"/>
        <v>1.7784453116608261</v>
      </c>
      <c r="BD313" s="35">
        <f t="shared" si="293"/>
        <v>0.46941006204656982</v>
      </c>
      <c r="BE313" s="16">
        <f t="shared" si="294"/>
        <v>37.175239866384587</v>
      </c>
      <c r="BF313" s="16">
        <f t="shared" si="295"/>
        <v>325.64952026723086</v>
      </c>
      <c r="BG313" s="25">
        <f t="shared" si="296"/>
        <v>0.37175239866384585</v>
      </c>
      <c r="BH313" s="35">
        <f t="shared" si="297"/>
        <v>81.785527706046096</v>
      </c>
      <c r="BI313" s="35">
        <f t="shared" si="298"/>
        <v>236.42894458790781</v>
      </c>
      <c r="BJ313" s="35">
        <f t="shared" si="299"/>
        <v>38.356321684981999</v>
      </c>
    </row>
    <row r="314" spans="2:62">
      <c r="B314" s="35" t="s">
        <v>133</v>
      </c>
      <c r="C314" s="84" t="str">
        <f>MostLikely!$B$1</f>
        <v>MRI-CGCM2.3.2</v>
      </c>
      <c r="D314" s="89">
        <v>2016</v>
      </c>
      <c r="E314" s="57">
        <f>'Cooler&amp;Wetter'!AA44</f>
        <v>35.526666666666664</v>
      </c>
      <c r="F314" s="90">
        <f>MostLikely!AD44</f>
        <v>21.834113653333333</v>
      </c>
      <c r="G314" s="35">
        <f t="shared" si="300"/>
        <v>2005</v>
      </c>
      <c r="H314" s="91" t="str">
        <f t="shared" si="280"/>
        <v>Pile 32 @ Berth 201</v>
      </c>
      <c r="I314" s="35" t="str">
        <f t="shared" si="281"/>
        <v>Turpentine Gum</v>
      </c>
      <c r="J314" s="35" t="str">
        <f t="shared" si="282"/>
        <v>HW1</v>
      </c>
      <c r="K314" s="35" t="str">
        <f t="shared" si="301"/>
        <v>SPHU</v>
      </c>
      <c r="L314" s="35">
        <f t="shared" si="283"/>
        <v>400</v>
      </c>
      <c r="M314" s="35">
        <f t="shared" si="284"/>
        <v>20</v>
      </c>
      <c r="N314" s="35">
        <f t="shared" si="285"/>
        <v>200</v>
      </c>
      <c r="O314" s="35" t="str">
        <f t="shared" si="286"/>
        <v>MTN2</v>
      </c>
      <c r="P314" s="35" t="str">
        <f t="shared" si="287"/>
        <v>CNT2</v>
      </c>
      <c r="Q314" s="35" t="str">
        <f t="shared" si="288"/>
        <v>KNT3</v>
      </c>
      <c r="R314" s="35" t="str">
        <f t="shared" si="289"/>
        <v>E</v>
      </c>
      <c r="S314" s="35" t="str">
        <f t="shared" si="290"/>
        <v>EXP1</v>
      </c>
      <c r="T314" s="58"/>
      <c r="U314" s="58"/>
      <c r="V314" s="58"/>
      <c r="W314" s="58"/>
      <c r="X314" s="58"/>
      <c r="Y314" s="58"/>
      <c r="Z314" s="58"/>
      <c r="AA314" s="95">
        <f t="shared" si="248"/>
        <v>0.39447662989015853</v>
      </c>
      <c r="AB314" s="96">
        <f t="shared" si="302"/>
        <v>39.447662989015853</v>
      </c>
      <c r="AC314" s="58"/>
      <c r="AD314" s="58"/>
      <c r="AE314" s="58"/>
      <c r="AF314" s="58"/>
      <c r="AG314" s="58"/>
      <c r="AH314" s="58"/>
      <c r="AI314" s="58"/>
      <c r="AJ314" s="58"/>
      <c r="AK314" s="58"/>
      <c r="AL314" s="58"/>
      <c r="AM314" s="89">
        <f t="shared" si="303"/>
        <v>11</v>
      </c>
      <c r="AN314" s="36">
        <f t="shared" si="291"/>
        <v>35.526666666666664</v>
      </c>
      <c r="AO314" s="35">
        <f t="shared" si="292"/>
        <v>1.7088996467166817</v>
      </c>
      <c r="AP314" s="35">
        <f>IF((OR(R314="A",R314="B",R314="C")),INDEX(Coefficients!$S$4:$S$22,MATCH(J314,Coefficients!$R$4:$R$22)),INDEX(Coefficients!$T$4:$T$22,MATCH(J314,Coefficients!$R$4:$R$22)))</f>
        <v>1.3</v>
      </c>
      <c r="AQ314" s="27">
        <f>IF((OR(R314="A",R314="B",R314="C")),INDEX(Coefficients!$S$4:$S$22,MATCH(K314,Coefficients!$R$4:$R$22)),INDEX(Coefficients!$T$4:$T$22,MATCH(K314,Coefficients!$R$4:$R$22)))</f>
        <v>25</v>
      </c>
      <c r="AR314" s="27">
        <f>IF(OR(R314="A",R314="B",R314="C",R314="D"),IF(AN314&gt;=11,IF(AN314&gt;=26,Coefficients!$M$6,Coefficients!$M$5),Coefficients!$M$4),IF(AN314&gt;=11,IF(AN314&gt;=26,Coefficients!$N$6,Coefficients!$N$5),Coefficients!$N$4))</f>
        <v>1</v>
      </c>
      <c r="AS314" s="27">
        <f>INDEX(Coefficients!$X$3:$X$4,MATCH(S314,Coefficients!$W$3:$W$4))</f>
        <v>1</v>
      </c>
      <c r="AT314" s="27">
        <f>INDEX(Coefficients!$X$7:$X$8,MATCH(O314,Coefficients!$W$7:$W$8))</f>
        <v>1</v>
      </c>
      <c r="AU314" s="27">
        <f>INDEX(Coefficients!$X$11:$X$12,MATCH(P314,Coefficients!$W$11:$W$12))</f>
        <v>1</v>
      </c>
      <c r="AV314" s="27">
        <f>INDEX(Coefficients!$X$15:$X$17,MATCH(Q314,Coefficients!$W$15:$W$17))</f>
        <v>1</v>
      </c>
      <c r="AW314" s="27">
        <f t="shared" si="304"/>
        <v>1</v>
      </c>
      <c r="AX314" s="27">
        <f t="shared" si="305"/>
        <v>1</v>
      </c>
      <c r="AY314" s="27">
        <f t="shared" si="306"/>
        <v>1.3</v>
      </c>
      <c r="AZ314" s="35">
        <f t="shared" si="307"/>
        <v>42.722491167917042</v>
      </c>
      <c r="BA314" s="35">
        <f t="shared" si="308"/>
        <v>0</v>
      </c>
      <c r="BB314" s="35">
        <f t="shared" si="309"/>
        <v>2.2215695407316862</v>
      </c>
      <c r="BC314" s="35">
        <f t="shared" si="310"/>
        <v>1.7778430459268313</v>
      </c>
      <c r="BD314" s="35">
        <f t="shared" si="293"/>
        <v>0.46813749510513647</v>
      </c>
      <c r="BE314" s="16">
        <f t="shared" si="294"/>
        <v>39.447662989015853</v>
      </c>
      <c r="BF314" s="16">
        <f t="shared" si="295"/>
        <v>321.10467402196832</v>
      </c>
      <c r="BG314" s="25">
        <f t="shared" si="296"/>
        <v>0.39447662989015853</v>
      </c>
      <c r="BH314" s="35">
        <f t="shared" si="297"/>
        <v>86.784858575834889</v>
      </c>
      <c r="BI314" s="35">
        <f t="shared" si="298"/>
        <v>226.43028284833022</v>
      </c>
      <c r="BJ314" s="35">
        <f t="shared" si="299"/>
        <v>38.25655708758093</v>
      </c>
    </row>
    <row r="315" spans="2:62">
      <c r="B315" s="35" t="s">
        <v>133</v>
      </c>
      <c r="C315" s="84" t="str">
        <f>MostLikely!$B$1</f>
        <v>MRI-CGCM2.3.2</v>
      </c>
      <c r="D315" s="89">
        <v>2017</v>
      </c>
      <c r="E315" s="57">
        <f>'Cooler&amp;Wetter'!AA45</f>
        <v>35.528333333333336</v>
      </c>
      <c r="F315" s="90">
        <f>MostLikely!AD45</f>
        <v>21.854995756666668</v>
      </c>
      <c r="G315" s="35">
        <f t="shared" si="300"/>
        <v>2005</v>
      </c>
      <c r="H315" s="91" t="str">
        <f t="shared" si="280"/>
        <v>Pile 32 @ Berth 201</v>
      </c>
      <c r="I315" s="35" t="str">
        <f t="shared" si="281"/>
        <v>Turpentine Gum</v>
      </c>
      <c r="J315" s="35" t="str">
        <f t="shared" si="282"/>
        <v>HW1</v>
      </c>
      <c r="K315" s="35" t="str">
        <f t="shared" si="301"/>
        <v>SPHU</v>
      </c>
      <c r="L315" s="35">
        <f t="shared" si="283"/>
        <v>400</v>
      </c>
      <c r="M315" s="35">
        <f t="shared" si="284"/>
        <v>20</v>
      </c>
      <c r="N315" s="35">
        <f t="shared" si="285"/>
        <v>200</v>
      </c>
      <c r="O315" s="35" t="str">
        <f t="shared" si="286"/>
        <v>MTN2</v>
      </c>
      <c r="P315" s="35" t="str">
        <f t="shared" si="287"/>
        <v>CNT2</v>
      </c>
      <c r="Q315" s="35" t="str">
        <f t="shared" si="288"/>
        <v>KNT3</v>
      </c>
      <c r="R315" s="35" t="str">
        <f t="shared" si="289"/>
        <v>E</v>
      </c>
      <c r="S315" s="35" t="str">
        <f t="shared" si="290"/>
        <v>EXP1</v>
      </c>
      <c r="T315" s="58"/>
      <c r="U315" s="58"/>
      <c r="V315" s="58"/>
      <c r="W315" s="58"/>
      <c r="X315" s="58"/>
      <c r="Y315" s="58"/>
      <c r="Z315" s="58"/>
      <c r="AA315" s="95">
        <f t="shared" si="248"/>
        <v>0.41732309692353142</v>
      </c>
      <c r="AB315" s="96">
        <f t="shared" si="302"/>
        <v>41.732309692353141</v>
      </c>
      <c r="AC315" s="58"/>
      <c r="AD315" s="58"/>
      <c r="AE315" s="58"/>
      <c r="AF315" s="58"/>
      <c r="AG315" s="58"/>
      <c r="AH315" s="58"/>
      <c r="AI315" s="58"/>
      <c r="AJ315" s="58"/>
      <c r="AK315" s="58"/>
      <c r="AL315" s="58"/>
      <c r="AM315" s="89">
        <f t="shared" si="303"/>
        <v>12</v>
      </c>
      <c r="AN315" s="36">
        <f t="shared" si="291"/>
        <v>35.528333333333336</v>
      </c>
      <c r="AO315" s="35">
        <f t="shared" si="292"/>
        <v>1.7135450537164996</v>
      </c>
      <c r="AP315" s="35">
        <f>IF((OR(R315="A",R315="B",R315="C")),INDEX(Coefficients!$S$4:$S$22,MATCH(J315,Coefficients!$R$4:$R$22)),INDEX(Coefficients!$T$4:$T$22,MATCH(J315,Coefficients!$R$4:$R$22)))</f>
        <v>1.3</v>
      </c>
      <c r="AQ315" s="27">
        <f>IF((OR(R315="A",R315="B",R315="C")),INDEX(Coefficients!$S$4:$S$22,MATCH(K315,Coefficients!$R$4:$R$22)),INDEX(Coefficients!$T$4:$T$22,MATCH(K315,Coefficients!$R$4:$R$22)))</f>
        <v>25</v>
      </c>
      <c r="AR315" s="27">
        <f>IF(OR(R315="A",R315="B",R315="C",R315="D"),IF(AN315&gt;=11,IF(AN315&gt;=26,Coefficients!$M$6,Coefficients!$M$5),Coefficients!$M$4),IF(AN315&gt;=11,IF(AN315&gt;=26,Coefficients!$N$6,Coefficients!$N$5),Coefficients!$N$4))</f>
        <v>1</v>
      </c>
      <c r="AS315" s="27">
        <f>INDEX(Coefficients!$X$3:$X$4,MATCH(S315,Coefficients!$W$3:$W$4))</f>
        <v>1</v>
      </c>
      <c r="AT315" s="27">
        <f>INDEX(Coefficients!$X$7:$X$8,MATCH(O315,Coefficients!$W$7:$W$8))</f>
        <v>1</v>
      </c>
      <c r="AU315" s="27">
        <f>INDEX(Coefficients!$X$11:$X$12,MATCH(P315,Coefficients!$W$11:$W$12))</f>
        <v>1</v>
      </c>
      <c r="AV315" s="27">
        <f>INDEX(Coefficients!$X$15:$X$17,MATCH(Q315,Coefficients!$W$15:$W$17))</f>
        <v>1</v>
      </c>
      <c r="AW315" s="27">
        <f t="shared" si="304"/>
        <v>1</v>
      </c>
      <c r="AX315" s="27">
        <f t="shared" si="305"/>
        <v>1</v>
      </c>
      <c r="AY315" s="27">
        <f t="shared" si="306"/>
        <v>1.3</v>
      </c>
      <c r="AZ315" s="35">
        <f t="shared" si="307"/>
        <v>42.838626342912491</v>
      </c>
      <c r="BA315" s="35">
        <f t="shared" si="308"/>
        <v>0</v>
      </c>
      <c r="BB315" s="35">
        <f t="shared" si="309"/>
        <v>2.2276085698314496</v>
      </c>
      <c r="BC315" s="35">
        <f t="shared" si="310"/>
        <v>1.777239143016855</v>
      </c>
      <c r="BD315" s="35">
        <f t="shared" si="293"/>
        <v>0.46686837808255105</v>
      </c>
      <c r="BE315" s="16">
        <f t="shared" si="294"/>
        <v>41.732309692353141</v>
      </c>
      <c r="BF315" s="16">
        <f t="shared" si="295"/>
        <v>316.53538061529372</v>
      </c>
      <c r="BG315" s="25">
        <f t="shared" si="296"/>
        <v>0.41732309692353142</v>
      </c>
      <c r="BH315" s="35">
        <f t="shared" si="297"/>
        <v>91.811081323176921</v>
      </c>
      <c r="BI315" s="35">
        <f t="shared" si="298"/>
        <v>216.37783735364616</v>
      </c>
      <c r="BJ315" s="35">
        <f t="shared" si="299"/>
        <v>38.157059681295642</v>
      </c>
    </row>
    <row r="316" spans="2:62">
      <c r="B316" s="35" t="s">
        <v>133</v>
      </c>
      <c r="C316" s="84" t="str">
        <f>MostLikely!$B$1</f>
        <v>MRI-CGCM2.3.2</v>
      </c>
      <c r="D316" s="89">
        <v>2018</v>
      </c>
      <c r="E316" s="57">
        <f>'Cooler&amp;Wetter'!AA46</f>
        <v>35.53</v>
      </c>
      <c r="F316" s="90">
        <f>MostLikely!AD46</f>
        <v>21.875877859999999</v>
      </c>
      <c r="G316" s="35">
        <f t="shared" si="300"/>
        <v>2005</v>
      </c>
      <c r="H316" s="91" t="str">
        <f t="shared" si="280"/>
        <v>Pile 32 @ Berth 201</v>
      </c>
      <c r="I316" s="35" t="str">
        <f t="shared" si="281"/>
        <v>Turpentine Gum</v>
      </c>
      <c r="J316" s="35" t="str">
        <f t="shared" si="282"/>
        <v>HW1</v>
      </c>
      <c r="K316" s="35" t="str">
        <f t="shared" si="301"/>
        <v>SPHU</v>
      </c>
      <c r="L316" s="35">
        <f t="shared" si="283"/>
        <v>400</v>
      </c>
      <c r="M316" s="35">
        <f t="shared" si="284"/>
        <v>20</v>
      </c>
      <c r="N316" s="35">
        <f t="shared" si="285"/>
        <v>200</v>
      </c>
      <c r="O316" s="35" t="str">
        <f t="shared" si="286"/>
        <v>MTN2</v>
      </c>
      <c r="P316" s="35" t="str">
        <f t="shared" si="287"/>
        <v>CNT2</v>
      </c>
      <c r="Q316" s="35" t="str">
        <f t="shared" si="288"/>
        <v>KNT3</v>
      </c>
      <c r="R316" s="35" t="str">
        <f t="shared" si="289"/>
        <v>E</v>
      </c>
      <c r="S316" s="35" t="str">
        <f t="shared" si="290"/>
        <v>EXP1</v>
      </c>
      <c r="T316" s="58"/>
      <c r="U316" s="58"/>
      <c r="V316" s="58"/>
      <c r="W316" s="58"/>
      <c r="X316" s="58"/>
      <c r="Y316" s="58"/>
      <c r="Z316" s="58"/>
      <c r="AA316" s="95">
        <f t="shared" si="248"/>
        <v>0.44029229660427149</v>
      </c>
      <c r="AB316" s="96">
        <f t="shared" si="302"/>
        <v>44.029229660427148</v>
      </c>
      <c r="AC316" s="58"/>
      <c r="AD316" s="58"/>
      <c r="AE316" s="58"/>
      <c r="AF316" s="58"/>
      <c r="AG316" s="58"/>
      <c r="AH316" s="58"/>
      <c r="AI316" s="58"/>
      <c r="AJ316" s="58"/>
      <c r="AK316" s="58"/>
      <c r="AL316" s="58"/>
      <c r="AM316" s="89">
        <f t="shared" si="303"/>
        <v>13</v>
      </c>
      <c r="AN316" s="36">
        <f t="shared" si="291"/>
        <v>35.53</v>
      </c>
      <c r="AO316" s="35">
        <f t="shared" si="292"/>
        <v>1.7182030886118369</v>
      </c>
      <c r="AP316" s="35">
        <f>IF((OR(R316="A",R316="B",R316="C")),INDEX(Coefficients!$S$4:$S$22,MATCH(J316,Coefficients!$R$4:$R$22)),INDEX(Coefficients!$T$4:$T$22,MATCH(J316,Coefficients!$R$4:$R$22)))</f>
        <v>1.3</v>
      </c>
      <c r="AQ316" s="27">
        <f>IF((OR(R316="A",R316="B",R316="C")),INDEX(Coefficients!$S$4:$S$22,MATCH(K316,Coefficients!$R$4:$R$22)),INDEX(Coefficients!$T$4:$T$22,MATCH(K316,Coefficients!$R$4:$R$22)))</f>
        <v>25</v>
      </c>
      <c r="AR316" s="27">
        <f>IF(OR(R316="A",R316="B",R316="C",R316="D"),IF(AN316&gt;=11,IF(AN316&gt;=26,Coefficients!$M$6,Coefficients!$M$5),Coefficients!$M$4),IF(AN316&gt;=11,IF(AN316&gt;=26,Coefficients!$N$6,Coefficients!$N$5),Coefficients!$N$4))</f>
        <v>1</v>
      </c>
      <c r="AS316" s="27">
        <f>INDEX(Coefficients!$X$3:$X$4,MATCH(S316,Coefficients!$W$3:$W$4))</f>
        <v>1</v>
      </c>
      <c r="AT316" s="27">
        <f>INDEX(Coefficients!$X$7:$X$8,MATCH(O316,Coefficients!$W$7:$W$8))</f>
        <v>1</v>
      </c>
      <c r="AU316" s="27">
        <f>INDEX(Coefficients!$X$11:$X$12,MATCH(P316,Coefficients!$W$11:$W$12))</f>
        <v>1</v>
      </c>
      <c r="AV316" s="27">
        <f>INDEX(Coefficients!$X$15:$X$17,MATCH(Q316,Coefficients!$W$15:$W$17))</f>
        <v>1</v>
      </c>
      <c r="AW316" s="27">
        <f t="shared" si="304"/>
        <v>1</v>
      </c>
      <c r="AX316" s="27">
        <f t="shared" si="305"/>
        <v>1</v>
      </c>
      <c r="AY316" s="27">
        <f t="shared" si="306"/>
        <v>1.3</v>
      </c>
      <c r="AZ316" s="35">
        <f t="shared" si="307"/>
        <v>42.955077215295923</v>
      </c>
      <c r="BA316" s="35">
        <f t="shared" si="308"/>
        <v>0</v>
      </c>
      <c r="BB316" s="35">
        <f t="shared" si="309"/>
        <v>2.2336640151953882</v>
      </c>
      <c r="BC316" s="35">
        <f t="shared" si="310"/>
        <v>1.7766335984804611</v>
      </c>
      <c r="BD316" s="35">
        <f t="shared" si="293"/>
        <v>0.46560270162611134</v>
      </c>
      <c r="BE316" s="16">
        <f t="shared" si="294"/>
        <v>44.029229660427148</v>
      </c>
      <c r="BF316" s="16">
        <f t="shared" si="295"/>
        <v>311.9415406791457</v>
      </c>
      <c r="BG316" s="25">
        <f t="shared" si="296"/>
        <v>0.44029229660427149</v>
      </c>
      <c r="BH316" s="35">
        <f t="shared" si="297"/>
        <v>96.864305252939729</v>
      </c>
      <c r="BI316" s="35">
        <f t="shared" si="298"/>
        <v>206.27138949412054</v>
      </c>
      <c r="BJ316" s="35">
        <f t="shared" si="299"/>
        <v>38.05782873288436</v>
      </c>
    </row>
    <row r="317" spans="2:62">
      <c r="B317" s="35" t="s">
        <v>133</v>
      </c>
      <c r="C317" s="84" t="str">
        <f>MostLikely!$B$1</f>
        <v>MRI-CGCM2.3.2</v>
      </c>
      <c r="D317" s="89">
        <v>2019</v>
      </c>
      <c r="E317" s="57">
        <f>'Cooler&amp;Wetter'!AA47</f>
        <v>35.531666666666666</v>
      </c>
      <c r="F317" s="90">
        <f>MostLikely!AD47</f>
        <v>21.896759963333331</v>
      </c>
      <c r="G317" s="35">
        <f t="shared" si="300"/>
        <v>2005</v>
      </c>
      <c r="H317" s="91" t="str">
        <f t="shared" si="280"/>
        <v>Pile 32 @ Berth 201</v>
      </c>
      <c r="I317" s="35" t="str">
        <f t="shared" si="281"/>
        <v>Turpentine Gum</v>
      </c>
      <c r="J317" s="35" t="str">
        <f t="shared" si="282"/>
        <v>HW1</v>
      </c>
      <c r="K317" s="35" t="str">
        <f t="shared" si="301"/>
        <v>SPHU</v>
      </c>
      <c r="L317" s="35">
        <f t="shared" si="283"/>
        <v>400</v>
      </c>
      <c r="M317" s="35">
        <f t="shared" si="284"/>
        <v>20</v>
      </c>
      <c r="N317" s="35">
        <f t="shared" si="285"/>
        <v>200</v>
      </c>
      <c r="O317" s="35" t="str">
        <f t="shared" si="286"/>
        <v>MTN2</v>
      </c>
      <c r="P317" s="35" t="str">
        <f t="shared" si="287"/>
        <v>CNT2</v>
      </c>
      <c r="Q317" s="35" t="str">
        <f t="shared" si="288"/>
        <v>KNT3</v>
      </c>
      <c r="R317" s="35" t="str">
        <f t="shared" si="289"/>
        <v>E</v>
      </c>
      <c r="S317" s="35" t="str">
        <f t="shared" si="290"/>
        <v>EXP1</v>
      </c>
      <c r="T317" s="58"/>
      <c r="U317" s="58"/>
      <c r="V317" s="58"/>
      <c r="W317" s="58"/>
      <c r="X317" s="58"/>
      <c r="Y317" s="58"/>
      <c r="Z317" s="58"/>
      <c r="AA317" s="95">
        <f t="shared" si="248"/>
        <v>0.46338472757168958</v>
      </c>
      <c r="AB317" s="96">
        <f t="shared" si="302"/>
        <v>46.338472757168958</v>
      </c>
      <c r="AC317" s="58"/>
      <c r="AD317" s="58"/>
      <c r="AE317" s="58"/>
      <c r="AF317" s="58"/>
      <c r="AG317" s="58"/>
      <c r="AH317" s="58"/>
      <c r="AI317" s="58"/>
      <c r="AJ317" s="58"/>
      <c r="AK317" s="58"/>
      <c r="AL317" s="58"/>
      <c r="AM317" s="89">
        <f t="shared" si="303"/>
        <v>14</v>
      </c>
      <c r="AN317" s="36">
        <f t="shared" si="291"/>
        <v>35.531666666666666</v>
      </c>
      <c r="AO317" s="35">
        <f t="shared" si="292"/>
        <v>1.7228737857298804</v>
      </c>
      <c r="AP317" s="35">
        <f>IF((OR(R317="A",R317="B",R317="C")),INDEX(Coefficients!$S$4:$S$22,MATCH(J317,Coefficients!$R$4:$R$22)),INDEX(Coefficients!$T$4:$T$22,MATCH(J317,Coefficients!$R$4:$R$22)))</f>
        <v>1.3</v>
      </c>
      <c r="AQ317" s="27">
        <f>IF((OR(R317="A",R317="B",R317="C")),INDEX(Coefficients!$S$4:$S$22,MATCH(K317,Coefficients!$R$4:$R$22)),INDEX(Coefficients!$T$4:$T$22,MATCH(K317,Coefficients!$R$4:$R$22)))</f>
        <v>25</v>
      </c>
      <c r="AR317" s="27">
        <f>IF(OR(R317="A",R317="B",R317="C",R317="D"),IF(AN317&gt;=11,IF(AN317&gt;=26,Coefficients!$M$6,Coefficients!$M$5),Coefficients!$M$4),IF(AN317&gt;=11,IF(AN317&gt;=26,Coefficients!$N$6,Coefficients!$N$5),Coefficients!$N$4))</f>
        <v>1</v>
      </c>
      <c r="AS317" s="27">
        <f>INDEX(Coefficients!$X$3:$X$4,MATCH(S317,Coefficients!$W$3:$W$4))</f>
        <v>1</v>
      </c>
      <c r="AT317" s="27">
        <f>INDEX(Coefficients!$X$7:$X$8,MATCH(O317,Coefficients!$W$7:$W$8))</f>
        <v>1</v>
      </c>
      <c r="AU317" s="27">
        <f>INDEX(Coefficients!$X$11:$X$12,MATCH(P317,Coefficients!$W$11:$W$12))</f>
        <v>1</v>
      </c>
      <c r="AV317" s="27">
        <f>INDEX(Coefficients!$X$15:$X$17,MATCH(Q317,Coefficients!$W$15:$W$17))</f>
        <v>1</v>
      </c>
      <c r="AW317" s="27">
        <f t="shared" si="304"/>
        <v>1</v>
      </c>
      <c r="AX317" s="27">
        <f t="shared" si="305"/>
        <v>1</v>
      </c>
      <c r="AY317" s="27">
        <f t="shared" si="306"/>
        <v>1.3</v>
      </c>
      <c r="AZ317" s="35">
        <f t="shared" si="307"/>
        <v>43.071844643247012</v>
      </c>
      <c r="BA317" s="35">
        <f t="shared" si="308"/>
        <v>0</v>
      </c>
      <c r="BB317" s="35">
        <f t="shared" si="309"/>
        <v>2.2397359214488444</v>
      </c>
      <c r="BC317" s="35">
        <f t="shared" si="310"/>
        <v>1.7760264078551156</v>
      </c>
      <c r="BD317" s="35">
        <f t="shared" si="293"/>
        <v>0.46434045640846927</v>
      </c>
      <c r="BE317" s="16">
        <f t="shared" si="294"/>
        <v>46.338472757168958</v>
      </c>
      <c r="BF317" s="16">
        <f t="shared" si="295"/>
        <v>307.32305448566206</v>
      </c>
      <c r="BG317" s="25">
        <f t="shared" si="296"/>
        <v>0.46338472757168958</v>
      </c>
      <c r="BH317" s="35">
        <f t="shared" si="297"/>
        <v>101.94464006577172</v>
      </c>
      <c r="BI317" s="35">
        <f t="shared" si="298"/>
        <v>196.11071986845656</v>
      </c>
      <c r="BJ317" s="35">
        <f t="shared" si="299"/>
        <v>37.95886351106892</v>
      </c>
    </row>
    <row r="318" spans="2:62">
      <c r="B318" s="35" t="s">
        <v>133</v>
      </c>
      <c r="C318" s="84" t="str">
        <f>MostLikely!$B$1</f>
        <v>MRI-CGCM2.3.2</v>
      </c>
      <c r="D318" s="89">
        <v>2020</v>
      </c>
      <c r="E318" s="57">
        <f>'Cooler&amp;Wetter'!AA48</f>
        <v>35.533333333333331</v>
      </c>
      <c r="F318" s="90">
        <f>MostLikely!AD48</f>
        <v>21.917642066666666</v>
      </c>
      <c r="G318" s="35">
        <f t="shared" si="300"/>
        <v>2005</v>
      </c>
      <c r="H318" s="91" t="str">
        <f t="shared" si="280"/>
        <v>Pile 32 @ Berth 201</v>
      </c>
      <c r="I318" s="35" t="str">
        <f t="shared" si="281"/>
        <v>Turpentine Gum</v>
      </c>
      <c r="J318" s="35" t="str">
        <f t="shared" si="282"/>
        <v>HW1</v>
      </c>
      <c r="K318" s="35" t="str">
        <f t="shared" si="301"/>
        <v>SPHU</v>
      </c>
      <c r="L318" s="35">
        <f t="shared" si="283"/>
        <v>400</v>
      </c>
      <c r="M318" s="35">
        <f t="shared" si="284"/>
        <v>20</v>
      </c>
      <c r="N318" s="35">
        <f t="shared" si="285"/>
        <v>200</v>
      </c>
      <c r="O318" s="35" t="str">
        <f t="shared" si="286"/>
        <v>MTN2</v>
      </c>
      <c r="P318" s="35" t="str">
        <f t="shared" si="287"/>
        <v>CNT2</v>
      </c>
      <c r="Q318" s="35" t="str">
        <f t="shared" si="288"/>
        <v>KNT3</v>
      </c>
      <c r="R318" s="35" t="str">
        <f t="shared" si="289"/>
        <v>E</v>
      </c>
      <c r="S318" s="35" t="str">
        <f t="shared" si="290"/>
        <v>EXP1</v>
      </c>
      <c r="T318" s="58"/>
      <c r="U318" s="58"/>
      <c r="V318" s="58"/>
      <c r="W318" s="58"/>
      <c r="X318" s="58"/>
      <c r="Y318" s="58"/>
      <c r="Z318" s="58"/>
      <c r="AA318" s="95">
        <f t="shared" si="248"/>
        <v>0.48660089027021597</v>
      </c>
      <c r="AB318" s="96">
        <f t="shared" si="302"/>
        <v>48.660089027021598</v>
      </c>
      <c r="AC318" s="58"/>
      <c r="AD318" s="58"/>
      <c r="AE318" s="58"/>
      <c r="AF318" s="58"/>
      <c r="AG318" s="58"/>
      <c r="AH318" s="58"/>
      <c r="AI318" s="58"/>
      <c r="AJ318" s="58"/>
      <c r="AK318" s="58"/>
      <c r="AL318" s="58"/>
      <c r="AM318" s="89">
        <f t="shared" si="303"/>
        <v>15</v>
      </c>
      <c r="AN318" s="36">
        <f t="shared" si="291"/>
        <v>35.533333333333331</v>
      </c>
      <c r="AO318" s="35">
        <f t="shared" si="292"/>
        <v>1.7275571794911291</v>
      </c>
      <c r="AP318" s="35">
        <f>IF((OR(R318="A",R318="B",R318="C")),INDEX(Coefficients!$S$4:$S$22,MATCH(J318,Coefficients!$R$4:$R$22)),INDEX(Coefficients!$T$4:$T$22,MATCH(J318,Coefficients!$R$4:$R$22)))</f>
        <v>1.3</v>
      </c>
      <c r="AQ318" s="27">
        <f>IF((OR(R318="A",R318="B",R318="C")),INDEX(Coefficients!$S$4:$S$22,MATCH(K318,Coefficients!$R$4:$R$22)),INDEX(Coefficients!$T$4:$T$22,MATCH(K318,Coefficients!$R$4:$R$22)))</f>
        <v>25</v>
      </c>
      <c r="AR318" s="27">
        <f>IF(OR(R318="A",R318="B",R318="C",R318="D"),IF(AN318&gt;=11,IF(AN318&gt;=26,Coefficients!$M$6,Coefficients!$M$5),Coefficients!$M$4),IF(AN318&gt;=11,IF(AN318&gt;=26,Coefficients!$N$6,Coefficients!$N$5),Coefficients!$N$4))</f>
        <v>1</v>
      </c>
      <c r="AS318" s="27">
        <f>INDEX(Coefficients!$X$3:$X$4,MATCH(S318,Coefficients!$W$3:$W$4))</f>
        <v>1</v>
      </c>
      <c r="AT318" s="27">
        <f>INDEX(Coefficients!$X$7:$X$8,MATCH(O318,Coefficients!$W$7:$W$8))</f>
        <v>1</v>
      </c>
      <c r="AU318" s="27">
        <f>INDEX(Coefficients!$X$11:$X$12,MATCH(P318,Coefficients!$W$11:$W$12))</f>
        <v>1</v>
      </c>
      <c r="AV318" s="27">
        <f>INDEX(Coefficients!$X$15:$X$17,MATCH(Q318,Coefficients!$W$15:$W$17))</f>
        <v>1</v>
      </c>
      <c r="AW318" s="27">
        <f t="shared" si="304"/>
        <v>1</v>
      </c>
      <c r="AX318" s="27">
        <f t="shared" si="305"/>
        <v>1</v>
      </c>
      <c r="AY318" s="27">
        <f t="shared" si="306"/>
        <v>1.3</v>
      </c>
      <c r="AZ318" s="35">
        <f t="shared" si="307"/>
        <v>43.18892948727823</v>
      </c>
      <c r="BA318" s="35">
        <f t="shared" si="308"/>
        <v>0</v>
      </c>
      <c r="BB318" s="35">
        <f t="shared" si="309"/>
        <v>2.2458243333384678</v>
      </c>
      <c r="BC318" s="35">
        <f t="shared" si="310"/>
        <v>1.7754175666661531</v>
      </c>
      <c r="BD318" s="35">
        <f t="shared" si="293"/>
        <v>0.46308163312756379</v>
      </c>
      <c r="BE318" s="16">
        <f t="shared" si="294"/>
        <v>48.660089027021598</v>
      </c>
      <c r="BF318" s="16">
        <f t="shared" si="295"/>
        <v>302.6798219459568</v>
      </c>
      <c r="BG318" s="25">
        <f t="shared" si="296"/>
        <v>0.48660089027021597</v>
      </c>
      <c r="BH318" s="35">
        <f t="shared" si="297"/>
        <v>107.05219585944752</v>
      </c>
      <c r="BI318" s="35">
        <f t="shared" si="298"/>
        <v>185.89560828110496</v>
      </c>
      <c r="BJ318" s="35">
        <f t="shared" si="299"/>
        <v>37.860163286529399</v>
      </c>
    </row>
    <row r="319" spans="2:62">
      <c r="B319" s="35" t="s">
        <v>133</v>
      </c>
      <c r="C319" s="84" t="str">
        <f>MostLikely!$B$1</f>
        <v>MRI-CGCM2.3.2</v>
      </c>
      <c r="D319" s="89">
        <v>2021</v>
      </c>
      <c r="E319" s="57">
        <f>'Cooler&amp;Wetter'!AA49</f>
        <v>35.534999999999997</v>
      </c>
      <c r="F319" s="90">
        <f>MostLikely!AD49</f>
        <v>21.938524170000001</v>
      </c>
      <c r="G319" s="35">
        <f t="shared" si="300"/>
        <v>2005</v>
      </c>
      <c r="H319" s="91" t="str">
        <f t="shared" si="280"/>
        <v>Pile 32 @ Berth 201</v>
      </c>
      <c r="I319" s="35" t="str">
        <f t="shared" si="281"/>
        <v>Turpentine Gum</v>
      </c>
      <c r="J319" s="35" t="str">
        <f t="shared" si="282"/>
        <v>HW1</v>
      </c>
      <c r="K319" s="35" t="str">
        <f t="shared" si="301"/>
        <v>SPHU</v>
      </c>
      <c r="L319" s="35">
        <f t="shared" si="283"/>
        <v>400</v>
      </c>
      <c r="M319" s="35">
        <f t="shared" si="284"/>
        <v>20</v>
      </c>
      <c r="N319" s="35">
        <f t="shared" si="285"/>
        <v>200</v>
      </c>
      <c r="O319" s="35" t="str">
        <f t="shared" si="286"/>
        <v>MTN2</v>
      </c>
      <c r="P319" s="35" t="str">
        <f t="shared" si="287"/>
        <v>CNT2</v>
      </c>
      <c r="Q319" s="35" t="str">
        <f t="shared" si="288"/>
        <v>KNT3</v>
      </c>
      <c r="R319" s="35" t="str">
        <f t="shared" si="289"/>
        <v>E</v>
      </c>
      <c r="S319" s="35" t="str">
        <f t="shared" si="290"/>
        <v>EXP1</v>
      </c>
      <c r="T319" s="58"/>
      <c r="U319" s="58"/>
      <c r="V319" s="58"/>
      <c r="W319" s="58"/>
      <c r="X319" s="58"/>
      <c r="Y319" s="58"/>
      <c r="Z319" s="58"/>
      <c r="AA319" s="95">
        <f t="shared" si="248"/>
        <v>0.50994128695553431</v>
      </c>
      <c r="AB319" s="96">
        <f t="shared" si="302"/>
        <v>50.994128695553435</v>
      </c>
      <c r="AC319" s="58"/>
      <c r="AD319" s="58"/>
      <c r="AE319" s="58"/>
      <c r="AF319" s="58"/>
      <c r="AG319" s="58"/>
      <c r="AH319" s="58"/>
      <c r="AI319" s="58"/>
      <c r="AJ319" s="58"/>
      <c r="AK319" s="58"/>
      <c r="AL319" s="58"/>
      <c r="AM319" s="89">
        <f t="shared" si="303"/>
        <v>16</v>
      </c>
      <c r="AN319" s="36">
        <f t="shared" si="291"/>
        <v>35.534999999999997</v>
      </c>
      <c r="AO319" s="35">
        <f t="shared" si="292"/>
        <v>1.7322533044096478</v>
      </c>
      <c r="AP319" s="35">
        <f>IF((OR(R319="A",R319="B",R319="C")),INDEX(Coefficients!$S$4:$S$22,MATCH(J319,Coefficients!$R$4:$R$22)),INDEX(Coefficients!$T$4:$T$22,MATCH(J319,Coefficients!$R$4:$R$22)))</f>
        <v>1.3</v>
      </c>
      <c r="AQ319" s="27">
        <f>IF((OR(R319="A",R319="B",R319="C")),INDEX(Coefficients!$S$4:$S$22,MATCH(K319,Coefficients!$R$4:$R$22)),INDEX(Coefficients!$T$4:$T$22,MATCH(K319,Coefficients!$R$4:$R$22)))</f>
        <v>25</v>
      </c>
      <c r="AR319" s="27">
        <f>IF(OR(R319="A",R319="B",R319="C",R319="D"),IF(AN319&gt;=11,IF(AN319&gt;=26,Coefficients!$M$6,Coefficients!$M$5),Coefficients!$M$4),IF(AN319&gt;=11,IF(AN319&gt;=26,Coefficients!$N$6,Coefficients!$N$5),Coefficients!$N$4))</f>
        <v>1</v>
      </c>
      <c r="AS319" s="27">
        <f>INDEX(Coefficients!$X$3:$X$4,MATCH(S319,Coefficients!$W$3:$W$4))</f>
        <v>1</v>
      </c>
      <c r="AT319" s="27">
        <f>INDEX(Coefficients!$X$7:$X$8,MATCH(O319,Coefficients!$W$7:$W$8))</f>
        <v>1</v>
      </c>
      <c r="AU319" s="27">
        <f>INDEX(Coefficients!$X$11:$X$12,MATCH(P319,Coefficients!$W$11:$W$12))</f>
        <v>1</v>
      </c>
      <c r="AV319" s="27">
        <f>INDEX(Coefficients!$X$15:$X$17,MATCH(Q319,Coefficients!$W$15:$W$17))</f>
        <v>1</v>
      </c>
      <c r="AW319" s="27">
        <f t="shared" si="304"/>
        <v>1</v>
      </c>
      <c r="AX319" s="27">
        <f t="shared" si="305"/>
        <v>1</v>
      </c>
      <c r="AY319" s="27">
        <f t="shared" si="306"/>
        <v>1.3</v>
      </c>
      <c r="AZ319" s="35">
        <f t="shared" si="307"/>
        <v>43.306332610241192</v>
      </c>
      <c r="BA319" s="35">
        <f t="shared" si="308"/>
        <v>0</v>
      </c>
      <c r="BB319" s="35">
        <f t="shared" si="309"/>
        <v>2.2519292957325421</v>
      </c>
      <c r="BC319" s="35">
        <f t="shared" si="310"/>
        <v>1.7748070704267458</v>
      </c>
      <c r="BD319" s="35">
        <f t="shared" si="293"/>
        <v>0.46182622250655203</v>
      </c>
      <c r="BE319" s="16">
        <f t="shared" si="294"/>
        <v>50.994128695553435</v>
      </c>
      <c r="BF319" s="16">
        <f t="shared" si="295"/>
        <v>298.01174260889314</v>
      </c>
      <c r="BG319" s="25">
        <f t="shared" si="296"/>
        <v>0.50994128695553431</v>
      </c>
      <c r="BH319" s="35">
        <f t="shared" si="297"/>
        <v>112.18708313021757</v>
      </c>
      <c r="BI319" s="35">
        <f t="shared" si="298"/>
        <v>175.62583373956485</v>
      </c>
      <c r="BJ319" s="35">
        <f t="shared" si="299"/>
        <v>37.76172733189884</v>
      </c>
    </row>
    <row r="320" spans="2:62">
      <c r="B320" s="35" t="s">
        <v>133</v>
      </c>
      <c r="C320" s="84" t="str">
        <f>MostLikely!$B$1</f>
        <v>MRI-CGCM2.3.2</v>
      </c>
      <c r="D320" s="89">
        <v>2022</v>
      </c>
      <c r="E320" s="57">
        <f>'Cooler&amp;Wetter'!AA50</f>
        <v>35.536666666666669</v>
      </c>
      <c r="F320" s="90">
        <f>MostLikely!AD50</f>
        <v>21.959406273333332</v>
      </c>
      <c r="G320" s="35">
        <f t="shared" si="300"/>
        <v>2005</v>
      </c>
      <c r="H320" s="91" t="str">
        <f t="shared" si="280"/>
        <v>Pile 32 @ Berth 201</v>
      </c>
      <c r="I320" s="35" t="str">
        <f t="shared" si="281"/>
        <v>Turpentine Gum</v>
      </c>
      <c r="J320" s="35" t="str">
        <f t="shared" si="282"/>
        <v>HW1</v>
      </c>
      <c r="K320" s="35" t="str">
        <f t="shared" si="301"/>
        <v>SPHU</v>
      </c>
      <c r="L320" s="35">
        <f t="shared" si="283"/>
        <v>400</v>
      </c>
      <c r="M320" s="35">
        <f t="shared" si="284"/>
        <v>20</v>
      </c>
      <c r="N320" s="35">
        <f t="shared" si="285"/>
        <v>200</v>
      </c>
      <c r="O320" s="35" t="str">
        <f t="shared" si="286"/>
        <v>MTN2</v>
      </c>
      <c r="P320" s="35" t="str">
        <f t="shared" si="287"/>
        <v>CNT2</v>
      </c>
      <c r="Q320" s="35" t="str">
        <f t="shared" si="288"/>
        <v>KNT3</v>
      </c>
      <c r="R320" s="35" t="str">
        <f t="shared" si="289"/>
        <v>E</v>
      </c>
      <c r="S320" s="35" t="str">
        <f t="shared" si="290"/>
        <v>EXP1</v>
      </c>
      <c r="T320" s="58"/>
      <c r="U320" s="58"/>
      <c r="V320" s="58"/>
      <c r="W320" s="58"/>
      <c r="X320" s="58"/>
      <c r="Y320" s="58"/>
      <c r="Z320" s="58"/>
      <c r="AA320" s="95">
        <f t="shared" si="248"/>
        <v>0.53340642170073815</v>
      </c>
      <c r="AB320" s="96">
        <f t="shared" si="302"/>
        <v>53.340642170073821</v>
      </c>
      <c r="AC320" s="58"/>
      <c r="AD320" s="58"/>
      <c r="AE320" s="58"/>
      <c r="AF320" s="58"/>
      <c r="AG320" s="58"/>
      <c r="AH320" s="58"/>
      <c r="AI320" s="58"/>
      <c r="AJ320" s="58"/>
      <c r="AK320" s="58"/>
      <c r="AL320" s="58"/>
      <c r="AM320" s="89">
        <f t="shared" si="303"/>
        <v>17</v>
      </c>
      <c r="AN320" s="36">
        <f t="shared" si="291"/>
        <v>35.536666666666669</v>
      </c>
      <c r="AO320" s="35">
        <f t="shared" si="292"/>
        <v>1.7369621950933241</v>
      </c>
      <c r="AP320" s="35">
        <f>IF((OR(R320="A",R320="B",R320="C")),INDEX(Coefficients!$S$4:$S$22,MATCH(J320,Coefficients!$R$4:$R$22)),INDEX(Coefficients!$T$4:$T$22,MATCH(J320,Coefficients!$R$4:$R$22)))</f>
        <v>1.3</v>
      </c>
      <c r="AQ320" s="27">
        <f>IF((OR(R320="A",R320="B",R320="C")),INDEX(Coefficients!$S$4:$S$22,MATCH(K320,Coefficients!$R$4:$R$22)),INDEX(Coefficients!$T$4:$T$22,MATCH(K320,Coefficients!$R$4:$R$22)))</f>
        <v>25</v>
      </c>
      <c r="AR320" s="27">
        <f>IF(OR(R320="A",R320="B",R320="C",R320="D"),IF(AN320&gt;=11,IF(AN320&gt;=26,Coefficients!$M$6,Coefficients!$M$5),Coefficients!$M$4),IF(AN320&gt;=11,IF(AN320&gt;=26,Coefficients!$N$6,Coefficients!$N$5),Coefficients!$N$4))</f>
        <v>1</v>
      </c>
      <c r="AS320" s="27">
        <f>INDEX(Coefficients!$X$3:$X$4,MATCH(S320,Coefficients!$W$3:$W$4))</f>
        <v>1</v>
      </c>
      <c r="AT320" s="27">
        <f>INDEX(Coefficients!$X$7:$X$8,MATCH(O320,Coefficients!$W$7:$W$8))</f>
        <v>1</v>
      </c>
      <c r="AU320" s="27">
        <f>INDEX(Coefficients!$X$11:$X$12,MATCH(P320,Coefficients!$W$11:$W$12))</f>
        <v>1</v>
      </c>
      <c r="AV320" s="27">
        <f>INDEX(Coefficients!$X$15:$X$17,MATCH(Q320,Coefficients!$W$15:$W$17))</f>
        <v>1</v>
      </c>
      <c r="AW320" s="27">
        <f t="shared" si="304"/>
        <v>1</v>
      </c>
      <c r="AX320" s="27">
        <f t="shared" si="305"/>
        <v>1</v>
      </c>
      <c r="AY320" s="27">
        <f t="shared" si="306"/>
        <v>1.3</v>
      </c>
      <c r="AZ320" s="35">
        <f t="shared" si="307"/>
        <v>43.424054877333099</v>
      </c>
      <c r="BA320" s="35">
        <f t="shared" si="308"/>
        <v>0</v>
      </c>
      <c r="BB320" s="35">
        <f t="shared" si="309"/>
        <v>2.2580508536213215</v>
      </c>
      <c r="BC320" s="35">
        <f t="shared" si="310"/>
        <v>1.7741949146378677</v>
      </c>
      <c r="BD320" s="35">
        <f t="shared" si="293"/>
        <v>0.4605742152937401</v>
      </c>
      <c r="BE320" s="16">
        <f t="shared" si="294"/>
        <v>53.340642170073821</v>
      </c>
      <c r="BF320" s="16">
        <f t="shared" si="295"/>
        <v>293.31871565985239</v>
      </c>
      <c r="BG320" s="25">
        <f t="shared" si="296"/>
        <v>0.53340642170073815</v>
      </c>
      <c r="BH320" s="35">
        <f t="shared" si="297"/>
        <v>117.34941277416242</v>
      </c>
      <c r="BI320" s="35">
        <f t="shared" si="298"/>
        <v>165.30117445167517</v>
      </c>
      <c r="BJ320" s="35">
        <f t="shared" si="299"/>
        <v>37.663554921757765</v>
      </c>
    </row>
    <row r="321" spans="2:62">
      <c r="B321" s="35" t="s">
        <v>133</v>
      </c>
      <c r="C321" s="84" t="str">
        <f>MostLikely!$B$1</f>
        <v>MRI-CGCM2.3.2</v>
      </c>
      <c r="D321" s="89">
        <v>2023</v>
      </c>
      <c r="E321" s="57">
        <f>'Cooler&amp;Wetter'!AA51</f>
        <v>35.538333333333334</v>
      </c>
      <c r="F321" s="90">
        <f>MostLikely!AD51</f>
        <v>21.980288376666664</v>
      </c>
      <c r="G321" s="35">
        <f t="shared" si="300"/>
        <v>2005</v>
      </c>
      <c r="H321" s="91" t="str">
        <f t="shared" si="280"/>
        <v>Pile 32 @ Berth 201</v>
      </c>
      <c r="I321" s="35" t="str">
        <f t="shared" si="281"/>
        <v>Turpentine Gum</v>
      </c>
      <c r="J321" s="35" t="str">
        <f t="shared" si="282"/>
        <v>HW1</v>
      </c>
      <c r="K321" s="35" t="str">
        <f t="shared" si="301"/>
        <v>SPHU</v>
      </c>
      <c r="L321" s="35">
        <f t="shared" si="283"/>
        <v>400</v>
      </c>
      <c r="M321" s="35">
        <f t="shared" si="284"/>
        <v>20</v>
      </c>
      <c r="N321" s="35">
        <f t="shared" si="285"/>
        <v>200</v>
      </c>
      <c r="O321" s="35" t="str">
        <f t="shared" si="286"/>
        <v>MTN2</v>
      </c>
      <c r="P321" s="35" t="str">
        <f t="shared" si="287"/>
        <v>CNT2</v>
      </c>
      <c r="Q321" s="35" t="str">
        <f t="shared" si="288"/>
        <v>KNT3</v>
      </c>
      <c r="R321" s="35" t="str">
        <f t="shared" si="289"/>
        <v>E</v>
      </c>
      <c r="S321" s="35" t="str">
        <f t="shared" si="290"/>
        <v>EXP1</v>
      </c>
      <c r="T321" s="58"/>
      <c r="U321" s="58"/>
      <c r="V321" s="58"/>
      <c r="W321" s="58"/>
      <c r="X321" s="58"/>
      <c r="Y321" s="58"/>
      <c r="Z321" s="58"/>
      <c r="AA321" s="95">
        <f t="shared" si="248"/>
        <v>0.55699680040250532</v>
      </c>
      <c r="AB321" s="96">
        <f t="shared" si="302"/>
        <v>55.699680040250534</v>
      </c>
      <c r="AC321" s="58"/>
      <c r="AD321" s="58"/>
      <c r="AE321" s="58"/>
      <c r="AF321" s="58"/>
      <c r="AG321" s="58"/>
      <c r="AH321" s="58"/>
      <c r="AI321" s="58"/>
      <c r="AJ321" s="58"/>
      <c r="AK321" s="58"/>
      <c r="AL321" s="58"/>
      <c r="AM321" s="89">
        <f t="shared" si="303"/>
        <v>18</v>
      </c>
      <c r="AN321" s="36">
        <f t="shared" si="291"/>
        <v>35.538333333333334</v>
      </c>
      <c r="AO321" s="35">
        <f t="shared" si="292"/>
        <v>1.7416838862441215</v>
      </c>
      <c r="AP321" s="35">
        <f>IF((OR(R321="A",R321="B",R321="C")),INDEX(Coefficients!$S$4:$S$22,MATCH(J321,Coefficients!$R$4:$R$22)),INDEX(Coefficients!$T$4:$T$22,MATCH(J321,Coefficients!$R$4:$R$22)))</f>
        <v>1.3</v>
      </c>
      <c r="AQ321" s="27">
        <f>IF((OR(R321="A",R321="B",R321="C")),INDEX(Coefficients!$S$4:$S$22,MATCH(K321,Coefficients!$R$4:$R$22)),INDEX(Coefficients!$T$4:$T$22,MATCH(K321,Coefficients!$R$4:$R$22)))</f>
        <v>25</v>
      </c>
      <c r="AR321" s="27">
        <f>IF(OR(R321="A",R321="B",R321="C",R321="D"),IF(AN321&gt;=11,IF(AN321&gt;=26,Coefficients!$M$6,Coefficients!$M$5),Coefficients!$M$4),IF(AN321&gt;=11,IF(AN321&gt;=26,Coefficients!$N$6,Coefficients!$N$5),Coefficients!$N$4))</f>
        <v>1</v>
      </c>
      <c r="AS321" s="27">
        <f>INDEX(Coefficients!$X$3:$X$4,MATCH(S321,Coefficients!$W$3:$W$4))</f>
        <v>1</v>
      </c>
      <c r="AT321" s="27">
        <f>INDEX(Coefficients!$X$7:$X$8,MATCH(O321,Coefficients!$W$7:$W$8))</f>
        <v>1</v>
      </c>
      <c r="AU321" s="27">
        <f>INDEX(Coefficients!$X$11:$X$12,MATCH(P321,Coefficients!$W$11:$W$12))</f>
        <v>1</v>
      </c>
      <c r="AV321" s="27">
        <f>INDEX(Coefficients!$X$15:$X$17,MATCH(Q321,Coefficients!$W$15:$W$17))</f>
        <v>1</v>
      </c>
      <c r="AW321" s="27">
        <f t="shared" si="304"/>
        <v>1</v>
      </c>
      <c r="AX321" s="27">
        <f t="shared" si="305"/>
        <v>1</v>
      </c>
      <c r="AY321" s="27">
        <f t="shared" si="306"/>
        <v>1.3</v>
      </c>
      <c r="AZ321" s="35">
        <f t="shared" si="307"/>
        <v>43.54209715610304</v>
      </c>
      <c r="BA321" s="35">
        <f t="shared" si="308"/>
        <v>0</v>
      </c>
      <c r="BB321" s="35">
        <f t="shared" si="309"/>
        <v>2.264189052117358</v>
      </c>
      <c r="BC321" s="35">
        <f t="shared" si="310"/>
        <v>1.7735810947882642</v>
      </c>
      <c r="BD321" s="35">
        <f t="shared" si="293"/>
        <v>0.45932560226251568</v>
      </c>
      <c r="BE321" s="16">
        <f t="shared" si="294"/>
        <v>55.699680040250534</v>
      </c>
      <c r="BF321" s="16">
        <f t="shared" si="295"/>
        <v>288.60063991949892</v>
      </c>
      <c r="BG321" s="25">
        <f t="shared" si="296"/>
        <v>0.55699680040250532</v>
      </c>
      <c r="BH321" s="35">
        <f t="shared" si="297"/>
        <v>122.53929608855118</v>
      </c>
      <c r="BI321" s="35">
        <f t="shared" si="298"/>
        <v>154.92140782289763</v>
      </c>
      <c r="BJ321" s="35">
        <f t="shared" si="299"/>
        <v>37.565645332628911</v>
      </c>
    </row>
    <row r="322" spans="2:62">
      <c r="B322" s="35" t="s">
        <v>133</v>
      </c>
      <c r="C322" s="84" t="str">
        <f>MostLikely!$B$1</f>
        <v>MRI-CGCM2.3.2</v>
      </c>
      <c r="D322" s="89">
        <v>2024</v>
      </c>
      <c r="E322" s="57">
        <f>'Cooler&amp;Wetter'!AA52</f>
        <v>35.54</v>
      </c>
      <c r="F322" s="90">
        <f>MostLikely!AD52</f>
        <v>22.001170479999999</v>
      </c>
      <c r="G322" s="35">
        <f t="shared" si="300"/>
        <v>2005</v>
      </c>
      <c r="H322" s="91" t="str">
        <f t="shared" si="280"/>
        <v>Pile 32 @ Berth 201</v>
      </c>
      <c r="I322" s="35" t="str">
        <f t="shared" si="281"/>
        <v>Turpentine Gum</v>
      </c>
      <c r="J322" s="35" t="str">
        <f t="shared" si="282"/>
        <v>HW1</v>
      </c>
      <c r="K322" s="35" t="str">
        <f t="shared" si="301"/>
        <v>SPHU</v>
      </c>
      <c r="L322" s="35">
        <f t="shared" si="283"/>
        <v>400</v>
      </c>
      <c r="M322" s="35">
        <f t="shared" si="284"/>
        <v>20</v>
      </c>
      <c r="N322" s="35">
        <f t="shared" si="285"/>
        <v>200</v>
      </c>
      <c r="O322" s="35" t="str">
        <f t="shared" si="286"/>
        <v>MTN2</v>
      </c>
      <c r="P322" s="35" t="str">
        <f t="shared" si="287"/>
        <v>CNT2</v>
      </c>
      <c r="Q322" s="35" t="str">
        <f t="shared" si="288"/>
        <v>KNT3</v>
      </c>
      <c r="R322" s="35" t="str">
        <f t="shared" si="289"/>
        <v>E</v>
      </c>
      <c r="S322" s="35" t="str">
        <f t="shared" si="290"/>
        <v>EXP1</v>
      </c>
      <c r="T322" s="58"/>
      <c r="U322" s="58"/>
      <c r="V322" s="58"/>
      <c r="W322" s="58"/>
      <c r="X322" s="58"/>
      <c r="Y322" s="58"/>
      <c r="Z322" s="58"/>
      <c r="AA322" s="95">
        <f t="shared" si="248"/>
        <v>0.58071293078729502</v>
      </c>
      <c r="AB322" s="96">
        <f t="shared" si="302"/>
        <v>58.071293078729504</v>
      </c>
      <c r="AC322" s="58"/>
      <c r="AD322" s="58"/>
      <c r="AE322" s="58"/>
      <c r="AF322" s="58"/>
      <c r="AG322" s="58"/>
      <c r="AH322" s="58"/>
      <c r="AI322" s="58"/>
      <c r="AJ322" s="58"/>
      <c r="AK322" s="58"/>
      <c r="AL322" s="58"/>
      <c r="AM322" s="89">
        <f t="shared" si="303"/>
        <v>19</v>
      </c>
      <c r="AN322" s="36">
        <f t="shared" si="291"/>
        <v>35.54</v>
      </c>
      <c r="AO322" s="35">
        <f t="shared" si="292"/>
        <v>1.7464184126583402</v>
      </c>
      <c r="AP322" s="35">
        <f>IF((OR(R322="A",R322="B",R322="C")),INDEX(Coefficients!$S$4:$S$22,MATCH(J322,Coefficients!$R$4:$R$22)),INDEX(Coefficients!$T$4:$T$22,MATCH(J322,Coefficients!$R$4:$R$22)))</f>
        <v>1.3</v>
      </c>
      <c r="AQ322" s="27">
        <f>IF((OR(R322="A",R322="B",R322="C")),INDEX(Coefficients!$S$4:$S$22,MATCH(K322,Coefficients!$R$4:$R$22)),INDEX(Coefficients!$T$4:$T$22,MATCH(K322,Coefficients!$R$4:$R$22)))</f>
        <v>25</v>
      </c>
      <c r="AR322" s="27">
        <f>IF(OR(R322="A",R322="B",R322="C",R322="D"),IF(AN322&gt;=11,IF(AN322&gt;=26,Coefficients!$M$6,Coefficients!$M$5),Coefficients!$M$4),IF(AN322&gt;=11,IF(AN322&gt;=26,Coefficients!$N$6,Coefficients!$N$5),Coefficients!$N$4))</f>
        <v>1</v>
      </c>
      <c r="AS322" s="27">
        <f>INDEX(Coefficients!$X$3:$X$4,MATCH(S322,Coefficients!$W$3:$W$4))</f>
        <v>1</v>
      </c>
      <c r="AT322" s="27">
        <f>INDEX(Coefficients!$X$7:$X$8,MATCH(O322,Coefficients!$W$7:$W$8))</f>
        <v>1</v>
      </c>
      <c r="AU322" s="27">
        <f>INDEX(Coefficients!$X$11:$X$12,MATCH(P322,Coefficients!$W$11:$W$12))</f>
        <v>1</v>
      </c>
      <c r="AV322" s="27">
        <f>INDEX(Coefficients!$X$15:$X$17,MATCH(Q322,Coefficients!$W$15:$W$17))</f>
        <v>1</v>
      </c>
      <c r="AW322" s="27">
        <f t="shared" si="304"/>
        <v>1</v>
      </c>
      <c r="AX322" s="27">
        <f t="shared" si="305"/>
        <v>1</v>
      </c>
      <c r="AY322" s="27">
        <f t="shared" si="306"/>
        <v>1.3</v>
      </c>
      <c r="AZ322" s="35">
        <f t="shared" si="307"/>
        <v>43.660460316458504</v>
      </c>
      <c r="BA322" s="35">
        <f t="shared" si="308"/>
        <v>0</v>
      </c>
      <c r="BB322" s="35">
        <f t="shared" si="309"/>
        <v>2.2703439364558422</v>
      </c>
      <c r="BC322" s="35">
        <f t="shared" si="310"/>
        <v>1.7729656063544157</v>
      </c>
      <c r="BD322" s="35">
        <f t="shared" si="293"/>
        <v>0.45808037421127878</v>
      </c>
      <c r="BE322" s="16">
        <f t="shared" si="294"/>
        <v>58.071293078729504</v>
      </c>
      <c r="BF322" s="16">
        <f t="shared" si="295"/>
        <v>283.85741384254101</v>
      </c>
      <c r="BG322" s="25">
        <f t="shared" si="296"/>
        <v>0.58071293078729502</v>
      </c>
      <c r="BH322" s="35">
        <f t="shared" si="297"/>
        <v>127.75684477320492</v>
      </c>
      <c r="BI322" s="35">
        <f t="shared" si="298"/>
        <v>144.48631045359016</v>
      </c>
      <c r="BJ322" s="35">
        <f t="shared" si="299"/>
        <v>37.467997842971755</v>
      </c>
    </row>
    <row r="323" spans="2:62">
      <c r="B323" s="35" t="s">
        <v>133</v>
      </c>
      <c r="C323" s="84" t="str">
        <f>MostLikely!$B$1</f>
        <v>MRI-CGCM2.3.2</v>
      </c>
      <c r="D323" s="89">
        <v>2025</v>
      </c>
      <c r="E323" s="57">
        <f>'Cooler&amp;Wetter'!AA53</f>
        <v>35.541666666666664</v>
      </c>
      <c r="F323" s="90">
        <f>MostLikely!AD53</f>
        <v>22.022052583333334</v>
      </c>
      <c r="G323" s="35">
        <f t="shared" si="300"/>
        <v>2005</v>
      </c>
      <c r="H323" s="91" t="str">
        <f t="shared" si="280"/>
        <v>Pile 32 @ Berth 201</v>
      </c>
      <c r="I323" s="35" t="str">
        <f t="shared" si="281"/>
        <v>Turpentine Gum</v>
      </c>
      <c r="J323" s="35" t="str">
        <f t="shared" si="282"/>
        <v>HW1</v>
      </c>
      <c r="K323" s="35" t="str">
        <f t="shared" si="301"/>
        <v>SPHU</v>
      </c>
      <c r="L323" s="35">
        <f t="shared" si="283"/>
        <v>400</v>
      </c>
      <c r="M323" s="35">
        <f t="shared" si="284"/>
        <v>20</v>
      </c>
      <c r="N323" s="35">
        <f t="shared" si="285"/>
        <v>200</v>
      </c>
      <c r="O323" s="35" t="str">
        <f t="shared" si="286"/>
        <v>MTN2</v>
      </c>
      <c r="P323" s="35" t="str">
        <f t="shared" si="287"/>
        <v>CNT2</v>
      </c>
      <c r="Q323" s="35" t="str">
        <f t="shared" si="288"/>
        <v>KNT3</v>
      </c>
      <c r="R323" s="35" t="str">
        <f t="shared" si="289"/>
        <v>E</v>
      </c>
      <c r="S323" s="35" t="str">
        <f t="shared" si="290"/>
        <v>EXP1</v>
      </c>
      <c r="T323" s="58"/>
      <c r="U323" s="58"/>
      <c r="V323" s="58"/>
      <c r="W323" s="58"/>
      <c r="X323" s="58"/>
      <c r="Y323" s="58"/>
      <c r="Z323" s="58"/>
      <c r="AA323" s="95">
        <f t="shared" si="248"/>
        <v>0.60455532241756094</v>
      </c>
      <c r="AB323" s="96">
        <f t="shared" si="302"/>
        <v>60.455532241756096</v>
      </c>
      <c r="AC323" s="58"/>
      <c r="AD323" s="58"/>
      <c r="AE323" s="58"/>
      <c r="AF323" s="58"/>
      <c r="AG323" s="58"/>
      <c r="AH323" s="58"/>
      <c r="AI323" s="58"/>
      <c r="AJ323" s="58"/>
      <c r="AK323" s="58"/>
      <c r="AL323" s="58"/>
      <c r="AM323" s="89">
        <f t="shared" si="303"/>
        <v>20</v>
      </c>
      <c r="AN323" s="36">
        <f t="shared" si="291"/>
        <v>35.541666666666664</v>
      </c>
      <c r="AO323" s="35">
        <f t="shared" si="292"/>
        <v>1.751165809226864</v>
      </c>
      <c r="AP323" s="35">
        <f>IF((OR(R323="A",R323="B",R323="C")),INDEX(Coefficients!$S$4:$S$22,MATCH(J323,Coefficients!$R$4:$R$22)),INDEX(Coefficients!$T$4:$T$22,MATCH(J323,Coefficients!$R$4:$R$22)))</f>
        <v>1.3</v>
      </c>
      <c r="AQ323" s="27">
        <f>IF((OR(R323="A",R323="B",R323="C")),INDEX(Coefficients!$S$4:$S$22,MATCH(K323,Coefficients!$R$4:$R$22)),INDEX(Coefficients!$T$4:$T$22,MATCH(K323,Coefficients!$R$4:$R$22)))</f>
        <v>25</v>
      </c>
      <c r="AR323" s="27">
        <f>IF(OR(R323="A",R323="B",R323="C",R323="D"),IF(AN323&gt;=11,IF(AN323&gt;=26,Coefficients!$M$6,Coefficients!$M$5),Coefficients!$M$4),IF(AN323&gt;=11,IF(AN323&gt;=26,Coefficients!$N$6,Coefficients!$N$5),Coefficients!$N$4))</f>
        <v>1</v>
      </c>
      <c r="AS323" s="27">
        <f>INDEX(Coefficients!$X$3:$X$4,MATCH(S323,Coefficients!$W$3:$W$4))</f>
        <v>1</v>
      </c>
      <c r="AT323" s="27">
        <f>INDEX(Coefficients!$X$7:$X$8,MATCH(O323,Coefficients!$W$7:$W$8))</f>
        <v>1</v>
      </c>
      <c r="AU323" s="27">
        <f>INDEX(Coefficients!$X$11:$X$12,MATCH(P323,Coefficients!$W$11:$W$12))</f>
        <v>1</v>
      </c>
      <c r="AV323" s="27">
        <f>INDEX(Coefficients!$X$15:$X$17,MATCH(Q323,Coefficients!$W$15:$W$17))</f>
        <v>1</v>
      </c>
      <c r="AW323" s="27">
        <f t="shared" si="304"/>
        <v>1</v>
      </c>
      <c r="AX323" s="27">
        <f t="shared" si="305"/>
        <v>1</v>
      </c>
      <c r="AY323" s="27">
        <f t="shared" si="306"/>
        <v>1.3</v>
      </c>
      <c r="AZ323" s="35">
        <f t="shared" si="307"/>
        <v>43.779145230671602</v>
      </c>
      <c r="BA323" s="35">
        <f t="shared" si="308"/>
        <v>0</v>
      </c>
      <c r="BB323" s="35">
        <f t="shared" si="309"/>
        <v>2.2765155519949234</v>
      </c>
      <c r="BC323" s="35">
        <f t="shared" si="310"/>
        <v>1.7723484448005076</v>
      </c>
      <c r="BD323" s="35">
        <f t="shared" si="293"/>
        <v>0.4568385219633761</v>
      </c>
      <c r="BE323" s="16">
        <f t="shared" si="294"/>
        <v>60.455532241756096</v>
      </c>
      <c r="BF323" s="16">
        <f t="shared" si="295"/>
        <v>279.08893551648782</v>
      </c>
      <c r="BG323" s="25">
        <f t="shared" si="296"/>
        <v>0.60455532241756094</v>
      </c>
      <c r="BH323" s="35">
        <f t="shared" si="297"/>
        <v>133.00217093186342</v>
      </c>
      <c r="BI323" s="35">
        <f t="shared" si="298"/>
        <v>133.99565813627316</v>
      </c>
      <c r="BJ323" s="35">
        <f t="shared" si="299"/>
        <v>37.370611733177427</v>
      </c>
    </row>
    <row r="324" spans="2:62">
      <c r="B324" s="35" t="s">
        <v>133</v>
      </c>
      <c r="C324" s="84" t="str">
        <f>MostLikely!$B$1</f>
        <v>MRI-CGCM2.3.2</v>
      </c>
      <c r="D324" s="89">
        <v>2026</v>
      </c>
      <c r="E324" s="57">
        <f>'Cooler&amp;Wetter'!AA54</f>
        <v>35.543333333333337</v>
      </c>
      <c r="F324" s="90">
        <f>MostLikely!AD54</f>
        <v>22.042934686666666</v>
      </c>
      <c r="G324" s="35">
        <f t="shared" si="300"/>
        <v>2005</v>
      </c>
      <c r="H324" s="91" t="str">
        <f t="shared" si="280"/>
        <v>Pile 32 @ Berth 201</v>
      </c>
      <c r="I324" s="35" t="str">
        <f t="shared" si="281"/>
        <v>Turpentine Gum</v>
      </c>
      <c r="J324" s="35" t="str">
        <f t="shared" si="282"/>
        <v>HW1</v>
      </c>
      <c r="K324" s="35" t="str">
        <f t="shared" si="301"/>
        <v>SPHU</v>
      </c>
      <c r="L324" s="35">
        <f t="shared" si="283"/>
        <v>400</v>
      </c>
      <c r="M324" s="35">
        <f t="shared" si="284"/>
        <v>20</v>
      </c>
      <c r="N324" s="35">
        <f t="shared" si="285"/>
        <v>200</v>
      </c>
      <c r="O324" s="35" t="str">
        <f t="shared" si="286"/>
        <v>MTN2</v>
      </c>
      <c r="P324" s="35" t="str">
        <f t="shared" si="287"/>
        <v>CNT2</v>
      </c>
      <c r="Q324" s="35" t="str">
        <f t="shared" si="288"/>
        <v>KNT3</v>
      </c>
      <c r="R324" s="35" t="str">
        <f t="shared" si="289"/>
        <v>E</v>
      </c>
      <c r="S324" s="35" t="str">
        <f t="shared" si="290"/>
        <v>EXP1</v>
      </c>
      <c r="T324" s="58"/>
      <c r="U324" s="58"/>
      <c r="V324" s="58"/>
      <c r="W324" s="58"/>
      <c r="X324" s="58"/>
      <c r="Y324" s="58"/>
      <c r="Z324" s="58"/>
      <c r="AA324" s="95">
        <f t="shared" si="248"/>
        <v>0.62852448669798944</v>
      </c>
      <c r="AB324" s="96">
        <f t="shared" si="302"/>
        <v>62.852448669798939</v>
      </c>
      <c r="AC324" s="58"/>
      <c r="AD324" s="58"/>
      <c r="AE324" s="58"/>
      <c r="AF324" s="58"/>
      <c r="AG324" s="58"/>
      <c r="AH324" s="58"/>
      <c r="AI324" s="58"/>
      <c r="AJ324" s="58"/>
      <c r="AK324" s="58"/>
      <c r="AL324" s="58"/>
      <c r="AM324" s="89">
        <f t="shared" si="303"/>
        <v>21</v>
      </c>
      <c r="AN324" s="36">
        <f t="shared" si="291"/>
        <v>35.543333333333337</v>
      </c>
      <c r="AO324" s="35">
        <f t="shared" si="292"/>
        <v>1.7559261109354243</v>
      </c>
      <c r="AP324" s="35">
        <f>IF((OR(R324="A",R324="B",R324="C")),INDEX(Coefficients!$S$4:$S$22,MATCH(J324,Coefficients!$R$4:$R$22)),INDEX(Coefficients!$T$4:$T$22,MATCH(J324,Coefficients!$R$4:$R$22)))</f>
        <v>1.3</v>
      </c>
      <c r="AQ324" s="27">
        <f>IF((OR(R324="A",R324="B",R324="C")),INDEX(Coefficients!$S$4:$S$22,MATCH(K324,Coefficients!$R$4:$R$22)),INDEX(Coefficients!$T$4:$T$22,MATCH(K324,Coefficients!$R$4:$R$22)))</f>
        <v>25</v>
      </c>
      <c r="AR324" s="27">
        <f>IF(OR(R324="A",R324="B",R324="C",R324="D"),IF(AN324&gt;=11,IF(AN324&gt;=26,Coefficients!$M$6,Coefficients!$M$5),Coefficients!$M$4),IF(AN324&gt;=11,IF(AN324&gt;=26,Coefficients!$N$6,Coefficients!$N$5),Coefficients!$N$4))</f>
        <v>1</v>
      </c>
      <c r="AS324" s="27">
        <f>INDEX(Coefficients!$X$3:$X$4,MATCH(S324,Coefficients!$W$3:$W$4))</f>
        <v>1</v>
      </c>
      <c r="AT324" s="27">
        <f>INDEX(Coefficients!$X$7:$X$8,MATCH(O324,Coefficients!$W$7:$W$8))</f>
        <v>1</v>
      </c>
      <c r="AU324" s="27">
        <f>INDEX(Coefficients!$X$11:$X$12,MATCH(P324,Coefficients!$W$11:$W$12))</f>
        <v>1</v>
      </c>
      <c r="AV324" s="27">
        <f>INDEX(Coefficients!$X$15:$X$17,MATCH(Q324,Coefficients!$W$15:$W$17))</f>
        <v>1</v>
      </c>
      <c r="AW324" s="27">
        <f t="shared" si="304"/>
        <v>1</v>
      </c>
      <c r="AX324" s="27">
        <f t="shared" si="305"/>
        <v>1</v>
      </c>
      <c r="AY324" s="27">
        <f t="shared" si="306"/>
        <v>1.3</v>
      </c>
      <c r="AZ324" s="35">
        <f t="shared" si="307"/>
        <v>43.898152773385604</v>
      </c>
      <c r="BA324" s="35">
        <f t="shared" si="308"/>
        <v>0</v>
      </c>
      <c r="BB324" s="35">
        <f t="shared" si="309"/>
        <v>2.2827039442160517</v>
      </c>
      <c r="BC324" s="35">
        <f t="shared" si="310"/>
        <v>1.7717296055783949</v>
      </c>
      <c r="BD324" s="35">
        <f t="shared" si="293"/>
        <v>0.45560003636703184</v>
      </c>
      <c r="BE324" s="16">
        <f t="shared" si="294"/>
        <v>62.852448669798939</v>
      </c>
      <c r="BF324" s="16">
        <f t="shared" si="295"/>
        <v>274.29510266040211</v>
      </c>
      <c r="BG324" s="25">
        <f t="shared" si="296"/>
        <v>0.62852448669798944</v>
      </c>
      <c r="BH324" s="35">
        <f t="shared" si="297"/>
        <v>138.27538707355768</v>
      </c>
      <c r="BI324" s="35">
        <f t="shared" si="298"/>
        <v>123.44922585288464</v>
      </c>
      <c r="BJ324" s="35">
        <f t="shared" si="299"/>
        <v>37.273486285563251</v>
      </c>
    </row>
    <row r="325" spans="2:62">
      <c r="B325" s="35" t="s">
        <v>133</v>
      </c>
      <c r="C325" s="84" t="str">
        <f>MostLikely!$B$1</f>
        <v>MRI-CGCM2.3.2</v>
      </c>
      <c r="D325" s="89">
        <v>2027</v>
      </c>
      <c r="E325" s="57">
        <f>'Cooler&amp;Wetter'!AA55</f>
        <v>35.545000000000002</v>
      </c>
      <c r="F325" s="90">
        <f>MostLikely!AD55</f>
        <v>22.063816789999997</v>
      </c>
      <c r="G325" s="35">
        <f t="shared" si="300"/>
        <v>2005</v>
      </c>
      <c r="H325" s="91" t="str">
        <f t="shared" si="280"/>
        <v>Pile 32 @ Berth 201</v>
      </c>
      <c r="I325" s="35" t="str">
        <f t="shared" si="281"/>
        <v>Turpentine Gum</v>
      </c>
      <c r="J325" s="35" t="str">
        <f t="shared" si="282"/>
        <v>HW1</v>
      </c>
      <c r="K325" s="35" t="str">
        <f t="shared" si="301"/>
        <v>SPHU</v>
      </c>
      <c r="L325" s="35">
        <f t="shared" si="283"/>
        <v>400</v>
      </c>
      <c r="M325" s="35">
        <f t="shared" si="284"/>
        <v>20</v>
      </c>
      <c r="N325" s="35">
        <f t="shared" si="285"/>
        <v>200</v>
      </c>
      <c r="O325" s="35" t="str">
        <f t="shared" si="286"/>
        <v>MTN2</v>
      </c>
      <c r="P325" s="35" t="str">
        <f t="shared" si="287"/>
        <v>CNT2</v>
      </c>
      <c r="Q325" s="35" t="str">
        <f t="shared" si="288"/>
        <v>KNT3</v>
      </c>
      <c r="R325" s="35" t="str">
        <f t="shared" si="289"/>
        <v>E</v>
      </c>
      <c r="S325" s="35" t="str">
        <f t="shared" si="290"/>
        <v>EXP1</v>
      </c>
      <c r="T325" s="58"/>
      <c r="U325" s="58"/>
      <c r="V325" s="58"/>
      <c r="W325" s="58"/>
      <c r="X325" s="58"/>
      <c r="Y325" s="58"/>
      <c r="Z325" s="58"/>
      <c r="AA325" s="95">
        <f t="shared" si="248"/>
        <v>0.65262093688175471</v>
      </c>
      <c r="AB325" s="96">
        <f t="shared" si="302"/>
        <v>65.262093688175469</v>
      </c>
      <c r="AC325" s="58"/>
      <c r="AD325" s="58"/>
      <c r="AE325" s="58"/>
      <c r="AF325" s="58"/>
      <c r="AG325" s="58"/>
      <c r="AH325" s="58"/>
      <c r="AI325" s="58"/>
      <c r="AJ325" s="58"/>
      <c r="AK325" s="58"/>
      <c r="AL325" s="58"/>
      <c r="AM325" s="89">
        <f t="shared" si="303"/>
        <v>22</v>
      </c>
      <c r="AN325" s="36">
        <f t="shared" si="291"/>
        <v>35.545000000000002</v>
      </c>
      <c r="AO325" s="35">
        <f t="shared" si="292"/>
        <v>1.7606993528648567</v>
      </c>
      <c r="AP325" s="35">
        <f>IF((OR(R325="A",R325="B",R325="C")),INDEX(Coefficients!$S$4:$S$22,MATCH(J325,Coefficients!$R$4:$R$22)),INDEX(Coefficients!$T$4:$T$22,MATCH(J325,Coefficients!$R$4:$R$22)))</f>
        <v>1.3</v>
      </c>
      <c r="AQ325" s="27">
        <f>IF((OR(R325="A",R325="B",R325="C")),INDEX(Coefficients!$S$4:$S$22,MATCH(K325,Coefficients!$R$4:$R$22)),INDEX(Coefficients!$T$4:$T$22,MATCH(K325,Coefficients!$R$4:$R$22)))</f>
        <v>25</v>
      </c>
      <c r="AR325" s="27">
        <f>IF(OR(R325="A",R325="B",R325="C",R325="D"),IF(AN325&gt;=11,IF(AN325&gt;=26,Coefficients!$M$6,Coefficients!$M$5),Coefficients!$M$4),IF(AN325&gt;=11,IF(AN325&gt;=26,Coefficients!$N$6,Coefficients!$N$5),Coefficients!$N$4))</f>
        <v>1</v>
      </c>
      <c r="AS325" s="27">
        <f>INDEX(Coefficients!$X$3:$X$4,MATCH(S325,Coefficients!$W$3:$W$4))</f>
        <v>1</v>
      </c>
      <c r="AT325" s="27">
        <f>INDEX(Coefficients!$X$7:$X$8,MATCH(O325,Coefficients!$W$7:$W$8))</f>
        <v>1</v>
      </c>
      <c r="AU325" s="27">
        <f>INDEX(Coefficients!$X$11:$X$12,MATCH(P325,Coefficients!$W$11:$W$12))</f>
        <v>1</v>
      </c>
      <c r="AV325" s="27">
        <f>INDEX(Coefficients!$X$15:$X$17,MATCH(Q325,Coefficients!$W$15:$W$17))</f>
        <v>1</v>
      </c>
      <c r="AW325" s="27">
        <f t="shared" si="304"/>
        <v>1</v>
      </c>
      <c r="AX325" s="27">
        <f t="shared" si="305"/>
        <v>1</v>
      </c>
      <c r="AY325" s="27">
        <f t="shared" si="306"/>
        <v>1.3</v>
      </c>
      <c r="AZ325" s="35">
        <f t="shared" si="307"/>
        <v>44.017483821621418</v>
      </c>
      <c r="BA325" s="35">
        <f t="shared" si="308"/>
        <v>0</v>
      </c>
      <c r="BB325" s="35">
        <f t="shared" si="309"/>
        <v>2.2889091587243136</v>
      </c>
      <c r="BC325" s="35">
        <f t="shared" si="310"/>
        <v>1.7711090841275685</v>
      </c>
      <c r="BD325" s="35">
        <f t="shared" si="293"/>
        <v>0.45436490829528031</v>
      </c>
      <c r="BE325" s="16">
        <f t="shared" si="294"/>
        <v>65.262093688175469</v>
      </c>
      <c r="BF325" s="16">
        <f t="shared" si="295"/>
        <v>269.47581262364906</v>
      </c>
      <c r="BG325" s="25">
        <f t="shared" si="296"/>
        <v>0.65262093688175471</v>
      </c>
      <c r="BH325" s="35">
        <f t="shared" si="297"/>
        <v>143.57660611398603</v>
      </c>
      <c r="BI325" s="35">
        <f t="shared" si="298"/>
        <v>112.84678777202794</v>
      </c>
      <c r="BJ325" s="35">
        <f t="shared" si="299"/>
        <v>37.176620784367493</v>
      </c>
    </row>
    <row r="326" spans="2:62">
      <c r="B326" s="35" t="s">
        <v>133</v>
      </c>
      <c r="C326" s="84" t="str">
        <f>MostLikely!$B$1</f>
        <v>MRI-CGCM2.3.2</v>
      </c>
      <c r="D326" s="89">
        <v>2028</v>
      </c>
      <c r="E326" s="57">
        <f>'Cooler&amp;Wetter'!AA56</f>
        <v>35.546666666666667</v>
      </c>
      <c r="F326" s="90">
        <f>MostLikely!AD56</f>
        <v>22.084698893333332</v>
      </c>
      <c r="G326" s="35">
        <f t="shared" si="300"/>
        <v>2005</v>
      </c>
      <c r="H326" s="91" t="str">
        <f t="shared" si="280"/>
        <v>Pile 32 @ Berth 201</v>
      </c>
      <c r="I326" s="35" t="str">
        <f t="shared" si="281"/>
        <v>Turpentine Gum</v>
      </c>
      <c r="J326" s="35" t="str">
        <f t="shared" si="282"/>
        <v>HW1</v>
      </c>
      <c r="K326" s="35" t="str">
        <f t="shared" si="301"/>
        <v>SPHU</v>
      </c>
      <c r="L326" s="35">
        <f t="shared" si="283"/>
        <v>400</v>
      </c>
      <c r="M326" s="35">
        <f t="shared" si="284"/>
        <v>20</v>
      </c>
      <c r="N326" s="35">
        <f t="shared" si="285"/>
        <v>200</v>
      </c>
      <c r="O326" s="35" t="str">
        <f t="shared" si="286"/>
        <v>MTN2</v>
      </c>
      <c r="P326" s="35" t="str">
        <f t="shared" si="287"/>
        <v>CNT2</v>
      </c>
      <c r="Q326" s="35" t="str">
        <f t="shared" si="288"/>
        <v>KNT3</v>
      </c>
      <c r="R326" s="35" t="str">
        <f t="shared" si="289"/>
        <v>E</v>
      </c>
      <c r="S326" s="35" t="str">
        <f t="shared" si="290"/>
        <v>EXP1</v>
      </c>
      <c r="T326" s="58"/>
      <c r="U326" s="58"/>
      <c r="V326" s="58"/>
      <c r="W326" s="58"/>
      <c r="X326" s="58"/>
      <c r="Y326" s="58"/>
      <c r="Z326" s="58"/>
      <c r="AA326" s="95">
        <f t="shared" si="248"/>
        <v>0.67684518807679794</v>
      </c>
      <c r="AB326" s="96">
        <f t="shared" si="302"/>
        <v>67.684518807679794</v>
      </c>
      <c r="AC326" s="58"/>
      <c r="AD326" s="58"/>
      <c r="AE326" s="58"/>
      <c r="AF326" s="58"/>
      <c r="AG326" s="58"/>
      <c r="AH326" s="58"/>
      <c r="AI326" s="58"/>
      <c r="AJ326" s="58"/>
      <c r="AK326" s="58"/>
      <c r="AL326" s="58"/>
      <c r="AM326" s="89">
        <f t="shared" si="303"/>
        <v>23</v>
      </c>
      <c r="AN326" s="36">
        <f t="shared" si="291"/>
        <v>35.546666666666667</v>
      </c>
      <c r="AO326" s="35">
        <f t="shared" si="292"/>
        <v>1.7654855701913617</v>
      </c>
      <c r="AP326" s="35">
        <f>IF((OR(R326="A",R326="B",R326="C")),INDEX(Coefficients!$S$4:$S$22,MATCH(J326,Coefficients!$R$4:$R$22)),INDEX(Coefficients!$T$4:$T$22,MATCH(J326,Coefficients!$R$4:$R$22)))</f>
        <v>1.3</v>
      </c>
      <c r="AQ326" s="27">
        <f>IF((OR(R326="A",R326="B",R326="C")),INDEX(Coefficients!$S$4:$S$22,MATCH(K326,Coefficients!$R$4:$R$22)),INDEX(Coefficients!$T$4:$T$22,MATCH(K326,Coefficients!$R$4:$R$22)))</f>
        <v>25</v>
      </c>
      <c r="AR326" s="27">
        <f>IF(OR(R326="A",R326="B",R326="C",R326="D"),IF(AN326&gt;=11,IF(AN326&gt;=26,Coefficients!$M$6,Coefficients!$M$5),Coefficients!$M$4),IF(AN326&gt;=11,IF(AN326&gt;=26,Coefficients!$N$6,Coefficients!$N$5),Coefficients!$N$4))</f>
        <v>1</v>
      </c>
      <c r="AS326" s="27">
        <f>INDEX(Coefficients!$X$3:$X$4,MATCH(S326,Coefficients!$W$3:$W$4))</f>
        <v>1</v>
      </c>
      <c r="AT326" s="27">
        <f>INDEX(Coefficients!$X$7:$X$8,MATCH(O326,Coefficients!$W$7:$W$8))</f>
        <v>1</v>
      </c>
      <c r="AU326" s="27">
        <f>INDEX(Coefficients!$X$11:$X$12,MATCH(P326,Coefficients!$W$11:$W$12))</f>
        <v>1</v>
      </c>
      <c r="AV326" s="27">
        <f>INDEX(Coefficients!$X$15:$X$17,MATCH(Q326,Coefficients!$W$15:$W$17))</f>
        <v>1</v>
      </c>
      <c r="AW326" s="27">
        <f t="shared" si="304"/>
        <v>1</v>
      </c>
      <c r="AX326" s="27">
        <f t="shared" si="305"/>
        <v>1</v>
      </c>
      <c r="AY326" s="27">
        <f t="shared" si="306"/>
        <v>1.3</v>
      </c>
      <c r="AZ326" s="35">
        <f t="shared" si="307"/>
        <v>44.137139254784039</v>
      </c>
      <c r="BA326" s="35">
        <f t="shared" si="308"/>
        <v>0</v>
      </c>
      <c r="BB326" s="35">
        <f t="shared" si="309"/>
        <v>2.2951312412487703</v>
      </c>
      <c r="BC326" s="35">
        <f t="shared" si="310"/>
        <v>1.7704868758751229</v>
      </c>
      <c r="BD326" s="35">
        <f t="shared" si="293"/>
        <v>0.45313312864589866</v>
      </c>
      <c r="BE326" s="16">
        <f t="shared" si="294"/>
        <v>67.684518807679794</v>
      </c>
      <c r="BF326" s="16">
        <f t="shared" si="295"/>
        <v>264.63096238464038</v>
      </c>
      <c r="BG326" s="25">
        <f t="shared" si="296"/>
        <v>0.67684518807679794</v>
      </c>
      <c r="BH326" s="35">
        <f t="shared" si="297"/>
        <v>148.90594137689556</v>
      </c>
      <c r="BI326" s="35">
        <f t="shared" si="298"/>
        <v>102.18811724620889</v>
      </c>
      <c r="BJ326" s="35">
        <f t="shared" si="299"/>
        <v>37.080014515743997</v>
      </c>
    </row>
    <row r="327" spans="2:62">
      <c r="B327" s="35" t="s">
        <v>133</v>
      </c>
      <c r="C327" s="84" t="str">
        <f>MostLikely!$B$1</f>
        <v>MRI-CGCM2.3.2</v>
      </c>
      <c r="D327" s="89">
        <v>2029</v>
      </c>
      <c r="E327" s="57">
        <f>'Cooler&amp;Wetter'!AA57</f>
        <v>35.548333333333332</v>
      </c>
      <c r="F327" s="90">
        <f>MostLikely!AD57</f>
        <v>22.105580996666667</v>
      </c>
      <c r="G327" s="35">
        <f t="shared" si="300"/>
        <v>2005</v>
      </c>
      <c r="H327" s="91" t="str">
        <f t="shared" si="280"/>
        <v>Pile 32 @ Berth 201</v>
      </c>
      <c r="I327" s="35" t="str">
        <f t="shared" si="281"/>
        <v>Turpentine Gum</v>
      </c>
      <c r="J327" s="35" t="str">
        <f t="shared" si="282"/>
        <v>HW1</v>
      </c>
      <c r="K327" s="35" t="str">
        <f t="shared" si="301"/>
        <v>SPHU</v>
      </c>
      <c r="L327" s="35">
        <f t="shared" si="283"/>
        <v>400</v>
      </c>
      <c r="M327" s="35">
        <f t="shared" si="284"/>
        <v>20</v>
      </c>
      <c r="N327" s="35">
        <f t="shared" si="285"/>
        <v>200</v>
      </c>
      <c r="O327" s="35" t="str">
        <f t="shared" si="286"/>
        <v>MTN2</v>
      </c>
      <c r="P327" s="35" t="str">
        <f t="shared" si="287"/>
        <v>CNT2</v>
      </c>
      <c r="Q327" s="35" t="str">
        <f t="shared" si="288"/>
        <v>KNT3</v>
      </c>
      <c r="R327" s="35" t="str">
        <f t="shared" si="289"/>
        <v>E</v>
      </c>
      <c r="S327" s="35" t="str">
        <f t="shared" si="290"/>
        <v>EXP1</v>
      </c>
      <c r="T327" s="58"/>
      <c r="U327" s="58"/>
      <c r="V327" s="58"/>
      <c r="W327" s="58"/>
      <c r="X327" s="58"/>
      <c r="Y327" s="58"/>
      <c r="Z327" s="58"/>
      <c r="AA327" s="95">
        <f t="shared" si="248"/>
        <v>0.70119775725212063</v>
      </c>
      <c r="AB327" s="96">
        <f t="shared" si="302"/>
        <v>70.119775725212065</v>
      </c>
      <c r="AC327" s="58"/>
      <c r="AD327" s="58"/>
      <c r="AE327" s="58"/>
      <c r="AF327" s="58"/>
      <c r="AG327" s="58"/>
      <c r="AH327" s="58"/>
      <c r="AI327" s="58"/>
      <c r="AJ327" s="58"/>
      <c r="AK327" s="58"/>
      <c r="AL327" s="58"/>
      <c r="AM327" s="89">
        <f t="shared" si="303"/>
        <v>24</v>
      </c>
      <c r="AN327" s="36">
        <f t="shared" si="291"/>
        <v>35.548333333333332</v>
      </c>
      <c r="AO327" s="35">
        <f t="shared" si="292"/>
        <v>1.7702847981867575</v>
      </c>
      <c r="AP327" s="35">
        <f>IF((OR(R327="A",R327="B",R327="C")),INDEX(Coefficients!$S$4:$S$22,MATCH(J327,Coefficients!$R$4:$R$22)),INDEX(Coefficients!$T$4:$T$22,MATCH(J327,Coefficients!$R$4:$R$22)))</f>
        <v>1.3</v>
      </c>
      <c r="AQ327" s="27">
        <f>IF((OR(R327="A",R327="B",R327="C")),INDEX(Coefficients!$S$4:$S$22,MATCH(K327,Coefficients!$R$4:$R$22)),INDEX(Coefficients!$T$4:$T$22,MATCH(K327,Coefficients!$R$4:$R$22)))</f>
        <v>25</v>
      </c>
      <c r="AR327" s="27">
        <f>IF(OR(R327="A",R327="B",R327="C",R327="D"),IF(AN327&gt;=11,IF(AN327&gt;=26,Coefficients!$M$6,Coefficients!$M$5),Coefficients!$M$4),IF(AN327&gt;=11,IF(AN327&gt;=26,Coefficients!$N$6,Coefficients!$N$5),Coefficients!$N$4))</f>
        <v>1</v>
      </c>
      <c r="AS327" s="27">
        <f>INDEX(Coefficients!$X$3:$X$4,MATCH(S327,Coefficients!$W$3:$W$4))</f>
        <v>1</v>
      </c>
      <c r="AT327" s="27">
        <f>INDEX(Coefficients!$X$7:$X$8,MATCH(O327,Coefficients!$W$7:$W$8))</f>
        <v>1</v>
      </c>
      <c r="AU327" s="27">
        <f>INDEX(Coefficients!$X$11:$X$12,MATCH(P327,Coefficients!$W$11:$W$12))</f>
        <v>1</v>
      </c>
      <c r="AV327" s="27">
        <f>INDEX(Coefficients!$X$15:$X$17,MATCH(Q327,Coefficients!$W$15:$W$17))</f>
        <v>1</v>
      </c>
      <c r="AW327" s="27">
        <f t="shared" si="304"/>
        <v>1</v>
      </c>
      <c r="AX327" s="27">
        <f t="shared" si="305"/>
        <v>1</v>
      </c>
      <c r="AY327" s="27">
        <f t="shared" si="306"/>
        <v>1.3</v>
      </c>
      <c r="AZ327" s="35">
        <f t="shared" si="307"/>
        <v>44.257119954668937</v>
      </c>
      <c r="BA327" s="35">
        <f t="shared" si="308"/>
        <v>0</v>
      </c>
      <c r="BB327" s="35">
        <f t="shared" si="309"/>
        <v>2.3013702376427849</v>
      </c>
      <c r="BC327" s="35">
        <f t="shared" si="310"/>
        <v>1.7698629762357214</v>
      </c>
      <c r="BD327" s="35">
        <f t="shared" si="293"/>
        <v>0.45190468834134079</v>
      </c>
      <c r="BE327" s="16">
        <f t="shared" si="294"/>
        <v>70.119775725212065</v>
      </c>
      <c r="BF327" s="16">
        <f t="shared" si="295"/>
        <v>259.76044854957587</v>
      </c>
      <c r="BG327" s="25">
        <f t="shared" si="296"/>
        <v>0.70119775725212063</v>
      </c>
      <c r="BH327" s="35">
        <f t="shared" si="297"/>
        <v>154.26350659546657</v>
      </c>
      <c r="BI327" s="35">
        <f t="shared" si="298"/>
        <v>91.472986809066867</v>
      </c>
      <c r="BJ327" s="35">
        <f t="shared" si="299"/>
        <v>36.983666767757121</v>
      </c>
    </row>
    <row r="328" spans="2:62">
      <c r="B328" s="35" t="s">
        <v>133</v>
      </c>
      <c r="C328" s="84" t="str">
        <f>MostLikely!$B$1</f>
        <v>MRI-CGCM2.3.2</v>
      </c>
      <c r="D328" s="89">
        <v>2030</v>
      </c>
      <c r="E328" s="57">
        <f>'Cooler&amp;Wetter'!AA58</f>
        <v>35.549999999999997</v>
      </c>
      <c r="F328" s="90">
        <f>MostLikely!AD58</f>
        <v>22.126463099999999</v>
      </c>
      <c r="G328" s="35">
        <f t="shared" si="300"/>
        <v>2005</v>
      </c>
      <c r="H328" s="91" t="str">
        <f t="shared" si="280"/>
        <v>Pile 32 @ Berth 201</v>
      </c>
      <c r="I328" s="35" t="str">
        <f t="shared" si="281"/>
        <v>Turpentine Gum</v>
      </c>
      <c r="J328" s="35" t="str">
        <f t="shared" si="282"/>
        <v>HW1</v>
      </c>
      <c r="K328" s="35" t="str">
        <f t="shared" si="301"/>
        <v>SPHU</v>
      </c>
      <c r="L328" s="35">
        <f t="shared" si="283"/>
        <v>400</v>
      </c>
      <c r="M328" s="35">
        <f t="shared" si="284"/>
        <v>20</v>
      </c>
      <c r="N328" s="35">
        <f t="shared" si="285"/>
        <v>200</v>
      </c>
      <c r="O328" s="35" t="str">
        <f t="shared" si="286"/>
        <v>MTN2</v>
      </c>
      <c r="P328" s="35" t="str">
        <f t="shared" si="287"/>
        <v>CNT2</v>
      </c>
      <c r="Q328" s="35" t="str">
        <f t="shared" si="288"/>
        <v>KNT3</v>
      </c>
      <c r="R328" s="35" t="str">
        <f t="shared" si="289"/>
        <v>E</v>
      </c>
      <c r="S328" s="35" t="str">
        <f t="shared" si="290"/>
        <v>EXP1</v>
      </c>
      <c r="T328" s="58"/>
      <c r="U328" s="58"/>
      <c r="V328" s="58"/>
      <c r="W328" s="58"/>
      <c r="X328" s="58"/>
      <c r="Y328" s="58"/>
      <c r="Z328" s="58"/>
      <c r="AA328" s="95">
        <f t="shared" si="248"/>
        <v>0.72567916324410608</v>
      </c>
      <c r="AB328" s="96">
        <f t="shared" si="302"/>
        <v>72.567916324410604</v>
      </c>
      <c r="AC328" s="58"/>
      <c r="AD328" s="58"/>
      <c r="AE328" s="58"/>
      <c r="AF328" s="58"/>
      <c r="AG328" s="58"/>
      <c r="AH328" s="58"/>
      <c r="AI328" s="58"/>
      <c r="AJ328" s="58"/>
      <c r="AK328" s="58"/>
      <c r="AL328" s="58"/>
      <c r="AM328" s="89">
        <f t="shared" si="303"/>
        <v>25</v>
      </c>
      <c r="AN328" s="36">
        <f t="shared" si="291"/>
        <v>35.549999999999997</v>
      </c>
      <c r="AO328" s="35">
        <f t="shared" si="292"/>
        <v>1.7750970722187451</v>
      </c>
      <c r="AP328" s="35">
        <f>IF((OR(R328="A",R328="B",R328="C")),INDEX(Coefficients!$S$4:$S$22,MATCH(J328,Coefficients!$R$4:$R$22)),INDEX(Coefficients!$T$4:$T$22,MATCH(J328,Coefficients!$R$4:$R$22)))</f>
        <v>1.3</v>
      </c>
      <c r="AQ328" s="27">
        <f>IF((OR(R328="A",R328="B",R328="C")),INDEX(Coefficients!$S$4:$S$22,MATCH(K328,Coefficients!$R$4:$R$22)),INDEX(Coefficients!$T$4:$T$22,MATCH(K328,Coefficients!$R$4:$R$22)))</f>
        <v>25</v>
      </c>
      <c r="AR328" s="27">
        <f>IF(OR(R328="A",R328="B",R328="C",R328="D"),IF(AN328&gt;=11,IF(AN328&gt;=26,Coefficients!$M$6,Coefficients!$M$5),Coefficients!$M$4),IF(AN328&gt;=11,IF(AN328&gt;=26,Coefficients!$N$6,Coefficients!$N$5),Coefficients!$N$4))</f>
        <v>1</v>
      </c>
      <c r="AS328" s="27">
        <f>INDEX(Coefficients!$X$3:$X$4,MATCH(S328,Coefficients!$W$3:$W$4))</f>
        <v>1</v>
      </c>
      <c r="AT328" s="27">
        <f>INDEX(Coefficients!$X$7:$X$8,MATCH(O328,Coefficients!$W$7:$W$8))</f>
        <v>1</v>
      </c>
      <c r="AU328" s="27">
        <f>INDEX(Coefficients!$X$11:$X$12,MATCH(P328,Coefficients!$W$11:$W$12))</f>
        <v>1</v>
      </c>
      <c r="AV328" s="27">
        <f>INDEX(Coefficients!$X$15:$X$17,MATCH(Q328,Coefficients!$W$15:$W$17))</f>
        <v>1</v>
      </c>
      <c r="AW328" s="27">
        <f t="shared" si="304"/>
        <v>1</v>
      </c>
      <c r="AX328" s="27">
        <f t="shared" si="305"/>
        <v>1</v>
      </c>
      <c r="AY328" s="27">
        <f t="shared" si="306"/>
        <v>1.3</v>
      </c>
      <c r="AZ328" s="35">
        <f t="shared" si="307"/>
        <v>44.37742680546863</v>
      </c>
      <c r="BA328" s="35">
        <f t="shared" si="308"/>
        <v>0</v>
      </c>
      <c r="BB328" s="35">
        <f t="shared" si="309"/>
        <v>2.307626193884369</v>
      </c>
      <c r="BC328" s="35">
        <f t="shared" si="310"/>
        <v>1.7692373806115631</v>
      </c>
      <c r="BD328" s="35">
        <f t="shared" si="293"/>
        <v>0.45067957832866956</v>
      </c>
      <c r="BE328" s="16">
        <f t="shared" si="294"/>
        <v>72.567916324410604</v>
      </c>
      <c r="BF328" s="16">
        <f t="shared" si="295"/>
        <v>254.86416735117879</v>
      </c>
      <c r="BG328" s="25">
        <f t="shared" si="296"/>
        <v>0.72567916324410608</v>
      </c>
      <c r="BH328" s="35">
        <f t="shared" si="297"/>
        <v>159.64941591370334</v>
      </c>
      <c r="BI328" s="35">
        <f t="shared" si="298"/>
        <v>80.701168172593327</v>
      </c>
      <c r="BJ328" s="35">
        <f t="shared" si="299"/>
        <v>36.887576830376346</v>
      </c>
    </row>
    <row r="329" spans="2:62">
      <c r="B329" s="35" t="s">
        <v>133</v>
      </c>
      <c r="C329" s="84" t="str">
        <f>MostLikely!$B$1</f>
        <v>MRI-CGCM2.3.2</v>
      </c>
      <c r="D329" s="89">
        <v>2031</v>
      </c>
      <c r="E329" s="57">
        <f>'Cooler&amp;Wetter'!AA59</f>
        <v>35.552500000000002</v>
      </c>
      <c r="F329" s="90">
        <f>MostLikely!AD59</f>
        <v>22.147842884999999</v>
      </c>
      <c r="G329" s="35">
        <f t="shared" si="300"/>
        <v>2005</v>
      </c>
      <c r="H329" s="91" t="str">
        <f t="shared" si="280"/>
        <v>Pile 32 @ Berth 201</v>
      </c>
      <c r="I329" s="35" t="str">
        <f t="shared" si="281"/>
        <v>Turpentine Gum</v>
      </c>
      <c r="J329" s="35" t="str">
        <f t="shared" si="282"/>
        <v>HW1</v>
      </c>
      <c r="K329" s="35" t="str">
        <f t="shared" si="301"/>
        <v>SPHU</v>
      </c>
      <c r="L329" s="35">
        <f t="shared" si="283"/>
        <v>400</v>
      </c>
      <c r="M329" s="35">
        <f t="shared" si="284"/>
        <v>20</v>
      </c>
      <c r="N329" s="35">
        <f t="shared" si="285"/>
        <v>200</v>
      </c>
      <c r="O329" s="35" t="str">
        <f t="shared" si="286"/>
        <v>MTN2</v>
      </c>
      <c r="P329" s="35" t="str">
        <f t="shared" si="287"/>
        <v>CNT2</v>
      </c>
      <c r="Q329" s="35" t="str">
        <f t="shared" si="288"/>
        <v>KNT3</v>
      </c>
      <c r="R329" s="35" t="str">
        <f t="shared" si="289"/>
        <v>E</v>
      </c>
      <c r="S329" s="35" t="str">
        <f t="shared" si="290"/>
        <v>EXP1</v>
      </c>
      <c r="T329" s="58"/>
      <c r="U329" s="58"/>
      <c r="V329" s="58"/>
      <c r="W329" s="58"/>
      <c r="X329" s="58"/>
      <c r="Y329" s="58"/>
      <c r="Z329" s="58"/>
      <c r="AA329" s="95">
        <f t="shared" si="248"/>
        <v>0.75032655023740003</v>
      </c>
      <c r="AB329" s="96">
        <f t="shared" si="302"/>
        <v>75.032655023740006</v>
      </c>
      <c r="AC329" s="58"/>
      <c r="AD329" s="58"/>
      <c r="AE329" s="58"/>
      <c r="AF329" s="58"/>
      <c r="AG329" s="58"/>
      <c r="AH329" s="58"/>
      <c r="AI329" s="58"/>
      <c r="AJ329" s="58"/>
      <c r="AK329" s="58"/>
      <c r="AL329" s="58"/>
      <c r="AM329" s="89">
        <f t="shared" si="303"/>
        <v>26</v>
      </c>
      <c r="AN329" s="36">
        <f t="shared" si="291"/>
        <v>35.552500000000002</v>
      </c>
      <c r="AO329" s="35">
        <f t="shared" si="292"/>
        <v>1.7800375899953966</v>
      </c>
      <c r="AP329" s="35">
        <f>IF((OR(R329="A",R329="B",R329="C")),INDEX(Coefficients!$S$4:$S$22,MATCH(J329,Coefficients!$R$4:$R$22)),INDEX(Coefficients!$T$4:$T$22,MATCH(J329,Coefficients!$R$4:$R$22)))</f>
        <v>1.3</v>
      </c>
      <c r="AQ329" s="27">
        <f>IF((OR(R329="A",R329="B",R329="C")),INDEX(Coefficients!$S$4:$S$22,MATCH(K329,Coefficients!$R$4:$R$22)),INDEX(Coefficients!$T$4:$T$22,MATCH(K329,Coefficients!$R$4:$R$22)))</f>
        <v>25</v>
      </c>
      <c r="AR329" s="27">
        <f>IF(OR(R329="A",R329="B",R329="C",R329="D"),IF(AN329&gt;=11,IF(AN329&gt;=26,Coefficients!$M$6,Coefficients!$M$5),Coefficients!$M$4),IF(AN329&gt;=11,IF(AN329&gt;=26,Coefficients!$N$6,Coefficients!$N$5),Coefficients!$N$4))</f>
        <v>1</v>
      </c>
      <c r="AS329" s="27">
        <f>INDEX(Coefficients!$X$3:$X$4,MATCH(S329,Coefficients!$W$3:$W$4))</f>
        <v>1</v>
      </c>
      <c r="AT329" s="27">
        <f>INDEX(Coefficients!$X$7:$X$8,MATCH(O329,Coefficients!$W$7:$W$8))</f>
        <v>1</v>
      </c>
      <c r="AU329" s="27">
        <f>INDEX(Coefficients!$X$11:$X$12,MATCH(P329,Coefficients!$W$11:$W$12))</f>
        <v>1</v>
      </c>
      <c r="AV329" s="27">
        <f>INDEX(Coefficients!$X$15:$X$17,MATCH(Q329,Coefficients!$W$15:$W$17))</f>
        <v>1</v>
      </c>
      <c r="AW329" s="27">
        <f t="shared" si="304"/>
        <v>1</v>
      </c>
      <c r="AX329" s="27">
        <f t="shared" si="305"/>
        <v>1</v>
      </c>
      <c r="AY329" s="27">
        <f t="shared" si="306"/>
        <v>1.3</v>
      </c>
      <c r="AZ329" s="35">
        <f t="shared" si="307"/>
        <v>44.500939749884914</v>
      </c>
      <c r="BA329" s="35">
        <f t="shared" si="308"/>
        <v>0</v>
      </c>
      <c r="BB329" s="35">
        <f t="shared" si="309"/>
        <v>2.3140488669940158</v>
      </c>
      <c r="BC329" s="35">
        <f t="shared" si="310"/>
        <v>1.7685951133005984</v>
      </c>
      <c r="BD329" s="35">
        <f t="shared" si="293"/>
        <v>0.44942871122292927</v>
      </c>
      <c r="BE329" s="16">
        <f t="shared" si="294"/>
        <v>75.032655023740006</v>
      </c>
      <c r="BF329" s="16">
        <f t="shared" si="295"/>
        <v>249.93468995251999</v>
      </c>
      <c r="BG329" s="25">
        <f t="shared" si="296"/>
        <v>0.75032655023740003</v>
      </c>
      <c r="BH329" s="35">
        <f t="shared" si="297"/>
        <v>165.07184105222802</v>
      </c>
      <c r="BI329" s="35">
        <f t="shared" si="298"/>
        <v>69.856317895543953</v>
      </c>
      <c r="BJ329" s="35">
        <f t="shared" si="299"/>
        <v>36.789463149364231</v>
      </c>
    </row>
    <row r="330" spans="2:62">
      <c r="B330" s="35" t="s">
        <v>133</v>
      </c>
      <c r="C330" s="84" t="str">
        <f>MostLikely!$B$1</f>
        <v>MRI-CGCM2.3.2</v>
      </c>
      <c r="D330" s="89">
        <v>2032</v>
      </c>
      <c r="E330" s="57">
        <f>'Cooler&amp;Wetter'!AA60</f>
        <v>35.555</v>
      </c>
      <c r="F330" s="90">
        <f>MostLikely!AD60</f>
        <v>22.16922267</v>
      </c>
      <c r="G330" s="35">
        <f t="shared" si="300"/>
        <v>2005</v>
      </c>
      <c r="H330" s="91" t="str">
        <f t="shared" si="280"/>
        <v>Pile 32 @ Berth 201</v>
      </c>
      <c r="I330" s="35" t="str">
        <f t="shared" si="281"/>
        <v>Turpentine Gum</v>
      </c>
      <c r="J330" s="35" t="str">
        <f t="shared" si="282"/>
        <v>HW1</v>
      </c>
      <c r="K330" s="35" t="str">
        <f t="shared" si="301"/>
        <v>SPHU</v>
      </c>
      <c r="L330" s="35">
        <f t="shared" si="283"/>
        <v>400</v>
      </c>
      <c r="M330" s="35">
        <f t="shared" si="284"/>
        <v>20</v>
      </c>
      <c r="N330" s="35">
        <f t="shared" si="285"/>
        <v>200</v>
      </c>
      <c r="O330" s="35" t="str">
        <f t="shared" si="286"/>
        <v>MTN2</v>
      </c>
      <c r="P330" s="35" t="str">
        <f t="shared" si="287"/>
        <v>CNT2</v>
      </c>
      <c r="Q330" s="35" t="str">
        <f t="shared" si="288"/>
        <v>KNT3</v>
      </c>
      <c r="R330" s="35" t="str">
        <f t="shared" si="289"/>
        <v>E</v>
      </c>
      <c r="S330" s="35" t="str">
        <f t="shared" si="290"/>
        <v>EXP1</v>
      </c>
      <c r="T330" s="58"/>
      <c r="U330" s="58"/>
      <c r="V330" s="58"/>
      <c r="W330" s="58"/>
      <c r="X330" s="58"/>
      <c r="Y330" s="58"/>
      <c r="Z330" s="58"/>
      <c r="AA330" s="95">
        <f t="shared" si="248"/>
        <v>0.77510702511247076</v>
      </c>
      <c r="AB330" s="96">
        <f t="shared" si="302"/>
        <v>77.510702511247075</v>
      </c>
      <c r="AC330" s="58"/>
      <c r="AD330" s="58"/>
      <c r="AE330" s="58"/>
      <c r="AF330" s="58"/>
      <c r="AG330" s="58"/>
      <c r="AH330" s="58"/>
      <c r="AI330" s="58"/>
      <c r="AJ330" s="58"/>
      <c r="AK330" s="58"/>
      <c r="AL330" s="58"/>
      <c r="AM330" s="89">
        <f t="shared" si="303"/>
        <v>27</v>
      </c>
      <c r="AN330" s="36">
        <f t="shared" ref="AN330:AN361" si="311">E330</f>
        <v>35.555</v>
      </c>
      <c r="AO330" s="35">
        <f t="shared" ref="AO330:AO361" si="312">0.1*EXP(0.13*F330)</f>
        <v>1.7849918584092859</v>
      </c>
      <c r="AP330" s="35">
        <f>IF((OR(R330="A",R330="B",R330="C")),INDEX(Coefficients!$S$4:$S$22,MATCH(J330,Coefficients!$R$4:$R$22)),INDEX(Coefficients!$T$4:$T$22,MATCH(J330,Coefficients!$R$4:$R$22)))</f>
        <v>1.3</v>
      </c>
      <c r="AQ330" s="27">
        <f>IF((OR(R330="A",R330="B",R330="C")),INDEX(Coefficients!$S$4:$S$22,MATCH(K330,Coefficients!$R$4:$R$22)),INDEX(Coefficients!$T$4:$T$22,MATCH(K330,Coefficients!$R$4:$R$22)))</f>
        <v>25</v>
      </c>
      <c r="AR330" s="27">
        <f>IF(OR(R330="A",R330="B",R330="C",R330="D"),IF(AN330&gt;=11,IF(AN330&gt;=26,Coefficients!$M$6,Coefficients!$M$5),Coefficients!$M$4),IF(AN330&gt;=11,IF(AN330&gt;=26,Coefficients!$N$6,Coefficients!$N$5),Coefficients!$N$4))</f>
        <v>1</v>
      </c>
      <c r="AS330" s="27">
        <f>INDEX(Coefficients!$X$3:$X$4,MATCH(S330,Coefficients!$W$3:$W$4))</f>
        <v>1</v>
      </c>
      <c r="AT330" s="27">
        <f>INDEX(Coefficients!$X$7:$X$8,MATCH(O330,Coefficients!$W$7:$W$8))</f>
        <v>1</v>
      </c>
      <c r="AU330" s="27">
        <f>INDEX(Coefficients!$X$11:$X$12,MATCH(P330,Coefficients!$W$11:$W$12))</f>
        <v>1</v>
      </c>
      <c r="AV330" s="27">
        <f>INDEX(Coefficients!$X$15:$X$17,MATCH(Q330,Coefficients!$W$15:$W$17))</f>
        <v>1</v>
      </c>
      <c r="AW330" s="27">
        <f t="shared" si="304"/>
        <v>1</v>
      </c>
      <c r="AX330" s="27">
        <f t="shared" si="305"/>
        <v>1</v>
      </c>
      <c r="AY330" s="27">
        <f t="shared" si="306"/>
        <v>1.3</v>
      </c>
      <c r="AZ330" s="35">
        <f t="shared" si="307"/>
        <v>44.624796460232147</v>
      </c>
      <c r="BA330" s="35">
        <f t="shared" si="308"/>
        <v>0</v>
      </c>
      <c r="BB330" s="35">
        <f t="shared" si="309"/>
        <v>2.3204894159320717</v>
      </c>
      <c r="BC330" s="35">
        <f t="shared" si="310"/>
        <v>1.7679510584067928</v>
      </c>
      <c r="BD330" s="35">
        <f t="shared" ref="BD330:BD361" si="313">M330/AZ330+BA330</f>
        <v>0.44818131591531646</v>
      </c>
      <c r="BE330" s="16">
        <f t="shared" ref="BE330:BE361" si="314">IF(AM330&lt;=0,0,IF(AM330&gt;(BD330+BC330),M330+(AM330-BD330-BC330)*BB330,M330))</f>
        <v>77.510702511247075</v>
      </c>
      <c r="BF330" s="16">
        <f t="shared" ref="BF330:BF361" si="315">L330-2*BE330</f>
        <v>244.97859497750585</v>
      </c>
      <c r="BG330" s="25">
        <f t="shared" ref="BG330:BG361" si="316">IF(2*BE330&gt;(L330-N330),1,BE330/((L330-N330)/2))</f>
        <v>0.77510702511247076</v>
      </c>
      <c r="BH330" s="35">
        <f t="shared" ref="BH330:BH361" si="317">BE330*(1+$BF$1*$BF$2)</f>
        <v>170.52354552474358</v>
      </c>
      <c r="BI330" s="35">
        <f t="shared" ref="BI330:BI361" si="318">L330-2*BH330</f>
        <v>58.952908950512835</v>
      </c>
      <c r="BJ330" s="35">
        <f t="shared" ref="BJ330:BJ361" si="319">($BF$3/2-M330)/BB330+BD330+BC330</f>
        <v>36.691618213961839</v>
      </c>
    </row>
    <row r="331" spans="2:62">
      <c r="B331" s="35" t="s">
        <v>133</v>
      </c>
      <c r="C331" s="84" t="str">
        <f>MostLikely!$B$1</f>
        <v>MRI-CGCM2.3.2</v>
      </c>
      <c r="D331" s="89">
        <v>2033</v>
      </c>
      <c r="E331" s="57">
        <f>'Cooler&amp;Wetter'!AA61</f>
        <v>35.557499999999997</v>
      </c>
      <c r="F331" s="90">
        <f>MostLikely!AD61</f>
        <v>22.190602454999997</v>
      </c>
      <c r="G331" s="35">
        <f t="shared" si="300"/>
        <v>2005</v>
      </c>
      <c r="H331" s="91" t="str">
        <f t="shared" si="280"/>
        <v>Pile 32 @ Berth 201</v>
      </c>
      <c r="I331" s="35" t="str">
        <f t="shared" si="281"/>
        <v>Turpentine Gum</v>
      </c>
      <c r="J331" s="35" t="str">
        <f t="shared" si="282"/>
        <v>HW1</v>
      </c>
      <c r="K331" s="35" t="str">
        <f t="shared" si="301"/>
        <v>SPHU</v>
      </c>
      <c r="L331" s="35">
        <f t="shared" si="283"/>
        <v>400</v>
      </c>
      <c r="M331" s="35">
        <f t="shared" si="284"/>
        <v>20</v>
      </c>
      <c r="N331" s="35">
        <f t="shared" si="285"/>
        <v>200</v>
      </c>
      <c r="O331" s="35" t="str">
        <f t="shared" si="286"/>
        <v>MTN2</v>
      </c>
      <c r="P331" s="35" t="str">
        <f t="shared" si="287"/>
        <v>CNT2</v>
      </c>
      <c r="Q331" s="35" t="str">
        <f t="shared" si="288"/>
        <v>KNT3</v>
      </c>
      <c r="R331" s="35" t="str">
        <f t="shared" si="289"/>
        <v>E</v>
      </c>
      <c r="S331" s="35" t="str">
        <f t="shared" si="290"/>
        <v>EXP1</v>
      </c>
      <c r="T331" s="58"/>
      <c r="U331" s="58"/>
      <c r="V331" s="58"/>
      <c r="W331" s="58"/>
      <c r="X331" s="58"/>
      <c r="Y331" s="58"/>
      <c r="Z331" s="58"/>
      <c r="AA331" s="95">
        <f t="shared" ref="AA331:AA394" si="320">BG331</f>
        <v>0.80002113800219288</v>
      </c>
      <c r="AB331" s="96">
        <f t="shared" si="302"/>
        <v>80.002113800219291</v>
      </c>
      <c r="AC331" s="58"/>
      <c r="AD331" s="58"/>
      <c r="AE331" s="58"/>
      <c r="AF331" s="58"/>
      <c r="AG331" s="58"/>
      <c r="AH331" s="58"/>
      <c r="AI331" s="58"/>
      <c r="AJ331" s="58"/>
      <c r="AK331" s="58"/>
      <c r="AL331" s="58"/>
      <c r="AM331" s="89">
        <f t="shared" si="303"/>
        <v>28</v>
      </c>
      <c r="AN331" s="36">
        <f t="shared" si="311"/>
        <v>35.557499999999997</v>
      </c>
      <c r="AO331" s="35">
        <f t="shared" si="312"/>
        <v>1.7899599157317088</v>
      </c>
      <c r="AP331" s="35">
        <f>IF((OR(R331="A",R331="B",R331="C")),INDEX(Coefficients!$S$4:$S$22,MATCH(J331,Coefficients!$R$4:$R$22)),INDEX(Coefficients!$T$4:$T$22,MATCH(J331,Coefficients!$R$4:$R$22)))</f>
        <v>1.3</v>
      </c>
      <c r="AQ331" s="27">
        <f>IF((OR(R331="A",R331="B",R331="C")),INDEX(Coefficients!$S$4:$S$22,MATCH(K331,Coefficients!$R$4:$R$22)),INDEX(Coefficients!$T$4:$T$22,MATCH(K331,Coefficients!$R$4:$R$22)))</f>
        <v>25</v>
      </c>
      <c r="AR331" s="27">
        <f>IF(OR(R331="A",R331="B",R331="C",R331="D"),IF(AN331&gt;=11,IF(AN331&gt;=26,Coefficients!$M$6,Coefficients!$M$5),Coefficients!$M$4),IF(AN331&gt;=11,IF(AN331&gt;=26,Coefficients!$N$6,Coefficients!$N$5),Coefficients!$N$4))</f>
        <v>1</v>
      </c>
      <c r="AS331" s="27">
        <f>INDEX(Coefficients!$X$3:$X$4,MATCH(S331,Coefficients!$W$3:$W$4))</f>
        <v>1</v>
      </c>
      <c r="AT331" s="27">
        <f>INDEX(Coefficients!$X$7:$X$8,MATCH(O331,Coefficients!$W$7:$W$8))</f>
        <v>1</v>
      </c>
      <c r="AU331" s="27">
        <f>INDEX(Coefficients!$X$11:$X$12,MATCH(P331,Coefficients!$W$11:$W$12))</f>
        <v>1</v>
      </c>
      <c r="AV331" s="27">
        <f>INDEX(Coefficients!$X$15:$X$17,MATCH(Q331,Coefficients!$W$15:$W$17))</f>
        <v>1</v>
      </c>
      <c r="AW331" s="27">
        <f t="shared" si="304"/>
        <v>1</v>
      </c>
      <c r="AX331" s="27">
        <f t="shared" si="305"/>
        <v>1</v>
      </c>
      <c r="AY331" s="27">
        <f t="shared" si="306"/>
        <v>1.3</v>
      </c>
      <c r="AZ331" s="35">
        <f t="shared" si="307"/>
        <v>44.748997893292717</v>
      </c>
      <c r="BA331" s="35">
        <f t="shared" si="308"/>
        <v>0</v>
      </c>
      <c r="BB331" s="35">
        <f t="shared" si="309"/>
        <v>2.3269478904512213</v>
      </c>
      <c r="BC331" s="35">
        <f t="shared" si="310"/>
        <v>1.7673052109548779</v>
      </c>
      <c r="BD331" s="35">
        <f t="shared" si="313"/>
        <v>0.44693738276981027</v>
      </c>
      <c r="BE331" s="16">
        <f t="shared" si="314"/>
        <v>80.002113800219291</v>
      </c>
      <c r="BF331" s="16">
        <f t="shared" si="315"/>
        <v>239.99577239956142</v>
      </c>
      <c r="BG331" s="25">
        <f t="shared" si="316"/>
        <v>0.80002113800219288</v>
      </c>
      <c r="BH331" s="35">
        <f t="shared" si="317"/>
        <v>176.00465036048246</v>
      </c>
      <c r="BI331" s="35">
        <f t="shared" si="318"/>
        <v>47.990699279035084</v>
      </c>
      <c r="BJ331" s="35">
        <f t="shared" si="319"/>
        <v>36.594041268325483</v>
      </c>
    </row>
    <row r="332" spans="2:62">
      <c r="B332" s="35" t="s">
        <v>133</v>
      </c>
      <c r="C332" s="84" t="str">
        <f>MostLikely!$B$1</f>
        <v>MRI-CGCM2.3.2</v>
      </c>
      <c r="D332" s="89">
        <v>2034</v>
      </c>
      <c r="E332" s="57">
        <f>'Cooler&amp;Wetter'!AA62</f>
        <v>35.56</v>
      </c>
      <c r="F332" s="90">
        <f>MostLikely!AD62</f>
        <v>22.211982239999998</v>
      </c>
      <c r="G332" s="35">
        <f t="shared" si="300"/>
        <v>2005</v>
      </c>
      <c r="H332" s="91" t="str">
        <f t="shared" si="280"/>
        <v>Pile 32 @ Berth 201</v>
      </c>
      <c r="I332" s="35" t="str">
        <f t="shared" si="281"/>
        <v>Turpentine Gum</v>
      </c>
      <c r="J332" s="35" t="str">
        <f t="shared" si="282"/>
        <v>HW1</v>
      </c>
      <c r="K332" s="35" t="str">
        <f t="shared" si="301"/>
        <v>SPHU</v>
      </c>
      <c r="L332" s="35">
        <f t="shared" si="283"/>
        <v>400</v>
      </c>
      <c r="M332" s="35">
        <f t="shared" si="284"/>
        <v>20</v>
      </c>
      <c r="N332" s="35">
        <f t="shared" si="285"/>
        <v>200</v>
      </c>
      <c r="O332" s="35" t="str">
        <f t="shared" si="286"/>
        <v>MTN2</v>
      </c>
      <c r="P332" s="35" t="str">
        <f t="shared" si="287"/>
        <v>CNT2</v>
      </c>
      <c r="Q332" s="35" t="str">
        <f t="shared" si="288"/>
        <v>KNT3</v>
      </c>
      <c r="R332" s="35" t="str">
        <f t="shared" si="289"/>
        <v>E</v>
      </c>
      <c r="S332" s="35" t="str">
        <f t="shared" si="290"/>
        <v>EXP1</v>
      </c>
      <c r="T332" s="58"/>
      <c r="U332" s="58"/>
      <c r="V332" s="58"/>
      <c r="W332" s="58"/>
      <c r="X332" s="58"/>
      <c r="Y332" s="58"/>
      <c r="Z332" s="58"/>
      <c r="AA332" s="95">
        <f t="shared" si="320"/>
        <v>0.82506944107207958</v>
      </c>
      <c r="AB332" s="96">
        <f t="shared" si="302"/>
        <v>82.506944107207957</v>
      </c>
      <c r="AC332" s="58"/>
      <c r="AD332" s="58"/>
      <c r="AE332" s="58"/>
      <c r="AF332" s="58"/>
      <c r="AG332" s="58"/>
      <c r="AH332" s="58"/>
      <c r="AI332" s="58"/>
      <c r="AJ332" s="58"/>
      <c r="AK332" s="58"/>
      <c r="AL332" s="58"/>
      <c r="AM332" s="89">
        <f t="shared" si="303"/>
        <v>29</v>
      </c>
      <c r="AN332" s="36">
        <f t="shared" si="311"/>
        <v>35.56</v>
      </c>
      <c r="AO332" s="35">
        <f t="shared" si="312"/>
        <v>1.7949418003404827</v>
      </c>
      <c r="AP332" s="35">
        <f>IF((OR(R332="A",R332="B",R332="C")),INDEX(Coefficients!$S$4:$S$22,MATCH(J332,Coefficients!$R$4:$R$22)),INDEX(Coefficients!$T$4:$T$22,MATCH(J332,Coefficients!$R$4:$R$22)))</f>
        <v>1.3</v>
      </c>
      <c r="AQ332" s="27">
        <f>IF((OR(R332="A",R332="B",R332="C")),INDEX(Coefficients!$S$4:$S$22,MATCH(K332,Coefficients!$R$4:$R$22)),INDEX(Coefficients!$T$4:$T$22,MATCH(K332,Coefficients!$R$4:$R$22)))</f>
        <v>25</v>
      </c>
      <c r="AR332" s="27">
        <f>IF(OR(R332="A",R332="B",R332="C",R332="D"),IF(AN332&gt;=11,IF(AN332&gt;=26,Coefficients!$M$6,Coefficients!$M$5),Coefficients!$M$4),IF(AN332&gt;=11,IF(AN332&gt;=26,Coefficients!$N$6,Coefficients!$N$5),Coefficients!$N$4))</f>
        <v>1</v>
      </c>
      <c r="AS332" s="27">
        <f>INDEX(Coefficients!$X$3:$X$4,MATCH(S332,Coefficients!$W$3:$W$4))</f>
        <v>1</v>
      </c>
      <c r="AT332" s="27">
        <f>INDEX(Coefficients!$X$7:$X$8,MATCH(O332,Coefficients!$W$7:$W$8))</f>
        <v>1</v>
      </c>
      <c r="AU332" s="27">
        <f>INDEX(Coefficients!$X$11:$X$12,MATCH(P332,Coefficients!$W$11:$W$12))</f>
        <v>1</v>
      </c>
      <c r="AV332" s="27">
        <f>INDEX(Coefficients!$X$15:$X$17,MATCH(Q332,Coefficients!$W$15:$W$17))</f>
        <v>1</v>
      </c>
      <c r="AW332" s="27">
        <f t="shared" si="304"/>
        <v>1</v>
      </c>
      <c r="AX332" s="27">
        <f t="shared" si="305"/>
        <v>1</v>
      </c>
      <c r="AY332" s="27">
        <f t="shared" si="306"/>
        <v>1.3</v>
      </c>
      <c r="AZ332" s="35">
        <f t="shared" si="307"/>
        <v>44.873545008512068</v>
      </c>
      <c r="BA332" s="35">
        <f t="shared" si="308"/>
        <v>0</v>
      </c>
      <c r="BB332" s="35">
        <f t="shared" si="309"/>
        <v>2.3334243404426274</v>
      </c>
      <c r="BC332" s="35">
        <f t="shared" si="310"/>
        <v>1.7666575659557373</v>
      </c>
      <c r="BD332" s="35">
        <f t="shared" si="313"/>
        <v>0.44569690217713348</v>
      </c>
      <c r="BE332" s="16">
        <f t="shared" si="314"/>
        <v>82.506944107207957</v>
      </c>
      <c r="BF332" s="16">
        <f t="shared" si="315"/>
        <v>234.98611178558409</v>
      </c>
      <c r="BG332" s="25">
        <f t="shared" si="316"/>
        <v>0.82506944107207958</v>
      </c>
      <c r="BH332" s="35">
        <f t="shared" si="317"/>
        <v>181.51527703585751</v>
      </c>
      <c r="BI332" s="35">
        <f t="shared" si="318"/>
        <v>36.969445928284983</v>
      </c>
      <c r="BJ332" s="35">
        <f t="shared" si="319"/>
        <v>36.496731558681603</v>
      </c>
    </row>
    <row r="333" spans="2:62">
      <c r="B333" s="35" t="s">
        <v>133</v>
      </c>
      <c r="C333" s="84" t="str">
        <f>MostLikely!$B$1</f>
        <v>MRI-CGCM2.3.2</v>
      </c>
      <c r="D333" s="89">
        <v>2035</v>
      </c>
      <c r="E333" s="57">
        <f>'Cooler&amp;Wetter'!AA63</f>
        <v>35.5625</v>
      </c>
      <c r="F333" s="90">
        <f>MostLikely!AD63</f>
        <v>22.233362024999998</v>
      </c>
      <c r="G333" s="35">
        <f t="shared" si="300"/>
        <v>2005</v>
      </c>
      <c r="H333" s="91" t="str">
        <f t="shared" si="280"/>
        <v>Pile 32 @ Berth 201</v>
      </c>
      <c r="I333" s="35" t="str">
        <f t="shared" si="281"/>
        <v>Turpentine Gum</v>
      </c>
      <c r="J333" s="35" t="str">
        <f t="shared" si="282"/>
        <v>HW1</v>
      </c>
      <c r="K333" s="35" t="str">
        <f t="shared" si="301"/>
        <v>SPHU</v>
      </c>
      <c r="L333" s="35">
        <f t="shared" si="283"/>
        <v>400</v>
      </c>
      <c r="M333" s="35">
        <f t="shared" si="284"/>
        <v>20</v>
      </c>
      <c r="N333" s="35">
        <f t="shared" si="285"/>
        <v>200</v>
      </c>
      <c r="O333" s="35" t="str">
        <f t="shared" si="286"/>
        <v>MTN2</v>
      </c>
      <c r="P333" s="35" t="str">
        <f t="shared" si="287"/>
        <v>CNT2</v>
      </c>
      <c r="Q333" s="35" t="str">
        <f t="shared" si="288"/>
        <v>KNT3</v>
      </c>
      <c r="R333" s="35" t="str">
        <f t="shared" si="289"/>
        <v>E</v>
      </c>
      <c r="S333" s="35" t="str">
        <f t="shared" si="290"/>
        <v>EXP1</v>
      </c>
      <c r="T333" s="58"/>
      <c r="U333" s="58"/>
      <c r="V333" s="58"/>
      <c r="W333" s="58"/>
      <c r="X333" s="58"/>
      <c r="Y333" s="58"/>
      <c r="Z333" s="58"/>
      <c r="AA333" s="95">
        <f t="shared" si="320"/>
        <v>0.85025248852733937</v>
      </c>
      <c r="AB333" s="96">
        <f t="shared" si="302"/>
        <v>85.025248852733938</v>
      </c>
      <c r="AC333" s="58"/>
      <c r="AD333" s="58"/>
      <c r="AE333" s="58"/>
      <c r="AF333" s="58"/>
      <c r="AG333" s="58"/>
      <c r="AH333" s="58"/>
      <c r="AI333" s="58"/>
      <c r="AJ333" s="58"/>
      <c r="AK333" s="58"/>
      <c r="AL333" s="58"/>
      <c r="AM333" s="89">
        <f t="shared" si="303"/>
        <v>30</v>
      </c>
      <c r="AN333" s="36">
        <f t="shared" si="311"/>
        <v>35.5625</v>
      </c>
      <c r="AO333" s="35">
        <f t="shared" si="312"/>
        <v>1.7999375507202378</v>
      </c>
      <c r="AP333" s="35">
        <f>IF((OR(R333="A",R333="B",R333="C")),INDEX(Coefficients!$S$4:$S$22,MATCH(J333,Coefficients!$R$4:$R$22)),INDEX(Coefficients!$T$4:$T$22,MATCH(J333,Coefficients!$R$4:$R$22)))</f>
        <v>1.3</v>
      </c>
      <c r="AQ333" s="27">
        <f>IF((OR(R333="A",R333="B",R333="C")),INDEX(Coefficients!$S$4:$S$22,MATCH(K333,Coefficients!$R$4:$R$22)),INDEX(Coefficients!$T$4:$T$22,MATCH(K333,Coefficients!$R$4:$R$22)))</f>
        <v>25</v>
      </c>
      <c r="AR333" s="27">
        <f>IF(OR(R333="A",R333="B",R333="C",R333="D"),IF(AN333&gt;=11,IF(AN333&gt;=26,Coefficients!$M$6,Coefficients!$M$5),Coefficients!$M$4),IF(AN333&gt;=11,IF(AN333&gt;=26,Coefficients!$N$6,Coefficients!$N$5),Coefficients!$N$4))</f>
        <v>1</v>
      </c>
      <c r="AS333" s="27">
        <f>INDEX(Coefficients!$X$3:$X$4,MATCH(S333,Coefficients!$W$3:$W$4))</f>
        <v>1</v>
      </c>
      <c r="AT333" s="27">
        <f>INDEX(Coefficients!$X$7:$X$8,MATCH(O333,Coefficients!$W$7:$W$8))</f>
        <v>1</v>
      </c>
      <c r="AU333" s="27">
        <f>INDEX(Coefficients!$X$11:$X$12,MATCH(P333,Coefficients!$W$11:$W$12))</f>
        <v>1</v>
      </c>
      <c r="AV333" s="27">
        <f>INDEX(Coefficients!$X$15:$X$17,MATCH(Q333,Coefficients!$W$15:$W$17))</f>
        <v>1</v>
      </c>
      <c r="AW333" s="27">
        <f t="shared" si="304"/>
        <v>1</v>
      </c>
      <c r="AX333" s="27">
        <f t="shared" si="305"/>
        <v>1</v>
      </c>
      <c r="AY333" s="27">
        <f t="shared" si="306"/>
        <v>1.3</v>
      </c>
      <c r="AZ333" s="35">
        <f t="shared" si="307"/>
        <v>44.998438768005947</v>
      </c>
      <c r="BA333" s="35">
        <f t="shared" si="308"/>
        <v>0</v>
      </c>
      <c r="BB333" s="35">
        <f t="shared" si="309"/>
        <v>2.3399188159363091</v>
      </c>
      <c r="BC333" s="35">
        <f t="shared" si="310"/>
        <v>1.766008118406369</v>
      </c>
      <c r="BD333" s="35">
        <f t="shared" si="313"/>
        <v>0.44445986455468034</v>
      </c>
      <c r="BE333" s="16">
        <f t="shared" si="314"/>
        <v>85.025248852733938</v>
      </c>
      <c r="BF333" s="16">
        <f t="shared" si="315"/>
        <v>229.94950229453212</v>
      </c>
      <c r="BG333" s="25">
        <f t="shared" si="316"/>
        <v>0.85025248852733937</v>
      </c>
      <c r="BH333" s="35">
        <f t="shared" si="317"/>
        <v>187.05554747601468</v>
      </c>
      <c r="BI333" s="35">
        <f t="shared" si="318"/>
        <v>25.888905047970638</v>
      </c>
      <c r="BJ333" s="35">
        <f t="shared" si="319"/>
        <v>36.399688333321073</v>
      </c>
    </row>
    <row r="334" spans="2:62">
      <c r="B334" s="35" t="s">
        <v>133</v>
      </c>
      <c r="C334" s="84" t="str">
        <f>MostLikely!$B$1</f>
        <v>MRI-CGCM2.3.2</v>
      </c>
      <c r="D334" s="89">
        <v>2036</v>
      </c>
      <c r="E334" s="57">
        <f>'Cooler&amp;Wetter'!AA64</f>
        <v>35.564999999999998</v>
      </c>
      <c r="F334" s="90">
        <f>MostLikely!AD64</f>
        <v>22.254741809999999</v>
      </c>
      <c r="G334" s="35">
        <f t="shared" si="300"/>
        <v>2005</v>
      </c>
      <c r="H334" s="91" t="str">
        <f t="shared" si="280"/>
        <v>Pile 32 @ Berth 201</v>
      </c>
      <c r="I334" s="35" t="str">
        <f t="shared" si="281"/>
        <v>Turpentine Gum</v>
      </c>
      <c r="J334" s="35" t="str">
        <f t="shared" si="282"/>
        <v>HW1</v>
      </c>
      <c r="K334" s="35" t="str">
        <f t="shared" si="301"/>
        <v>SPHU</v>
      </c>
      <c r="L334" s="35">
        <f t="shared" si="283"/>
        <v>400</v>
      </c>
      <c r="M334" s="35">
        <f t="shared" si="284"/>
        <v>20</v>
      </c>
      <c r="N334" s="35">
        <f t="shared" si="285"/>
        <v>200</v>
      </c>
      <c r="O334" s="35" t="str">
        <f t="shared" si="286"/>
        <v>MTN2</v>
      </c>
      <c r="P334" s="35" t="str">
        <f t="shared" si="287"/>
        <v>CNT2</v>
      </c>
      <c r="Q334" s="35" t="str">
        <f t="shared" si="288"/>
        <v>KNT3</v>
      </c>
      <c r="R334" s="35" t="str">
        <f t="shared" si="289"/>
        <v>E</v>
      </c>
      <c r="S334" s="35" t="str">
        <f t="shared" si="290"/>
        <v>EXP1</v>
      </c>
      <c r="T334" s="58"/>
      <c r="U334" s="58"/>
      <c r="V334" s="58"/>
      <c r="W334" s="58"/>
      <c r="X334" s="58"/>
      <c r="Y334" s="58"/>
      <c r="Z334" s="58"/>
      <c r="AA334" s="95">
        <f t="shared" si="320"/>
        <v>0.87557083661996116</v>
      </c>
      <c r="AB334" s="96">
        <f t="shared" si="302"/>
        <v>87.557083661996117</v>
      </c>
      <c r="AC334" s="58"/>
      <c r="AD334" s="58"/>
      <c r="AE334" s="58"/>
      <c r="AF334" s="58"/>
      <c r="AG334" s="58"/>
      <c r="AH334" s="58"/>
      <c r="AI334" s="58"/>
      <c r="AJ334" s="58"/>
      <c r="AK334" s="58"/>
      <c r="AL334" s="58"/>
      <c r="AM334" s="89">
        <f t="shared" si="303"/>
        <v>31</v>
      </c>
      <c r="AN334" s="36">
        <f t="shared" si="311"/>
        <v>35.564999999999998</v>
      </c>
      <c r="AO334" s="35">
        <f t="shared" si="312"/>
        <v>1.8049472054627138</v>
      </c>
      <c r="AP334" s="35">
        <f>IF((OR(R334="A",R334="B",R334="C")),INDEX(Coefficients!$S$4:$S$22,MATCH(J334,Coefficients!$R$4:$R$22)),INDEX(Coefficients!$T$4:$T$22,MATCH(J334,Coefficients!$R$4:$R$22)))</f>
        <v>1.3</v>
      </c>
      <c r="AQ334" s="27">
        <f>IF((OR(R334="A",R334="B",R334="C")),INDEX(Coefficients!$S$4:$S$22,MATCH(K334,Coefficients!$R$4:$R$22)),INDEX(Coefficients!$T$4:$T$22,MATCH(K334,Coefficients!$R$4:$R$22)))</f>
        <v>25</v>
      </c>
      <c r="AR334" s="27">
        <f>IF(OR(R334="A",R334="B",R334="C",R334="D"),IF(AN334&gt;=11,IF(AN334&gt;=26,Coefficients!$M$6,Coefficients!$M$5),Coefficients!$M$4),IF(AN334&gt;=11,IF(AN334&gt;=26,Coefficients!$N$6,Coefficients!$N$5),Coefficients!$N$4))</f>
        <v>1</v>
      </c>
      <c r="AS334" s="27">
        <f>INDEX(Coefficients!$X$3:$X$4,MATCH(S334,Coefficients!$W$3:$W$4))</f>
        <v>1</v>
      </c>
      <c r="AT334" s="27">
        <f>INDEX(Coefficients!$X$7:$X$8,MATCH(O334,Coefficients!$W$7:$W$8))</f>
        <v>1</v>
      </c>
      <c r="AU334" s="27">
        <f>INDEX(Coefficients!$X$11:$X$12,MATCH(P334,Coefficients!$W$11:$W$12))</f>
        <v>1</v>
      </c>
      <c r="AV334" s="27">
        <f>INDEX(Coefficients!$X$15:$X$17,MATCH(Q334,Coefficients!$W$15:$W$17))</f>
        <v>1</v>
      </c>
      <c r="AW334" s="27">
        <f t="shared" si="304"/>
        <v>1</v>
      </c>
      <c r="AX334" s="27">
        <f t="shared" si="305"/>
        <v>1</v>
      </c>
      <c r="AY334" s="27">
        <f t="shared" si="306"/>
        <v>1.3</v>
      </c>
      <c r="AZ334" s="35">
        <f t="shared" si="307"/>
        <v>45.123680136567842</v>
      </c>
      <c r="BA334" s="35">
        <f t="shared" si="308"/>
        <v>0</v>
      </c>
      <c r="BB334" s="35">
        <f t="shared" si="309"/>
        <v>2.3464313671015282</v>
      </c>
      <c r="BC334" s="35">
        <f t="shared" si="310"/>
        <v>1.7653568632898471</v>
      </c>
      <c r="BD334" s="35">
        <f t="shared" si="313"/>
        <v>0.44322626034644219</v>
      </c>
      <c r="BE334" s="16">
        <f t="shared" si="314"/>
        <v>87.557083661996117</v>
      </c>
      <c r="BF334" s="16">
        <f t="shared" si="315"/>
        <v>224.88583267600777</v>
      </c>
      <c r="BG334" s="25">
        <f t="shared" si="316"/>
        <v>0.87557083661996116</v>
      </c>
      <c r="BH334" s="35">
        <f t="shared" si="317"/>
        <v>192.62558405639146</v>
      </c>
      <c r="BI334" s="35">
        <f t="shared" si="318"/>
        <v>14.748831887217079</v>
      </c>
      <c r="BJ334" s="35">
        <f t="shared" si="319"/>
        <v>36.30291084259337</v>
      </c>
    </row>
    <row r="335" spans="2:62">
      <c r="B335" s="35" t="s">
        <v>133</v>
      </c>
      <c r="C335" s="84" t="str">
        <f>MostLikely!$B$1</f>
        <v>MRI-CGCM2.3.2</v>
      </c>
      <c r="D335" s="89">
        <v>2037</v>
      </c>
      <c r="E335" s="57">
        <f>'Cooler&amp;Wetter'!AA65</f>
        <v>35.567500000000003</v>
      </c>
      <c r="F335" s="90">
        <f>MostLikely!AD65</f>
        <v>22.276121594999999</v>
      </c>
      <c r="G335" s="35">
        <f t="shared" si="300"/>
        <v>2005</v>
      </c>
      <c r="H335" s="91" t="str">
        <f t="shared" si="280"/>
        <v>Pile 32 @ Berth 201</v>
      </c>
      <c r="I335" s="35" t="str">
        <f t="shared" si="281"/>
        <v>Turpentine Gum</v>
      </c>
      <c r="J335" s="35" t="str">
        <f t="shared" si="282"/>
        <v>HW1</v>
      </c>
      <c r="K335" s="35" t="str">
        <f t="shared" si="301"/>
        <v>SPHU</v>
      </c>
      <c r="L335" s="35">
        <f t="shared" si="283"/>
        <v>400</v>
      </c>
      <c r="M335" s="35">
        <f t="shared" si="284"/>
        <v>20</v>
      </c>
      <c r="N335" s="35">
        <f t="shared" si="285"/>
        <v>200</v>
      </c>
      <c r="O335" s="35" t="str">
        <f t="shared" si="286"/>
        <v>MTN2</v>
      </c>
      <c r="P335" s="35" t="str">
        <f t="shared" si="287"/>
        <v>CNT2</v>
      </c>
      <c r="Q335" s="35" t="str">
        <f t="shared" si="288"/>
        <v>KNT3</v>
      </c>
      <c r="R335" s="35" t="str">
        <f t="shared" si="289"/>
        <v>E</v>
      </c>
      <c r="S335" s="35" t="str">
        <f t="shared" si="290"/>
        <v>EXP1</v>
      </c>
      <c r="T335" s="58"/>
      <c r="U335" s="58"/>
      <c r="V335" s="58"/>
      <c r="W335" s="58"/>
      <c r="X335" s="58"/>
      <c r="Y335" s="58"/>
      <c r="Z335" s="58"/>
      <c r="AA335" s="95">
        <f t="shared" si="320"/>
        <v>0.90102504365582292</v>
      </c>
      <c r="AB335" s="96">
        <f t="shared" si="302"/>
        <v>90.102504365582291</v>
      </c>
      <c r="AC335" s="58"/>
      <c r="AD335" s="58"/>
      <c r="AE335" s="58"/>
      <c r="AF335" s="58"/>
      <c r="AG335" s="58"/>
      <c r="AH335" s="58"/>
      <c r="AI335" s="58"/>
      <c r="AJ335" s="58"/>
      <c r="AK335" s="58"/>
      <c r="AL335" s="58"/>
      <c r="AM335" s="89">
        <f t="shared" si="303"/>
        <v>32</v>
      </c>
      <c r="AN335" s="36">
        <f t="shared" si="311"/>
        <v>35.567500000000003</v>
      </c>
      <c r="AO335" s="35">
        <f t="shared" si="312"/>
        <v>1.8099708032670643</v>
      </c>
      <c r="AP335" s="35">
        <f>IF((OR(R335="A",R335="B",R335="C")),INDEX(Coefficients!$S$4:$S$22,MATCH(J335,Coefficients!$R$4:$R$22)),INDEX(Coefficients!$T$4:$T$22,MATCH(J335,Coefficients!$R$4:$R$22)))</f>
        <v>1.3</v>
      </c>
      <c r="AQ335" s="27">
        <f>IF((OR(R335="A",R335="B",R335="C")),INDEX(Coefficients!$S$4:$S$22,MATCH(K335,Coefficients!$R$4:$R$22)),INDEX(Coefficients!$T$4:$T$22,MATCH(K335,Coefficients!$R$4:$R$22)))</f>
        <v>25</v>
      </c>
      <c r="AR335" s="27">
        <f>IF(OR(R335="A",R335="B",R335="C",R335="D"),IF(AN335&gt;=11,IF(AN335&gt;=26,Coefficients!$M$6,Coefficients!$M$5),Coefficients!$M$4),IF(AN335&gt;=11,IF(AN335&gt;=26,Coefficients!$N$6,Coefficients!$N$5),Coefficients!$N$4))</f>
        <v>1</v>
      </c>
      <c r="AS335" s="27">
        <f>INDEX(Coefficients!$X$3:$X$4,MATCH(S335,Coefficients!$W$3:$W$4))</f>
        <v>1</v>
      </c>
      <c r="AT335" s="27">
        <f>INDEX(Coefficients!$X$7:$X$8,MATCH(O335,Coefficients!$W$7:$W$8))</f>
        <v>1</v>
      </c>
      <c r="AU335" s="27">
        <f>INDEX(Coefficients!$X$11:$X$12,MATCH(P335,Coefficients!$W$11:$W$12))</f>
        <v>1</v>
      </c>
      <c r="AV335" s="27">
        <f>INDEX(Coefficients!$X$15:$X$17,MATCH(Q335,Coefficients!$W$15:$W$17))</f>
        <v>1</v>
      </c>
      <c r="AW335" s="27">
        <f t="shared" si="304"/>
        <v>1</v>
      </c>
      <c r="AX335" s="27">
        <f t="shared" si="305"/>
        <v>1</v>
      </c>
      <c r="AY335" s="27">
        <f t="shared" si="306"/>
        <v>1.3</v>
      </c>
      <c r="AZ335" s="35">
        <f t="shared" si="307"/>
        <v>45.249270081676606</v>
      </c>
      <c r="BA335" s="35">
        <f t="shared" si="308"/>
        <v>0</v>
      </c>
      <c r="BB335" s="35">
        <f t="shared" si="309"/>
        <v>2.3529620442471835</v>
      </c>
      <c r="BC335" s="35">
        <f t="shared" si="310"/>
        <v>1.7647037955752816</v>
      </c>
      <c r="BD335" s="35">
        <f t="shared" si="313"/>
        <v>0.44199608002293211</v>
      </c>
      <c r="BE335" s="16">
        <f t="shared" si="314"/>
        <v>90.102504365582291</v>
      </c>
      <c r="BF335" s="16">
        <f t="shared" si="315"/>
        <v>219.79499126883542</v>
      </c>
      <c r="BG335" s="25">
        <f t="shared" si="316"/>
        <v>0.90102504365582292</v>
      </c>
      <c r="BH335" s="35">
        <f t="shared" si="317"/>
        <v>198.22550960428106</v>
      </c>
      <c r="BI335" s="35">
        <f t="shared" si="318"/>
        <v>3.5489807914378844</v>
      </c>
      <c r="BJ335" s="35">
        <f t="shared" si="319"/>
        <v>36.206398338900684</v>
      </c>
    </row>
    <row r="336" spans="2:62">
      <c r="B336" s="35" t="s">
        <v>133</v>
      </c>
      <c r="C336" s="84" t="str">
        <f>MostLikely!$B$1</f>
        <v>MRI-CGCM2.3.2</v>
      </c>
      <c r="D336" s="89">
        <v>2038</v>
      </c>
      <c r="E336" s="57">
        <f>'Cooler&amp;Wetter'!AA66</f>
        <v>35.57</v>
      </c>
      <c r="F336" s="90">
        <f>MostLikely!AD66</f>
        <v>22.29750138</v>
      </c>
      <c r="G336" s="35">
        <f t="shared" si="300"/>
        <v>2005</v>
      </c>
      <c r="H336" s="91" t="str">
        <f t="shared" si="280"/>
        <v>Pile 32 @ Berth 201</v>
      </c>
      <c r="I336" s="35" t="str">
        <f t="shared" si="281"/>
        <v>Turpentine Gum</v>
      </c>
      <c r="J336" s="35" t="str">
        <f t="shared" si="282"/>
        <v>HW1</v>
      </c>
      <c r="K336" s="35" t="str">
        <f t="shared" si="301"/>
        <v>SPHU</v>
      </c>
      <c r="L336" s="35">
        <f t="shared" si="283"/>
        <v>400</v>
      </c>
      <c r="M336" s="35">
        <f t="shared" si="284"/>
        <v>20</v>
      </c>
      <c r="N336" s="35">
        <f t="shared" si="285"/>
        <v>200</v>
      </c>
      <c r="O336" s="35" t="str">
        <f t="shared" si="286"/>
        <v>MTN2</v>
      </c>
      <c r="P336" s="35" t="str">
        <f t="shared" si="287"/>
        <v>CNT2</v>
      </c>
      <c r="Q336" s="35" t="str">
        <f t="shared" si="288"/>
        <v>KNT3</v>
      </c>
      <c r="R336" s="35" t="str">
        <f t="shared" si="289"/>
        <v>E</v>
      </c>
      <c r="S336" s="35" t="str">
        <f t="shared" si="290"/>
        <v>EXP1</v>
      </c>
      <c r="T336" s="58"/>
      <c r="U336" s="58"/>
      <c r="V336" s="58"/>
      <c r="W336" s="58"/>
      <c r="X336" s="58"/>
      <c r="Y336" s="58"/>
      <c r="Z336" s="58"/>
      <c r="AA336" s="95">
        <f t="shared" si="320"/>
        <v>0.92661567000182155</v>
      </c>
      <c r="AB336" s="96">
        <f t="shared" si="302"/>
        <v>92.66156700018216</v>
      </c>
      <c r="AC336" s="58"/>
      <c r="AD336" s="58"/>
      <c r="AE336" s="58"/>
      <c r="AF336" s="58"/>
      <c r="AG336" s="58"/>
      <c r="AH336" s="58"/>
      <c r="AI336" s="58"/>
      <c r="AJ336" s="58"/>
      <c r="AK336" s="58"/>
      <c r="AL336" s="58"/>
      <c r="AM336" s="89">
        <f t="shared" si="303"/>
        <v>33</v>
      </c>
      <c r="AN336" s="36">
        <f t="shared" si="311"/>
        <v>35.57</v>
      </c>
      <c r="AO336" s="35">
        <f t="shared" si="312"/>
        <v>1.8150083829401489</v>
      </c>
      <c r="AP336" s="35">
        <f>IF((OR(R336="A",R336="B",R336="C")),INDEX(Coefficients!$S$4:$S$22,MATCH(J336,Coefficients!$R$4:$R$22)),INDEX(Coefficients!$T$4:$T$22,MATCH(J336,Coefficients!$R$4:$R$22)))</f>
        <v>1.3</v>
      </c>
      <c r="AQ336" s="27">
        <f>IF((OR(R336="A",R336="B",R336="C")),INDEX(Coefficients!$S$4:$S$22,MATCH(K336,Coefficients!$R$4:$R$22)),INDEX(Coefficients!$T$4:$T$22,MATCH(K336,Coefficients!$R$4:$R$22)))</f>
        <v>25</v>
      </c>
      <c r="AR336" s="27">
        <f>IF(OR(R336="A",R336="B",R336="C",R336="D"),IF(AN336&gt;=11,IF(AN336&gt;=26,Coefficients!$M$6,Coefficients!$M$5),Coefficients!$M$4),IF(AN336&gt;=11,IF(AN336&gt;=26,Coefficients!$N$6,Coefficients!$N$5),Coefficients!$N$4))</f>
        <v>1</v>
      </c>
      <c r="AS336" s="27">
        <f>INDEX(Coefficients!$X$3:$X$4,MATCH(S336,Coefficients!$W$3:$W$4))</f>
        <v>1</v>
      </c>
      <c r="AT336" s="27">
        <f>INDEX(Coefficients!$X$7:$X$8,MATCH(O336,Coefficients!$W$7:$W$8))</f>
        <v>1</v>
      </c>
      <c r="AU336" s="27">
        <f>INDEX(Coefficients!$X$11:$X$12,MATCH(P336,Coefficients!$W$11:$W$12))</f>
        <v>1</v>
      </c>
      <c r="AV336" s="27">
        <f>INDEX(Coefficients!$X$15:$X$17,MATCH(Q336,Coefficients!$W$15:$W$17))</f>
        <v>1</v>
      </c>
      <c r="AW336" s="27">
        <f t="shared" si="304"/>
        <v>1</v>
      </c>
      <c r="AX336" s="27">
        <f t="shared" si="305"/>
        <v>1</v>
      </c>
      <c r="AY336" s="27">
        <f t="shared" si="306"/>
        <v>1.3</v>
      </c>
      <c r="AZ336" s="35">
        <f t="shared" si="307"/>
        <v>45.375209573503724</v>
      </c>
      <c r="BA336" s="35">
        <f t="shared" si="308"/>
        <v>0</v>
      </c>
      <c r="BB336" s="35">
        <f t="shared" si="309"/>
        <v>2.3595108978221937</v>
      </c>
      <c r="BC336" s="35">
        <f t="shared" si="310"/>
        <v>1.7640489102177805</v>
      </c>
      <c r="BD336" s="35">
        <f t="shared" si="313"/>
        <v>0.44076931408111325</v>
      </c>
      <c r="BE336" s="16">
        <f t="shared" si="314"/>
        <v>92.66156700018216</v>
      </c>
      <c r="BF336" s="16">
        <f t="shared" si="315"/>
        <v>214.67686599963568</v>
      </c>
      <c r="BG336" s="25">
        <f t="shared" si="316"/>
        <v>0.92661567000182155</v>
      </c>
      <c r="BH336" s="35">
        <f t="shared" si="317"/>
        <v>203.85544740040078</v>
      </c>
      <c r="BI336" s="35">
        <f t="shared" si="318"/>
        <v>-7.7108948008015545</v>
      </c>
      <c r="BJ336" s="35">
        <f t="shared" si="319"/>
        <v>36.110150076692221</v>
      </c>
    </row>
    <row r="337" spans="2:62">
      <c r="B337" s="35" t="s">
        <v>133</v>
      </c>
      <c r="C337" s="84" t="str">
        <f>MostLikely!$B$1</f>
        <v>MRI-CGCM2.3.2</v>
      </c>
      <c r="D337" s="89">
        <v>2039</v>
      </c>
      <c r="E337" s="57">
        <f>'Cooler&amp;Wetter'!AA67</f>
        <v>35.572499999999998</v>
      </c>
      <c r="F337" s="90">
        <f>MostLikely!AD67</f>
        <v>22.318881164999997</v>
      </c>
      <c r="G337" s="35">
        <f t="shared" si="300"/>
        <v>2005</v>
      </c>
      <c r="H337" s="91" t="str">
        <f t="shared" si="280"/>
        <v>Pile 32 @ Berth 201</v>
      </c>
      <c r="I337" s="35" t="str">
        <f t="shared" si="281"/>
        <v>Turpentine Gum</v>
      </c>
      <c r="J337" s="35" t="str">
        <f t="shared" si="282"/>
        <v>HW1</v>
      </c>
      <c r="K337" s="35" t="str">
        <f t="shared" si="301"/>
        <v>SPHU</v>
      </c>
      <c r="L337" s="35">
        <f t="shared" si="283"/>
        <v>400</v>
      </c>
      <c r="M337" s="35">
        <f t="shared" si="284"/>
        <v>20</v>
      </c>
      <c r="N337" s="35">
        <f t="shared" si="285"/>
        <v>200</v>
      </c>
      <c r="O337" s="35" t="str">
        <f t="shared" si="286"/>
        <v>MTN2</v>
      </c>
      <c r="P337" s="35" t="str">
        <f t="shared" si="287"/>
        <v>CNT2</v>
      </c>
      <c r="Q337" s="35" t="str">
        <f t="shared" si="288"/>
        <v>KNT3</v>
      </c>
      <c r="R337" s="35" t="str">
        <f t="shared" si="289"/>
        <v>E</v>
      </c>
      <c r="S337" s="35" t="str">
        <f t="shared" si="290"/>
        <v>EXP1</v>
      </c>
      <c r="T337" s="58"/>
      <c r="U337" s="58"/>
      <c r="V337" s="58"/>
      <c r="W337" s="58"/>
      <c r="X337" s="58"/>
      <c r="Y337" s="58"/>
      <c r="Z337" s="58"/>
      <c r="AA337" s="95">
        <f t="shared" si="320"/>
        <v>0.95234327809302888</v>
      </c>
      <c r="AB337" s="96">
        <f t="shared" si="302"/>
        <v>95.234327809302883</v>
      </c>
      <c r="AC337" s="58"/>
      <c r="AD337" s="58"/>
      <c r="AE337" s="58"/>
      <c r="AF337" s="58"/>
      <c r="AG337" s="58"/>
      <c r="AH337" s="58"/>
      <c r="AI337" s="58"/>
      <c r="AJ337" s="58"/>
      <c r="AK337" s="58"/>
      <c r="AL337" s="58"/>
      <c r="AM337" s="89">
        <f t="shared" si="303"/>
        <v>34</v>
      </c>
      <c r="AN337" s="36">
        <f t="shared" si="311"/>
        <v>35.572499999999998</v>
      </c>
      <c r="AO337" s="35">
        <f t="shared" si="312"/>
        <v>1.8200599833968369</v>
      </c>
      <c r="AP337" s="35">
        <f>IF((OR(R337="A",R337="B",R337="C")),INDEX(Coefficients!$S$4:$S$22,MATCH(J337,Coefficients!$R$4:$R$22)),INDEX(Coefficients!$T$4:$T$22,MATCH(J337,Coefficients!$R$4:$R$22)))</f>
        <v>1.3</v>
      </c>
      <c r="AQ337" s="27">
        <f>IF((OR(R337="A",R337="B",R337="C")),INDEX(Coefficients!$S$4:$S$22,MATCH(K337,Coefficients!$R$4:$R$22)),INDEX(Coefficients!$T$4:$T$22,MATCH(K337,Coefficients!$R$4:$R$22)))</f>
        <v>25</v>
      </c>
      <c r="AR337" s="27">
        <f>IF(OR(R337="A",R337="B",R337="C",R337="D"),IF(AN337&gt;=11,IF(AN337&gt;=26,Coefficients!$M$6,Coefficients!$M$5),Coefficients!$M$4),IF(AN337&gt;=11,IF(AN337&gt;=26,Coefficients!$N$6,Coefficients!$N$5),Coefficients!$N$4))</f>
        <v>1</v>
      </c>
      <c r="AS337" s="27">
        <f>INDEX(Coefficients!$X$3:$X$4,MATCH(S337,Coefficients!$W$3:$W$4))</f>
        <v>1</v>
      </c>
      <c r="AT337" s="27">
        <f>INDEX(Coefficients!$X$7:$X$8,MATCH(O337,Coefficients!$W$7:$W$8))</f>
        <v>1</v>
      </c>
      <c r="AU337" s="27">
        <f>INDEX(Coefficients!$X$11:$X$12,MATCH(P337,Coefficients!$W$11:$W$12))</f>
        <v>1</v>
      </c>
      <c r="AV337" s="27">
        <f>INDEX(Coefficients!$X$15:$X$17,MATCH(Q337,Coefficients!$W$15:$W$17))</f>
        <v>1</v>
      </c>
      <c r="AW337" s="27">
        <f t="shared" si="304"/>
        <v>1</v>
      </c>
      <c r="AX337" s="27">
        <f t="shared" si="305"/>
        <v>1</v>
      </c>
      <c r="AY337" s="27">
        <f t="shared" si="306"/>
        <v>1.3</v>
      </c>
      <c r="AZ337" s="35">
        <f t="shared" si="307"/>
        <v>45.501499584920921</v>
      </c>
      <c r="BA337" s="35">
        <f t="shared" si="308"/>
        <v>0</v>
      </c>
      <c r="BB337" s="35">
        <f t="shared" si="309"/>
        <v>2.3660779784158881</v>
      </c>
      <c r="BC337" s="35">
        <f t="shared" si="310"/>
        <v>1.7633922021584112</v>
      </c>
      <c r="BD337" s="35">
        <f t="shared" si="313"/>
        <v>0.43954595304432448</v>
      </c>
      <c r="BE337" s="16">
        <f t="shared" si="314"/>
        <v>95.234327809302883</v>
      </c>
      <c r="BF337" s="16">
        <f t="shared" si="315"/>
        <v>209.53134438139423</v>
      </c>
      <c r="BG337" s="25">
        <f t="shared" si="316"/>
        <v>0.95234327809302888</v>
      </c>
      <c r="BH337" s="35">
        <f t="shared" si="317"/>
        <v>209.51552118046635</v>
      </c>
      <c r="BI337" s="35">
        <f t="shared" si="318"/>
        <v>-19.031042360932702</v>
      </c>
      <c r="BJ337" s="35">
        <f t="shared" si="319"/>
        <v>36.014165312458459</v>
      </c>
    </row>
    <row r="338" spans="2:62">
      <c r="B338" s="35" t="s">
        <v>133</v>
      </c>
      <c r="C338" s="84" t="str">
        <f>MostLikely!$B$1</f>
        <v>MRI-CGCM2.3.2</v>
      </c>
      <c r="D338" s="89">
        <v>2040</v>
      </c>
      <c r="E338" s="57">
        <f>'Cooler&amp;Wetter'!AA68</f>
        <v>35.575000000000003</v>
      </c>
      <c r="F338" s="90">
        <f>MostLikely!AD68</f>
        <v>22.340260949999998</v>
      </c>
      <c r="G338" s="35">
        <f t="shared" si="300"/>
        <v>2005</v>
      </c>
      <c r="H338" s="91" t="str">
        <f t="shared" si="280"/>
        <v>Pile 32 @ Berth 201</v>
      </c>
      <c r="I338" s="35" t="str">
        <f t="shared" si="281"/>
        <v>Turpentine Gum</v>
      </c>
      <c r="J338" s="35" t="str">
        <f t="shared" si="282"/>
        <v>HW1</v>
      </c>
      <c r="K338" s="35" t="str">
        <f t="shared" si="301"/>
        <v>SPHU</v>
      </c>
      <c r="L338" s="35">
        <f t="shared" si="283"/>
        <v>400</v>
      </c>
      <c r="M338" s="35">
        <f t="shared" si="284"/>
        <v>20</v>
      </c>
      <c r="N338" s="35">
        <f t="shared" si="285"/>
        <v>200</v>
      </c>
      <c r="O338" s="35" t="str">
        <f t="shared" si="286"/>
        <v>MTN2</v>
      </c>
      <c r="P338" s="35" t="str">
        <f t="shared" si="287"/>
        <v>CNT2</v>
      </c>
      <c r="Q338" s="35" t="str">
        <f t="shared" si="288"/>
        <v>KNT3</v>
      </c>
      <c r="R338" s="35" t="str">
        <f t="shared" si="289"/>
        <v>E</v>
      </c>
      <c r="S338" s="35" t="str">
        <f t="shared" si="290"/>
        <v>EXP1</v>
      </c>
      <c r="T338" s="58"/>
      <c r="U338" s="58"/>
      <c r="V338" s="58"/>
      <c r="W338" s="58"/>
      <c r="X338" s="58"/>
      <c r="Y338" s="58"/>
      <c r="Z338" s="58"/>
      <c r="AA338" s="95">
        <f t="shared" si="320"/>
        <v>0.97820843243987032</v>
      </c>
      <c r="AB338" s="96">
        <f t="shared" si="302"/>
        <v>97.820843243987028</v>
      </c>
      <c r="AC338" s="58"/>
      <c r="AD338" s="58"/>
      <c r="AE338" s="58"/>
      <c r="AF338" s="58"/>
      <c r="AG338" s="58"/>
      <c r="AH338" s="58"/>
      <c r="AI338" s="58"/>
      <c r="AJ338" s="58"/>
      <c r="AK338" s="58"/>
      <c r="AL338" s="58"/>
      <c r="AM338" s="89">
        <f t="shared" si="303"/>
        <v>35</v>
      </c>
      <c r="AN338" s="36">
        <f t="shared" si="311"/>
        <v>35.575000000000003</v>
      </c>
      <c r="AO338" s="35">
        <f t="shared" si="312"/>
        <v>1.8251256436603094</v>
      </c>
      <c r="AP338" s="35">
        <f>IF((OR(R338="A",R338="B",R338="C")),INDEX(Coefficients!$S$4:$S$22,MATCH(J338,Coefficients!$R$4:$R$22)),INDEX(Coefficients!$T$4:$T$22,MATCH(J338,Coefficients!$R$4:$R$22)))</f>
        <v>1.3</v>
      </c>
      <c r="AQ338" s="27">
        <f>IF((OR(R338="A",R338="B",R338="C")),INDEX(Coefficients!$S$4:$S$22,MATCH(K338,Coefficients!$R$4:$R$22)),INDEX(Coefficients!$T$4:$T$22,MATCH(K338,Coefficients!$R$4:$R$22)))</f>
        <v>25</v>
      </c>
      <c r="AR338" s="27">
        <f>IF(OR(R338="A",R338="B",R338="C",R338="D"),IF(AN338&gt;=11,IF(AN338&gt;=26,Coefficients!$M$6,Coefficients!$M$5),Coefficients!$M$4),IF(AN338&gt;=11,IF(AN338&gt;=26,Coefficients!$N$6,Coefficients!$N$5),Coefficients!$N$4))</f>
        <v>1</v>
      </c>
      <c r="AS338" s="27">
        <f>INDEX(Coefficients!$X$3:$X$4,MATCH(S338,Coefficients!$W$3:$W$4))</f>
        <v>1</v>
      </c>
      <c r="AT338" s="27">
        <f>INDEX(Coefficients!$X$7:$X$8,MATCH(O338,Coefficients!$W$7:$W$8))</f>
        <v>1</v>
      </c>
      <c r="AU338" s="27">
        <f>INDEX(Coefficients!$X$11:$X$12,MATCH(P338,Coefficients!$W$11:$W$12))</f>
        <v>1</v>
      </c>
      <c r="AV338" s="27">
        <f>INDEX(Coefficients!$X$15:$X$17,MATCH(Q338,Coefficients!$W$15:$W$17))</f>
        <v>1</v>
      </c>
      <c r="AW338" s="27">
        <f t="shared" si="304"/>
        <v>1</v>
      </c>
      <c r="AX338" s="27">
        <f t="shared" si="305"/>
        <v>1</v>
      </c>
      <c r="AY338" s="27">
        <f t="shared" si="306"/>
        <v>1.3</v>
      </c>
      <c r="AZ338" s="35">
        <f t="shared" si="307"/>
        <v>45.628141091507736</v>
      </c>
      <c r="BA338" s="35">
        <f t="shared" si="308"/>
        <v>0</v>
      </c>
      <c r="BB338" s="35">
        <f t="shared" si="309"/>
        <v>2.3726633367584022</v>
      </c>
      <c r="BC338" s="35">
        <f t="shared" si="310"/>
        <v>1.7627336663241597</v>
      </c>
      <c r="BD338" s="35">
        <f t="shared" si="313"/>
        <v>0.4383259874622063</v>
      </c>
      <c r="BE338" s="16">
        <f t="shared" si="314"/>
        <v>97.820843243987028</v>
      </c>
      <c r="BF338" s="16">
        <f t="shared" si="315"/>
        <v>204.35831351202594</v>
      </c>
      <c r="BG338" s="25">
        <f t="shared" si="316"/>
        <v>0.97820843243987032</v>
      </c>
      <c r="BH338" s="35">
        <f t="shared" si="317"/>
        <v>215.20585513677148</v>
      </c>
      <c r="BI338" s="35">
        <f t="shared" si="318"/>
        <v>-30.411710273542951</v>
      </c>
      <c r="BJ338" s="35">
        <f t="shared" si="319"/>
        <v>35.918443304725315</v>
      </c>
    </row>
    <row r="339" spans="2:62">
      <c r="B339" s="35" t="s">
        <v>133</v>
      </c>
      <c r="C339" s="84" t="str">
        <f>MostLikely!$B$1</f>
        <v>MRI-CGCM2.3.2</v>
      </c>
      <c r="D339" s="89">
        <v>2041</v>
      </c>
      <c r="E339" s="57">
        <f>'Cooler&amp;Wetter'!AA69</f>
        <v>35.577500000000001</v>
      </c>
      <c r="F339" s="90">
        <f>MostLikely!AD69</f>
        <v>22.361640734999998</v>
      </c>
      <c r="G339" s="35">
        <f t="shared" si="300"/>
        <v>2005</v>
      </c>
      <c r="H339" s="91" t="str">
        <f t="shared" si="280"/>
        <v>Pile 32 @ Berth 201</v>
      </c>
      <c r="I339" s="35" t="str">
        <f t="shared" si="281"/>
        <v>Turpentine Gum</v>
      </c>
      <c r="J339" s="35" t="str">
        <f t="shared" si="282"/>
        <v>HW1</v>
      </c>
      <c r="K339" s="35" t="str">
        <f t="shared" si="301"/>
        <v>SPHU</v>
      </c>
      <c r="L339" s="35">
        <f t="shared" si="283"/>
        <v>400</v>
      </c>
      <c r="M339" s="35">
        <f t="shared" si="284"/>
        <v>20</v>
      </c>
      <c r="N339" s="35">
        <f t="shared" si="285"/>
        <v>200</v>
      </c>
      <c r="O339" s="35" t="str">
        <f t="shared" si="286"/>
        <v>MTN2</v>
      </c>
      <c r="P339" s="35" t="str">
        <f t="shared" si="287"/>
        <v>CNT2</v>
      </c>
      <c r="Q339" s="35" t="str">
        <f t="shared" si="288"/>
        <v>KNT3</v>
      </c>
      <c r="R339" s="35" t="str">
        <f t="shared" si="289"/>
        <v>E</v>
      </c>
      <c r="S339" s="35" t="str">
        <f t="shared" si="290"/>
        <v>EXP1</v>
      </c>
      <c r="T339" s="58"/>
      <c r="U339" s="58"/>
      <c r="V339" s="58"/>
      <c r="W339" s="58"/>
      <c r="X339" s="58"/>
      <c r="Y339" s="58"/>
      <c r="Z339" s="58"/>
      <c r="AA339" s="95">
        <f t="shared" si="320"/>
        <v>1</v>
      </c>
      <c r="AB339" s="96">
        <f t="shared" si="302"/>
        <v>100.42116996353271</v>
      </c>
      <c r="AC339" s="58"/>
      <c r="AD339" s="58"/>
      <c r="AE339" s="58"/>
      <c r="AF339" s="58"/>
      <c r="AG339" s="58"/>
      <c r="AH339" s="58"/>
      <c r="AI339" s="58"/>
      <c r="AJ339" s="58"/>
      <c r="AK339" s="58"/>
      <c r="AL339" s="58"/>
      <c r="AM339" s="89">
        <f t="shared" si="303"/>
        <v>36</v>
      </c>
      <c r="AN339" s="36">
        <f t="shared" si="311"/>
        <v>35.577500000000001</v>
      </c>
      <c r="AO339" s="35">
        <f t="shared" si="312"/>
        <v>1.8302054028623544</v>
      </c>
      <c r="AP339" s="35">
        <f>IF((OR(R339="A",R339="B",R339="C")),INDEX(Coefficients!$S$4:$S$22,MATCH(J339,Coefficients!$R$4:$R$22)),INDEX(Coefficients!$T$4:$T$22,MATCH(J339,Coefficients!$R$4:$R$22)))</f>
        <v>1.3</v>
      </c>
      <c r="AQ339" s="27">
        <f>IF((OR(R339="A",R339="B",R339="C")),INDEX(Coefficients!$S$4:$S$22,MATCH(K339,Coefficients!$R$4:$R$22)),INDEX(Coefficients!$T$4:$T$22,MATCH(K339,Coefficients!$R$4:$R$22)))</f>
        <v>25</v>
      </c>
      <c r="AR339" s="27">
        <f>IF(OR(R339="A",R339="B",R339="C",R339="D"),IF(AN339&gt;=11,IF(AN339&gt;=26,Coefficients!$M$6,Coefficients!$M$5),Coefficients!$M$4),IF(AN339&gt;=11,IF(AN339&gt;=26,Coefficients!$N$6,Coefficients!$N$5),Coefficients!$N$4))</f>
        <v>1</v>
      </c>
      <c r="AS339" s="27">
        <f>INDEX(Coefficients!$X$3:$X$4,MATCH(S339,Coefficients!$W$3:$W$4))</f>
        <v>1</v>
      </c>
      <c r="AT339" s="27">
        <f>INDEX(Coefficients!$X$7:$X$8,MATCH(O339,Coefficients!$W$7:$W$8))</f>
        <v>1</v>
      </c>
      <c r="AU339" s="27">
        <f>INDEX(Coefficients!$X$11:$X$12,MATCH(P339,Coefficients!$W$11:$W$12))</f>
        <v>1</v>
      </c>
      <c r="AV339" s="27">
        <f>INDEX(Coefficients!$X$15:$X$17,MATCH(Q339,Coefficients!$W$15:$W$17))</f>
        <v>1</v>
      </c>
      <c r="AW339" s="27">
        <f t="shared" si="304"/>
        <v>1</v>
      </c>
      <c r="AX339" s="27">
        <f t="shared" si="305"/>
        <v>1</v>
      </c>
      <c r="AY339" s="27">
        <f t="shared" si="306"/>
        <v>1.3</v>
      </c>
      <c r="AZ339" s="35">
        <f t="shared" si="307"/>
        <v>45.755135071558861</v>
      </c>
      <c r="BA339" s="35">
        <f t="shared" si="308"/>
        <v>0</v>
      </c>
      <c r="BB339" s="35">
        <f t="shared" si="309"/>
        <v>2.3792670237210607</v>
      </c>
      <c r="BC339" s="35">
        <f t="shared" si="310"/>
        <v>1.7620732976278939</v>
      </c>
      <c r="BD339" s="35">
        <f t="shared" si="313"/>
        <v>0.43710940791063013</v>
      </c>
      <c r="BE339" s="16">
        <f t="shared" si="314"/>
        <v>100.42116996353271</v>
      </c>
      <c r="BF339" s="16">
        <f t="shared" si="315"/>
        <v>199.15766007293459</v>
      </c>
      <c r="BG339" s="25">
        <f t="shared" si="316"/>
        <v>1</v>
      </c>
      <c r="BH339" s="35">
        <f t="shared" si="317"/>
        <v>220.92657391977198</v>
      </c>
      <c r="BI339" s="35">
        <f t="shared" si="318"/>
        <v>-41.853147839543965</v>
      </c>
      <c r="BJ339" s="35">
        <f t="shared" si="319"/>
        <v>35.822983314048535</v>
      </c>
    </row>
    <row r="340" spans="2:62">
      <c r="B340" s="35" t="s">
        <v>133</v>
      </c>
      <c r="C340" s="84" t="str">
        <f>MostLikely!$B$1</f>
        <v>MRI-CGCM2.3.2</v>
      </c>
      <c r="D340" s="89">
        <v>2042</v>
      </c>
      <c r="E340" s="57">
        <f>'Cooler&amp;Wetter'!AA70</f>
        <v>35.58</v>
      </c>
      <c r="F340" s="90">
        <f>MostLikely!AD70</f>
        <v>22.383020519999999</v>
      </c>
      <c r="G340" s="35">
        <f t="shared" si="300"/>
        <v>2005</v>
      </c>
      <c r="H340" s="91" t="str">
        <f t="shared" si="280"/>
        <v>Pile 32 @ Berth 201</v>
      </c>
      <c r="I340" s="35" t="str">
        <f t="shared" si="281"/>
        <v>Turpentine Gum</v>
      </c>
      <c r="J340" s="35" t="str">
        <f t="shared" si="282"/>
        <v>HW1</v>
      </c>
      <c r="K340" s="35" t="str">
        <f t="shared" si="301"/>
        <v>SPHU</v>
      </c>
      <c r="L340" s="35">
        <f t="shared" si="283"/>
        <v>400</v>
      </c>
      <c r="M340" s="35">
        <f t="shared" si="284"/>
        <v>20</v>
      </c>
      <c r="N340" s="35">
        <f t="shared" si="285"/>
        <v>200</v>
      </c>
      <c r="O340" s="35" t="str">
        <f t="shared" si="286"/>
        <v>MTN2</v>
      </c>
      <c r="P340" s="35" t="str">
        <f t="shared" si="287"/>
        <v>CNT2</v>
      </c>
      <c r="Q340" s="35" t="str">
        <f t="shared" si="288"/>
        <v>KNT3</v>
      </c>
      <c r="R340" s="35" t="str">
        <f t="shared" si="289"/>
        <v>E</v>
      </c>
      <c r="S340" s="35" t="str">
        <f t="shared" si="290"/>
        <v>EXP1</v>
      </c>
      <c r="T340" s="58"/>
      <c r="U340" s="58"/>
      <c r="V340" s="58"/>
      <c r="W340" s="58"/>
      <c r="X340" s="58"/>
      <c r="Y340" s="58"/>
      <c r="Z340" s="58"/>
      <c r="AA340" s="95">
        <f t="shared" si="320"/>
        <v>1</v>
      </c>
      <c r="AB340" s="96">
        <f t="shared" si="302"/>
        <v>103.03536483621653</v>
      </c>
      <c r="AC340" s="58"/>
      <c r="AD340" s="58"/>
      <c r="AE340" s="58"/>
      <c r="AF340" s="58"/>
      <c r="AG340" s="58"/>
      <c r="AH340" s="58"/>
      <c r="AI340" s="58"/>
      <c r="AJ340" s="58"/>
      <c r="AK340" s="58"/>
      <c r="AL340" s="58"/>
      <c r="AM340" s="89">
        <f t="shared" si="303"/>
        <v>37</v>
      </c>
      <c r="AN340" s="36">
        <f t="shared" si="311"/>
        <v>35.58</v>
      </c>
      <c r="AO340" s="35">
        <f t="shared" si="312"/>
        <v>1.8352993002436762</v>
      </c>
      <c r="AP340" s="35">
        <f>IF((OR(R340="A",R340="B",R340="C")),INDEX(Coefficients!$S$4:$S$22,MATCH(J340,Coefficients!$R$4:$R$22)),INDEX(Coefficients!$T$4:$T$22,MATCH(J340,Coefficients!$R$4:$R$22)))</f>
        <v>1.3</v>
      </c>
      <c r="AQ340" s="27">
        <f>IF((OR(R340="A",R340="B",R340="C")),INDEX(Coefficients!$S$4:$S$22,MATCH(K340,Coefficients!$R$4:$R$22)),INDEX(Coefficients!$T$4:$T$22,MATCH(K340,Coefficients!$R$4:$R$22)))</f>
        <v>25</v>
      </c>
      <c r="AR340" s="27">
        <f>IF(OR(R340="A",R340="B",R340="C",R340="D"),IF(AN340&gt;=11,IF(AN340&gt;=26,Coefficients!$M$6,Coefficients!$M$5),Coefficients!$M$4),IF(AN340&gt;=11,IF(AN340&gt;=26,Coefficients!$N$6,Coefficients!$N$5),Coefficients!$N$4))</f>
        <v>1</v>
      </c>
      <c r="AS340" s="27">
        <f>INDEX(Coefficients!$X$3:$X$4,MATCH(S340,Coefficients!$W$3:$W$4))</f>
        <v>1</v>
      </c>
      <c r="AT340" s="27">
        <f>INDEX(Coefficients!$X$7:$X$8,MATCH(O340,Coefficients!$W$7:$W$8))</f>
        <v>1</v>
      </c>
      <c r="AU340" s="27">
        <f>INDEX(Coefficients!$X$11:$X$12,MATCH(P340,Coefficients!$W$11:$W$12))</f>
        <v>1</v>
      </c>
      <c r="AV340" s="27">
        <f>INDEX(Coefficients!$X$15:$X$17,MATCH(Q340,Coefficients!$W$15:$W$17))</f>
        <v>1</v>
      </c>
      <c r="AW340" s="27">
        <f t="shared" si="304"/>
        <v>1</v>
      </c>
      <c r="AX340" s="27">
        <f t="shared" si="305"/>
        <v>1</v>
      </c>
      <c r="AY340" s="27">
        <f t="shared" si="306"/>
        <v>1.3</v>
      </c>
      <c r="AZ340" s="35">
        <f t="shared" si="307"/>
        <v>45.882482506091904</v>
      </c>
      <c r="BA340" s="35">
        <f t="shared" si="308"/>
        <v>0</v>
      </c>
      <c r="BB340" s="35">
        <f t="shared" si="309"/>
        <v>2.3858890903167791</v>
      </c>
      <c r="BC340" s="35">
        <f t="shared" si="310"/>
        <v>1.761411090968322</v>
      </c>
      <c r="BD340" s="35">
        <f t="shared" si="313"/>
        <v>0.43589620499162318</v>
      </c>
      <c r="BE340" s="16">
        <f t="shared" si="314"/>
        <v>103.03536483621653</v>
      </c>
      <c r="BF340" s="16">
        <f t="shared" si="315"/>
        <v>193.92927032756694</v>
      </c>
      <c r="BG340" s="25">
        <f t="shared" si="316"/>
        <v>1</v>
      </c>
      <c r="BH340" s="35">
        <f t="shared" si="317"/>
        <v>226.67780263967637</v>
      </c>
      <c r="BI340" s="35">
        <f t="shared" si="318"/>
        <v>-53.355605279352744</v>
      </c>
      <c r="BJ340" s="35">
        <f t="shared" si="319"/>
        <v>35.727784603007876</v>
      </c>
    </row>
    <row r="341" spans="2:62">
      <c r="B341" s="35" t="s">
        <v>133</v>
      </c>
      <c r="C341" s="84" t="str">
        <f>MostLikely!$B$1</f>
        <v>MRI-CGCM2.3.2</v>
      </c>
      <c r="D341" s="89">
        <v>2043</v>
      </c>
      <c r="E341" s="57">
        <f>'Cooler&amp;Wetter'!AA71</f>
        <v>35.582500000000003</v>
      </c>
      <c r="F341" s="90">
        <f>MostLikely!AD71</f>
        <v>22.404400304999999</v>
      </c>
      <c r="G341" s="35">
        <f t="shared" si="300"/>
        <v>2005</v>
      </c>
      <c r="H341" s="91" t="str">
        <f t="shared" si="280"/>
        <v>Pile 32 @ Berth 201</v>
      </c>
      <c r="I341" s="35" t="str">
        <f t="shared" si="281"/>
        <v>Turpentine Gum</v>
      </c>
      <c r="J341" s="35" t="str">
        <f t="shared" si="282"/>
        <v>HW1</v>
      </c>
      <c r="K341" s="35" t="str">
        <f t="shared" si="301"/>
        <v>SPHU</v>
      </c>
      <c r="L341" s="35">
        <f t="shared" si="283"/>
        <v>400</v>
      </c>
      <c r="M341" s="35">
        <f t="shared" si="284"/>
        <v>20</v>
      </c>
      <c r="N341" s="35">
        <f t="shared" si="285"/>
        <v>200</v>
      </c>
      <c r="O341" s="35" t="str">
        <f t="shared" si="286"/>
        <v>MTN2</v>
      </c>
      <c r="P341" s="35" t="str">
        <f t="shared" si="287"/>
        <v>CNT2</v>
      </c>
      <c r="Q341" s="35" t="str">
        <f t="shared" si="288"/>
        <v>KNT3</v>
      </c>
      <c r="R341" s="35" t="str">
        <f t="shared" si="289"/>
        <v>E</v>
      </c>
      <c r="S341" s="35" t="str">
        <f t="shared" si="290"/>
        <v>EXP1</v>
      </c>
      <c r="T341" s="58"/>
      <c r="U341" s="58"/>
      <c r="V341" s="58"/>
      <c r="W341" s="58"/>
      <c r="X341" s="58"/>
      <c r="Y341" s="58"/>
      <c r="Z341" s="58"/>
      <c r="AA341" s="95">
        <f t="shared" si="320"/>
        <v>1</v>
      </c>
      <c r="AB341" s="96">
        <f t="shared" si="302"/>
        <v>105.66348494001838</v>
      </c>
      <c r="AC341" s="58"/>
      <c r="AD341" s="58"/>
      <c r="AE341" s="58"/>
      <c r="AF341" s="58"/>
      <c r="AG341" s="58"/>
      <c r="AH341" s="58"/>
      <c r="AI341" s="58"/>
      <c r="AJ341" s="58"/>
      <c r="AK341" s="58"/>
      <c r="AL341" s="58"/>
      <c r="AM341" s="89">
        <f t="shared" si="303"/>
        <v>38</v>
      </c>
      <c r="AN341" s="36">
        <f t="shared" si="311"/>
        <v>35.582500000000003</v>
      </c>
      <c r="AO341" s="35">
        <f t="shared" si="312"/>
        <v>1.8404073751541916</v>
      </c>
      <c r="AP341" s="35">
        <f>IF((OR(R341="A",R341="B",R341="C")),INDEX(Coefficients!$S$4:$S$22,MATCH(J341,Coefficients!$R$4:$R$22)),INDEX(Coefficients!$T$4:$T$22,MATCH(J341,Coefficients!$R$4:$R$22)))</f>
        <v>1.3</v>
      </c>
      <c r="AQ341" s="27">
        <f>IF((OR(R341="A",R341="B",R341="C")),INDEX(Coefficients!$S$4:$S$22,MATCH(K341,Coefficients!$R$4:$R$22)),INDEX(Coefficients!$T$4:$T$22,MATCH(K341,Coefficients!$R$4:$R$22)))</f>
        <v>25</v>
      </c>
      <c r="AR341" s="27">
        <f>IF(OR(R341="A",R341="B",R341="C",R341="D"),IF(AN341&gt;=11,IF(AN341&gt;=26,Coefficients!$M$6,Coefficients!$M$5),Coefficients!$M$4),IF(AN341&gt;=11,IF(AN341&gt;=26,Coefficients!$N$6,Coefficients!$N$5),Coefficients!$N$4))</f>
        <v>1</v>
      </c>
      <c r="AS341" s="27">
        <f>INDEX(Coefficients!$X$3:$X$4,MATCH(S341,Coefficients!$W$3:$W$4))</f>
        <v>1</v>
      </c>
      <c r="AT341" s="27">
        <f>INDEX(Coefficients!$X$7:$X$8,MATCH(O341,Coefficients!$W$7:$W$8))</f>
        <v>1</v>
      </c>
      <c r="AU341" s="27">
        <f>INDEX(Coefficients!$X$11:$X$12,MATCH(P341,Coefficients!$W$11:$W$12))</f>
        <v>1</v>
      </c>
      <c r="AV341" s="27">
        <f>INDEX(Coefficients!$X$15:$X$17,MATCH(Q341,Coefficients!$W$15:$W$17))</f>
        <v>1</v>
      </c>
      <c r="AW341" s="27">
        <f t="shared" si="304"/>
        <v>1</v>
      </c>
      <c r="AX341" s="27">
        <f t="shared" si="305"/>
        <v>1</v>
      </c>
      <c r="AY341" s="27">
        <f t="shared" si="306"/>
        <v>1.3</v>
      </c>
      <c r="AZ341" s="35">
        <f t="shared" si="307"/>
        <v>46.010184378854788</v>
      </c>
      <c r="BA341" s="35">
        <f t="shared" si="308"/>
        <v>0</v>
      </c>
      <c r="BB341" s="35">
        <f t="shared" si="309"/>
        <v>2.3925295877004493</v>
      </c>
      <c r="BC341" s="35">
        <f t="shared" si="310"/>
        <v>1.7607470412299551</v>
      </c>
      <c r="BD341" s="35">
        <f t="shared" si="313"/>
        <v>0.4346863693332978</v>
      </c>
      <c r="BE341" s="16">
        <f t="shared" si="314"/>
        <v>105.66348494001838</v>
      </c>
      <c r="BF341" s="16">
        <f t="shared" si="315"/>
        <v>188.67303011996324</v>
      </c>
      <c r="BG341" s="25">
        <f t="shared" si="316"/>
        <v>1</v>
      </c>
      <c r="BH341" s="35">
        <f t="shared" si="317"/>
        <v>232.45966686804044</v>
      </c>
      <c r="BI341" s="35">
        <f t="shared" si="318"/>
        <v>-64.919333736080887</v>
      </c>
      <c r="BJ341" s="35">
        <f t="shared" si="319"/>
        <v>35.63284643620154</v>
      </c>
    </row>
    <row r="342" spans="2:62">
      <c r="B342" s="35" t="s">
        <v>133</v>
      </c>
      <c r="C342" s="84" t="str">
        <f>MostLikely!$B$1</f>
        <v>MRI-CGCM2.3.2</v>
      </c>
      <c r="D342" s="89">
        <v>2044</v>
      </c>
      <c r="E342" s="57">
        <f>'Cooler&amp;Wetter'!AA72</f>
        <v>35.585000000000001</v>
      </c>
      <c r="F342" s="90">
        <f>MostLikely!AD72</f>
        <v>22.425780089999996</v>
      </c>
      <c r="G342" s="35">
        <f t="shared" si="300"/>
        <v>2005</v>
      </c>
      <c r="H342" s="91" t="str">
        <f t="shared" si="280"/>
        <v>Pile 32 @ Berth 201</v>
      </c>
      <c r="I342" s="35" t="str">
        <f t="shared" si="281"/>
        <v>Turpentine Gum</v>
      </c>
      <c r="J342" s="35" t="str">
        <f t="shared" si="282"/>
        <v>HW1</v>
      </c>
      <c r="K342" s="35" t="str">
        <f t="shared" si="301"/>
        <v>SPHU</v>
      </c>
      <c r="L342" s="35">
        <f t="shared" si="283"/>
        <v>400</v>
      </c>
      <c r="M342" s="35">
        <f t="shared" si="284"/>
        <v>20</v>
      </c>
      <c r="N342" s="35">
        <f t="shared" si="285"/>
        <v>200</v>
      </c>
      <c r="O342" s="35" t="str">
        <f t="shared" si="286"/>
        <v>MTN2</v>
      </c>
      <c r="P342" s="35" t="str">
        <f t="shared" si="287"/>
        <v>CNT2</v>
      </c>
      <c r="Q342" s="35" t="str">
        <f t="shared" si="288"/>
        <v>KNT3</v>
      </c>
      <c r="R342" s="35" t="str">
        <f t="shared" si="289"/>
        <v>E</v>
      </c>
      <c r="S342" s="35" t="str">
        <f t="shared" si="290"/>
        <v>EXP1</v>
      </c>
      <c r="T342" s="58"/>
      <c r="U342" s="58"/>
      <c r="V342" s="58"/>
      <c r="W342" s="58"/>
      <c r="X342" s="58"/>
      <c r="Y342" s="58"/>
      <c r="Z342" s="58"/>
      <c r="AA342" s="95">
        <f t="shared" si="320"/>
        <v>1</v>
      </c>
      <c r="AB342" s="96">
        <f t="shared" si="302"/>
        <v>108.30558756334929</v>
      </c>
      <c r="AC342" s="58"/>
      <c r="AD342" s="58"/>
      <c r="AE342" s="58"/>
      <c r="AF342" s="58"/>
      <c r="AG342" s="58"/>
      <c r="AH342" s="58"/>
      <c r="AI342" s="58"/>
      <c r="AJ342" s="58"/>
      <c r="AK342" s="58"/>
      <c r="AL342" s="58"/>
      <c r="AM342" s="89">
        <f t="shared" si="303"/>
        <v>39</v>
      </c>
      <c r="AN342" s="36">
        <f t="shared" si="311"/>
        <v>35.585000000000001</v>
      </c>
      <c r="AO342" s="35">
        <f t="shared" si="312"/>
        <v>1.8455296670533405</v>
      </c>
      <c r="AP342" s="35">
        <f>IF((OR(R342="A",R342="B",R342="C")),INDEX(Coefficients!$S$4:$S$22,MATCH(J342,Coefficients!$R$4:$R$22)),INDEX(Coefficients!$T$4:$T$22,MATCH(J342,Coefficients!$R$4:$R$22)))</f>
        <v>1.3</v>
      </c>
      <c r="AQ342" s="27">
        <f>IF((OR(R342="A",R342="B",R342="C")),INDEX(Coefficients!$S$4:$S$22,MATCH(K342,Coefficients!$R$4:$R$22)),INDEX(Coefficients!$T$4:$T$22,MATCH(K342,Coefficients!$R$4:$R$22)))</f>
        <v>25</v>
      </c>
      <c r="AR342" s="27">
        <f>IF(OR(R342="A",R342="B",R342="C",R342="D"),IF(AN342&gt;=11,IF(AN342&gt;=26,Coefficients!$M$6,Coefficients!$M$5),Coefficients!$M$4),IF(AN342&gt;=11,IF(AN342&gt;=26,Coefficients!$N$6,Coefficients!$N$5),Coefficients!$N$4))</f>
        <v>1</v>
      </c>
      <c r="AS342" s="27">
        <f>INDEX(Coefficients!$X$3:$X$4,MATCH(S342,Coefficients!$W$3:$W$4))</f>
        <v>1</v>
      </c>
      <c r="AT342" s="27">
        <f>INDEX(Coefficients!$X$7:$X$8,MATCH(O342,Coefficients!$W$7:$W$8))</f>
        <v>1</v>
      </c>
      <c r="AU342" s="27">
        <f>INDEX(Coefficients!$X$11:$X$12,MATCH(P342,Coefficients!$W$11:$W$12))</f>
        <v>1</v>
      </c>
      <c r="AV342" s="27">
        <f>INDEX(Coefficients!$X$15:$X$17,MATCH(Q342,Coefficients!$W$15:$W$17))</f>
        <v>1</v>
      </c>
      <c r="AW342" s="27">
        <f t="shared" si="304"/>
        <v>1</v>
      </c>
      <c r="AX342" s="27">
        <f t="shared" si="305"/>
        <v>1</v>
      </c>
      <c r="AY342" s="27">
        <f t="shared" si="306"/>
        <v>1.3</v>
      </c>
      <c r="AZ342" s="35">
        <f t="shared" si="307"/>
        <v>46.138241676333514</v>
      </c>
      <c r="BA342" s="35">
        <f t="shared" si="308"/>
        <v>0</v>
      </c>
      <c r="BB342" s="35">
        <f t="shared" si="309"/>
        <v>2.3991885671693427</v>
      </c>
      <c r="BC342" s="35">
        <f t="shared" si="310"/>
        <v>1.7600811432830656</v>
      </c>
      <c r="BD342" s="35">
        <f t="shared" si="313"/>
        <v>0.43347989158977734</v>
      </c>
      <c r="BE342" s="16">
        <f t="shared" si="314"/>
        <v>108.30558756334929</v>
      </c>
      <c r="BF342" s="16">
        <f t="shared" si="315"/>
        <v>183.38882487330142</v>
      </c>
      <c r="BG342" s="25">
        <f t="shared" si="316"/>
        <v>1</v>
      </c>
      <c r="BH342" s="35">
        <f t="shared" si="317"/>
        <v>238.27229263936846</v>
      </c>
      <c r="BI342" s="35">
        <f t="shared" si="318"/>
        <v>-76.544585278736918</v>
      </c>
      <c r="BJ342" s="35">
        <f t="shared" si="319"/>
        <v>35.538168080240332</v>
      </c>
    </row>
    <row r="343" spans="2:62">
      <c r="B343" s="35" t="s">
        <v>133</v>
      </c>
      <c r="C343" s="84" t="str">
        <f>MostLikely!$B$1</f>
        <v>MRI-CGCM2.3.2</v>
      </c>
      <c r="D343" s="89">
        <v>2045</v>
      </c>
      <c r="E343" s="57">
        <f>'Cooler&amp;Wetter'!AA73</f>
        <v>35.587499999999999</v>
      </c>
      <c r="F343" s="90">
        <f>MostLikely!AD73</f>
        <v>22.447159874999997</v>
      </c>
      <c r="G343" s="35">
        <f t="shared" si="300"/>
        <v>2005</v>
      </c>
      <c r="H343" s="91" t="str">
        <f t="shared" si="280"/>
        <v>Pile 32 @ Berth 201</v>
      </c>
      <c r="I343" s="35" t="str">
        <f t="shared" si="281"/>
        <v>Turpentine Gum</v>
      </c>
      <c r="J343" s="35" t="str">
        <f t="shared" si="282"/>
        <v>HW1</v>
      </c>
      <c r="K343" s="35" t="str">
        <f t="shared" si="301"/>
        <v>SPHU</v>
      </c>
      <c r="L343" s="35">
        <f t="shared" si="283"/>
        <v>400</v>
      </c>
      <c r="M343" s="35">
        <f t="shared" si="284"/>
        <v>20</v>
      </c>
      <c r="N343" s="35">
        <f t="shared" si="285"/>
        <v>200</v>
      </c>
      <c r="O343" s="35" t="str">
        <f t="shared" si="286"/>
        <v>MTN2</v>
      </c>
      <c r="P343" s="35" t="str">
        <f t="shared" si="287"/>
        <v>CNT2</v>
      </c>
      <c r="Q343" s="35" t="str">
        <f t="shared" si="288"/>
        <v>KNT3</v>
      </c>
      <c r="R343" s="35" t="str">
        <f t="shared" si="289"/>
        <v>E</v>
      </c>
      <c r="S343" s="35" t="str">
        <f t="shared" si="290"/>
        <v>EXP1</v>
      </c>
      <c r="T343" s="58"/>
      <c r="U343" s="58"/>
      <c r="V343" s="58"/>
      <c r="W343" s="58"/>
      <c r="X343" s="58"/>
      <c r="Y343" s="58"/>
      <c r="Z343" s="58"/>
      <c r="AA343" s="95">
        <f t="shared" si="320"/>
        <v>1</v>
      </c>
      <c r="AB343" s="96">
        <f t="shared" si="302"/>
        <v>110.96173020578129</v>
      </c>
      <c r="AC343" s="58"/>
      <c r="AD343" s="58"/>
      <c r="AE343" s="58"/>
      <c r="AF343" s="58"/>
      <c r="AG343" s="58"/>
      <c r="AH343" s="58"/>
      <c r="AI343" s="58"/>
      <c r="AJ343" s="58"/>
      <c r="AK343" s="58"/>
      <c r="AL343" s="58"/>
      <c r="AM343" s="89">
        <f t="shared" si="303"/>
        <v>40</v>
      </c>
      <c r="AN343" s="36">
        <f t="shared" si="311"/>
        <v>35.587499999999999</v>
      </c>
      <c r="AO343" s="35">
        <f t="shared" si="312"/>
        <v>1.8506662155103879</v>
      </c>
      <c r="AP343" s="35">
        <f>IF((OR(R343="A",R343="B",R343="C")),INDEX(Coefficients!$S$4:$S$22,MATCH(J343,Coefficients!$R$4:$R$22)),INDEX(Coefficients!$T$4:$T$22,MATCH(J343,Coefficients!$R$4:$R$22)))</f>
        <v>1.3</v>
      </c>
      <c r="AQ343" s="27">
        <f>IF((OR(R343="A",R343="B",R343="C")),INDEX(Coefficients!$S$4:$S$22,MATCH(K343,Coefficients!$R$4:$R$22)),INDEX(Coefficients!$T$4:$T$22,MATCH(K343,Coefficients!$R$4:$R$22)))</f>
        <v>25</v>
      </c>
      <c r="AR343" s="27">
        <f>IF(OR(R343="A",R343="B",R343="C",R343="D"),IF(AN343&gt;=11,IF(AN343&gt;=26,Coefficients!$M$6,Coefficients!$M$5),Coefficients!$M$4),IF(AN343&gt;=11,IF(AN343&gt;=26,Coefficients!$N$6,Coefficients!$N$5),Coefficients!$N$4))</f>
        <v>1</v>
      </c>
      <c r="AS343" s="27">
        <f>INDEX(Coefficients!$X$3:$X$4,MATCH(S343,Coefficients!$W$3:$W$4))</f>
        <v>1</v>
      </c>
      <c r="AT343" s="27">
        <f>INDEX(Coefficients!$X$7:$X$8,MATCH(O343,Coefficients!$W$7:$W$8))</f>
        <v>1</v>
      </c>
      <c r="AU343" s="27">
        <f>INDEX(Coefficients!$X$11:$X$12,MATCH(P343,Coefficients!$W$11:$W$12))</f>
        <v>1</v>
      </c>
      <c r="AV343" s="27">
        <f>INDEX(Coefficients!$X$15:$X$17,MATCH(Q343,Coefficients!$W$15:$W$17))</f>
        <v>1</v>
      </c>
      <c r="AW343" s="27">
        <f t="shared" si="304"/>
        <v>1</v>
      </c>
      <c r="AX343" s="27">
        <f t="shared" si="305"/>
        <v>1</v>
      </c>
      <c r="AY343" s="27">
        <f t="shared" si="306"/>
        <v>1.3</v>
      </c>
      <c r="AZ343" s="35">
        <f t="shared" si="307"/>
        <v>46.266655387759698</v>
      </c>
      <c r="BA343" s="35">
        <f t="shared" si="308"/>
        <v>0</v>
      </c>
      <c r="BB343" s="35">
        <f t="shared" si="309"/>
        <v>2.4058660801635043</v>
      </c>
      <c r="BC343" s="35">
        <f t="shared" si="310"/>
        <v>1.7594133919836494</v>
      </c>
      <c r="BD343" s="35">
        <f t="shared" si="313"/>
        <v>0.43227676244112512</v>
      </c>
      <c r="BE343" s="16">
        <f t="shared" si="314"/>
        <v>110.96173020578129</v>
      </c>
      <c r="BF343" s="16">
        <f t="shared" si="315"/>
        <v>178.07653958843741</v>
      </c>
      <c r="BG343" s="25">
        <f t="shared" si="316"/>
        <v>1</v>
      </c>
      <c r="BH343" s="35">
        <f t="shared" si="317"/>
        <v>244.11580645271886</v>
      </c>
      <c r="BI343" s="35">
        <f t="shared" si="318"/>
        <v>-88.231612905437714</v>
      </c>
      <c r="BJ343" s="35">
        <f t="shared" si="319"/>
        <v>35.443748803742089</v>
      </c>
    </row>
    <row r="344" spans="2:62">
      <c r="B344" s="35" t="s">
        <v>133</v>
      </c>
      <c r="C344" s="84" t="str">
        <f>MostLikely!$B$1</f>
        <v>MRI-CGCM2.3.2</v>
      </c>
      <c r="D344" s="89">
        <v>2046</v>
      </c>
      <c r="E344" s="57">
        <f>'Cooler&amp;Wetter'!AA74</f>
        <v>35.590000000000003</v>
      </c>
      <c r="F344" s="90">
        <f>MostLikely!AD74</f>
        <v>22.468539659999998</v>
      </c>
      <c r="G344" s="35">
        <f t="shared" si="300"/>
        <v>2005</v>
      </c>
      <c r="H344" s="91" t="str">
        <f t="shared" si="280"/>
        <v>Pile 32 @ Berth 201</v>
      </c>
      <c r="I344" s="35" t="str">
        <f t="shared" si="281"/>
        <v>Turpentine Gum</v>
      </c>
      <c r="J344" s="35" t="str">
        <f t="shared" si="282"/>
        <v>HW1</v>
      </c>
      <c r="K344" s="35" t="str">
        <f t="shared" si="301"/>
        <v>SPHU</v>
      </c>
      <c r="L344" s="35">
        <f t="shared" si="283"/>
        <v>400</v>
      </c>
      <c r="M344" s="35">
        <f t="shared" si="284"/>
        <v>20</v>
      </c>
      <c r="N344" s="35">
        <f t="shared" si="285"/>
        <v>200</v>
      </c>
      <c r="O344" s="35" t="str">
        <f t="shared" si="286"/>
        <v>MTN2</v>
      </c>
      <c r="P344" s="35" t="str">
        <f t="shared" si="287"/>
        <v>CNT2</v>
      </c>
      <c r="Q344" s="35" t="str">
        <f t="shared" si="288"/>
        <v>KNT3</v>
      </c>
      <c r="R344" s="35" t="str">
        <f t="shared" si="289"/>
        <v>E</v>
      </c>
      <c r="S344" s="35" t="str">
        <f t="shared" si="290"/>
        <v>EXP1</v>
      </c>
      <c r="T344" s="58"/>
      <c r="U344" s="58"/>
      <c r="V344" s="58"/>
      <c r="W344" s="58"/>
      <c r="X344" s="58"/>
      <c r="Y344" s="58"/>
      <c r="Z344" s="58"/>
      <c r="AA344" s="95">
        <f t="shared" si="320"/>
        <v>1</v>
      </c>
      <c r="AB344" s="96">
        <f t="shared" si="302"/>
        <v>113.63197057877979</v>
      </c>
      <c r="AC344" s="58"/>
      <c r="AD344" s="58"/>
      <c r="AE344" s="58"/>
      <c r="AF344" s="58"/>
      <c r="AG344" s="58"/>
      <c r="AH344" s="58"/>
      <c r="AI344" s="58"/>
      <c r="AJ344" s="58"/>
      <c r="AK344" s="58"/>
      <c r="AL344" s="58"/>
      <c r="AM344" s="89">
        <f t="shared" si="303"/>
        <v>41</v>
      </c>
      <c r="AN344" s="36">
        <f t="shared" si="311"/>
        <v>35.590000000000003</v>
      </c>
      <c r="AO344" s="35">
        <f t="shared" si="312"/>
        <v>1.8558170602047288</v>
      </c>
      <c r="AP344" s="35">
        <f>IF((OR(R344="A",R344="B",R344="C")),INDEX(Coefficients!$S$4:$S$22,MATCH(J344,Coefficients!$R$4:$R$22)),INDEX(Coefficients!$T$4:$T$22,MATCH(J344,Coefficients!$R$4:$R$22)))</f>
        <v>1.3</v>
      </c>
      <c r="AQ344" s="27">
        <f>IF((OR(R344="A",R344="B",R344="C")),INDEX(Coefficients!$S$4:$S$22,MATCH(K344,Coefficients!$R$4:$R$22)),INDEX(Coefficients!$T$4:$T$22,MATCH(K344,Coefficients!$R$4:$R$22)))</f>
        <v>25</v>
      </c>
      <c r="AR344" s="27">
        <f>IF(OR(R344="A",R344="B",R344="C",R344="D"),IF(AN344&gt;=11,IF(AN344&gt;=26,Coefficients!$M$6,Coefficients!$M$5),Coefficients!$M$4),IF(AN344&gt;=11,IF(AN344&gt;=26,Coefficients!$N$6,Coefficients!$N$5),Coefficients!$N$4))</f>
        <v>1</v>
      </c>
      <c r="AS344" s="27">
        <f>INDEX(Coefficients!$X$3:$X$4,MATCH(S344,Coefficients!$W$3:$W$4))</f>
        <v>1</v>
      </c>
      <c r="AT344" s="27">
        <f>INDEX(Coefficients!$X$7:$X$8,MATCH(O344,Coefficients!$W$7:$W$8))</f>
        <v>1</v>
      </c>
      <c r="AU344" s="27">
        <f>INDEX(Coefficients!$X$11:$X$12,MATCH(P344,Coefficients!$W$11:$W$12))</f>
        <v>1</v>
      </c>
      <c r="AV344" s="27">
        <f>INDEX(Coefficients!$X$15:$X$17,MATCH(Q344,Coefficients!$W$15:$W$17))</f>
        <v>1</v>
      </c>
      <c r="AW344" s="27">
        <f t="shared" si="304"/>
        <v>1</v>
      </c>
      <c r="AX344" s="27">
        <f t="shared" si="305"/>
        <v>1</v>
      </c>
      <c r="AY344" s="27">
        <f t="shared" si="306"/>
        <v>1.3</v>
      </c>
      <c r="AZ344" s="35">
        <f t="shared" si="307"/>
        <v>46.395426505118223</v>
      </c>
      <c r="BA344" s="35">
        <f t="shared" si="308"/>
        <v>0</v>
      </c>
      <c r="BB344" s="35">
        <f t="shared" si="309"/>
        <v>2.4125621782661475</v>
      </c>
      <c r="BC344" s="35">
        <f t="shared" si="310"/>
        <v>1.7587437821733851</v>
      </c>
      <c r="BD344" s="35">
        <f t="shared" si="313"/>
        <v>0.43107697259327171</v>
      </c>
      <c r="BE344" s="16">
        <f t="shared" si="314"/>
        <v>113.63197057877979</v>
      </c>
      <c r="BF344" s="16">
        <f t="shared" si="315"/>
        <v>172.73605884244043</v>
      </c>
      <c r="BG344" s="25">
        <f t="shared" si="316"/>
        <v>1</v>
      </c>
      <c r="BH344" s="35">
        <f t="shared" si="317"/>
        <v>249.99033527331554</v>
      </c>
      <c r="BI344" s="35">
        <f t="shared" si="318"/>
        <v>-99.980670546631075</v>
      </c>
      <c r="BJ344" s="35">
        <f t="shared" si="319"/>
        <v>35.349587877326023</v>
      </c>
    </row>
    <row r="345" spans="2:62">
      <c r="B345" s="35" t="s">
        <v>133</v>
      </c>
      <c r="C345" s="84" t="str">
        <f>MostLikely!$B$1</f>
        <v>MRI-CGCM2.3.2</v>
      </c>
      <c r="D345" s="89">
        <v>2047</v>
      </c>
      <c r="E345" s="57">
        <f>'Cooler&amp;Wetter'!AA75</f>
        <v>35.592500000000001</v>
      </c>
      <c r="F345" s="90">
        <f>MostLikely!AD75</f>
        <v>22.489919444999998</v>
      </c>
      <c r="G345" s="35">
        <f t="shared" si="300"/>
        <v>2005</v>
      </c>
      <c r="H345" s="91" t="str">
        <f t="shared" si="280"/>
        <v>Pile 32 @ Berth 201</v>
      </c>
      <c r="I345" s="35" t="str">
        <f t="shared" si="281"/>
        <v>Turpentine Gum</v>
      </c>
      <c r="J345" s="35" t="str">
        <f t="shared" si="282"/>
        <v>HW1</v>
      </c>
      <c r="K345" s="35" t="str">
        <f t="shared" si="301"/>
        <v>SPHU</v>
      </c>
      <c r="L345" s="35">
        <f t="shared" si="283"/>
        <v>400</v>
      </c>
      <c r="M345" s="35">
        <f t="shared" si="284"/>
        <v>20</v>
      </c>
      <c r="N345" s="35">
        <f t="shared" si="285"/>
        <v>200</v>
      </c>
      <c r="O345" s="35" t="str">
        <f t="shared" si="286"/>
        <v>MTN2</v>
      </c>
      <c r="P345" s="35" t="str">
        <f t="shared" si="287"/>
        <v>CNT2</v>
      </c>
      <c r="Q345" s="35" t="str">
        <f t="shared" si="288"/>
        <v>KNT3</v>
      </c>
      <c r="R345" s="35" t="str">
        <f t="shared" si="289"/>
        <v>E</v>
      </c>
      <c r="S345" s="35" t="str">
        <f t="shared" si="290"/>
        <v>EXP1</v>
      </c>
      <c r="T345" s="58"/>
      <c r="U345" s="58"/>
      <c r="V345" s="58"/>
      <c r="W345" s="58"/>
      <c r="X345" s="58"/>
      <c r="Y345" s="58"/>
      <c r="Z345" s="58"/>
      <c r="AA345" s="95">
        <f t="shared" si="320"/>
        <v>1</v>
      </c>
      <c r="AB345" s="96">
        <f t="shared" si="302"/>
        <v>116.31636660643834</v>
      </c>
      <c r="AC345" s="58"/>
      <c r="AD345" s="58"/>
      <c r="AE345" s="58"/>
      <c r="AF345" s="58"/>
      <c r="AG345" s="58"/>
      <c r="AH345" s="58"/>
      <c r="AI345" s="58"/>
      <c r="AJ345" s="58"/>
      <c r="AK345" s="58"/>
      <c r="AL345" s="58"/>
      <c r="AM345" s="89">
        <f t="shared" si="303"/>
        <v>42</v>
      </c>
      <c r="AN345" s="36">
        <f t="shared" si="311"/>
        <v>35.592500000000001</v>
      </c>
      <c r="AO345" s="35">
        <f t="shared" si="312"/>
        <v>1.8609822409261945</v>
      </c>
      <c r="AP345" s="35">
        <f>IF((OR(R345="A",R345="B",R345="C")),INDEX(Coefficients!$S$4:$S$22,MATCH(J345,Coefficients!$R$4:$R$22)),INDEX(Coefficients!$T$4:$T$22,MATCH(J345,Coefficients!$R$4:$R$22)))</f>
        <v>1.3</v>
      </c>
      <c r="AQ345" s="27">
        <f>IF((OR(R345="A",R345="B",R345="C")),INDEX(Coefficients!$S$4:$S$22,MATCH(K345,Coefficients!$R$4:$R$22)),INDEX(Coefficients!$T$4:$T$22,MATCH(K345,Coefficients!$R$4:$R$22)))</f>
        <v>25</v>
      </c>
      <c r="AR345" s="27">
        <f>IF(OR(R345="A",R345="B",R345="C",R345="D"),IF(AN345&gt;=11,IF(AN345&gt;=26,Coefficients!$M$6,Coefficients!$M$5),Coefficients!$M$4),IF(AN345&gt;=11,IF(AN345&gt;=26,Coefficients!$N$6,Coefficients!$N$5),Coefficients!$N$4))</f>
        <v>1</v>
      </c>
      <c r="AS345" s="27">
        <f>INDEX(Coefficients!$X$3:$X$4,MATCH(S345,Coefficients!$W$3:$W$4))</f>
        <v>1</v>
      </c>
      <c r="AT345" s="27">
        <f>INDEX(Coefficients!$X$7:$X$8,MATCH(O345,Coefficients!$W$7:$W$8))</f>
        <v>1</v>
      </c>
      <c r="AU345" s="27">
        <f>INDEX(Coefficients!$X$11:$X$12,MATCH(P345,Coefficients!$W$11:$W$12))</f>
        <v>1</v>
      </c>
      <c r="AV345" s="27">
        <f>INDEX(Coefficients!$X$15:$X$17,MATCH(Q345,Coefficients!$W$15:$W$17))</f>
        <v>1</v>
      </c>
      <c r="AW345" s="27">
        <f t="shared" si="304"/>
        <v>1</v>
      </c>
      <c r="AX345" s="27">
        <f t="shared" si="305"/>
        <v>1</v>
      </c>
      <c r="AY345" s="27">
        <f t="shared" si="306"/>
        <v>1.3</v>
      </c>
      <c r="AZ345" s="35">
        <f t="shared" si="307"/>
        <v>46.524556023154858</v>
      </c>
      <c r="BA345" s="35">
        <f t="shared" si="308"/>
        <v>0</v>
      </c>
      <c r="BB345" s="35">
        <f t="shared" si="309"/>
        <v>2.4192769132040528</v>
      </c>
      <c r="BC345" s="35">
        <f t="shared" si="310"/>
        <v>1.7580723086795946</v>
      </c>
      <c r="BD345" s="35">
        <f t="shared" si="313"/>
        <v>0.42988051277794415</v>
      </c>
      <c r="BE345" s="16">
        <f t="shared" si="314"/>
        <v>116.31636660643834</v>
      </c>
      <c r="BF345" s="16">
        <f t="shared" si="315"/>
        <v>167.36726678712333</v>
      </c>
      <c r="BG345" s="25">
        <f t="shared" si="316"/>
        <v>1</v>
      </c>
      <c r="BH345" s="35">
        <f t="shared" si="317"/>
        <v>255.89600653416437</v>
      </c>
      <c r="BI345" s="35">
        <f t="shared" si="318"/>
        <v>-111.79201306832874</v>
      </c>
      <c r="BJ345" s="35">
        <f t="shared" si="319"/>
        <v>35.255684573607084</v>
      </c>
    </row>
    <row r="346" spans="2:62">
      <c r="B346" s="35" t="s">
        <v>133</v>
      </c>
      <c r="C346" s="84" t="str">
        <f>MostLikely!$B$1</f>
        <v>MRI-CGCM2.3.2</v>
      </c>
      <c r="D346" s="89">
        <v>2048</v>
      </c>
      <c r="E346" s="57">
        <f>'Cooler&amp;Wetter'!AA76</f>
        <v>35.594999999999999</v>
      </c>
      <c r="F346" s="90">
        <f>MostLikely!AD76</f>
        <v>22.511299229999999</v>
      </c>
      <c r="G346" s="35">
        <f t="shared" si="300"/>
        <v>2005</v>
      </c>
      <c r="H346" s="91" t="str">
        <f t="shared" si="280"/>
        <v>Pile 32 @ Berth 201</v>
      </c>
      <c r="I346" s="35" t="str">
        <f t="shared" si="281"/>
        <v>Turpentine Gum</v>
      </c>
      <c r="J346" s="35" t="str">
        <f t="shared" si="282"/>
        <v>HW1</v>
      </c>
      <c r="K346" s="35" t="str">
        <f t="shared" si="301"/>
        <v>SPHU</v>
      </c>
      <c r="L346" s="35">
        <f t="shared" si="283"/>
        <v>400</v>
      </c>
      <c r="M346" s="35">
        <f t="shared" si="284"/>
        <v>20</v>
      </c>
      <c r="N346" s="35">
        <f t="shared" si="285"/>
        <v>200</v>
      </c>
      <c r="O346" s="35" t="str">
        <f t="shared" si="286"/>
        <v>MTN2</v>
      </c>
      <c r="P346" s="35" t="str">
        <f t="shared" si="287"/>
        <v>CNT2</v>
      </c>
      <c r="Q346" s="35" t="str">
        <f t="shared" si="288"/>
        <v>KNT3</v>
      </c>
      <c r="R346" s="35" t="str">
        <f t="shared" si="289"/>
        <v>E</v>
      </c>
      <c r="S346" s="35" t="str">
        <f t="shared" si="290"/>
        <v>EXP1</v>
      </c>
      <c r="T346" s="58"/>
      <c r="U346" s="58"/>
      <c r="V346" s="58"/>
      <c r="W346" s="58"/>
      <c r="X346" s="58"/>
      <c r="Y346" s="58"/>
      <c r="Z346" s="58"/>
      <c r="AA346" s="95">
        <f t="shared" si="320"/>
        <v>1</v>
      </c>
      <c r="AB346" s="96">
        <f t="shared" si="302"/>
        <v>119.01497642621619</v>
      </c>
      <c r="AC346" s="58"/>
      <c r="AD346" s="58"/>
      <c r="AE346" s="58"/>
      <c r="AF346" s="58"/>
      <c r="AG346" s="58"/>
      <c r="AH346" s="58"/>
      <c r="AI346" s="58"/>
      <c r="AJ346" s="58"/>
      <c r="AK346" s="58"/>
      <c r="AL346" s="58"/>
      <c r="AM346" s="89">
        <f t="shared" si="303"/>
        <v>43</v>
      </c>
      <c r="AN346" s="36">
        <f t="shared" si="311"/>
        <v>35.594999999999999</v>
      </c>
      <c r="AO346" s="35">
        <f t="shared" si="312"/>
        <v>1.8661617975753633</v>
      </c>
      <c r="AP346" s="35">
        <f>IF((OR(R346="A",R346="B",R346="C")),INDEX(Coefficients!$S$4:$S$22,MATCH(J346,Coefficients!$R$4:$R$22)),INDEX(Coefficients!$T$4:$T$22,MATCH(J346,Coefficients!$R$4:$R$22)))</f>
        <v>1.3</v>
      </c>
      <c r="AQ346" s="27">
        <f>IF((OR(R346="A",R346="B",R346="C")),INDEX(Coefficients!$S$4:$S$22,MATCH(K346,Coefficients!$R$4:$R$22)),INDEX(Coefficients!$T$4:$T$22,MATCH(K346,Coefficients!$R$4:$R$22)))</f>
        <v>25</v>
      </c>
      <c r="AR346" s="27">
        <f>IF(OR(R346="A",R346="B",R346="C",R346="D"),IF(AN346&gt;=11,IF(AN346&gt;=26,Coefficients!$M$6,Coefficients!$M$5),Coefficients!$M$4),IF(AN346&gt;=11,IF(AN346&gt;=26,Coefficients!$N$6,Coefficients!$N$5),Coefficients!$N$4))</f>
        <v>1</v>
      </c>
      <c r="AS346" s="27">
        <f>INDEX(Coefficients!$X$3:$X$4,MATCH(S346,Coefficients!$W$3:$W$4))</f>
        <v>1</v>
      </c>
      <c r="AT346" s="27">
        <f>INDEX(Coefficients!$X$7:$X$8,MATCH(O346,Coefficients!$W$7:$W$8))</f>
        <v>1</v>
      </c>
      <c r="AU346" s="27">
        <f>INDEX(Coefficients!$X$11:$X$12,MATCH(P346,Coefficients!$W$11:$W$12))</f>
        <v>1</v>
      </c>
      <c r="AV346" s="27">
        <f>INDEX(Coefficients!$X$15:$X$17,MATCH(Q346,Coefficients!$W$15:$W$17))</f>
        <v>1</v>
      </c>
      <c r="AW346" s="27">
        <f t="shared" si="304"/>
        <v>1</v>
      </c>
      <c r="AX346" s="27">
        <f t="shared" si="305"/>
        <v>1</v>
      </c>
      <c r="AY346" s="27">
        <f t="shared" si="306"/>
        <v>1.3</v>
      </c>
      <c r="AZ346" s="35">
        <f t="shared" si="307"/>
        <v>46.654044939384079</v>
      </c>
      <c r="BA346" s="35">
        <f t="shared" si="308"/>
        <v>0</v>
      </c>
      <c r="BB346" s="35">
        <f t="shared" si="309"/>
        <v>2.4260103368479724</v>
      </c>
      <c r="BC346" s="35">
        <f t="shared" si="310"/>
        <v>1.7573989663152028</v>
      </c>
      <c r="BD346" s="35">
        <f t="shared" si="313"/>
        <v>0.42868737375259275</v>
      </c>
      <c r="BE346" s="16">
        <f t="shared" si="314"/>
        <v>119.01497642621619</v>
      </c>
      <c r="BF346" s="16">
        <f t="shared" si="315"/>
        <v>161.97004714756761</v>
      </c>
      <c r="BG346" s="25">
        <f t="shared" si="316"/>
        <v>1</v>
      </c>
      <c r="BH346" s="35">
        <f t="shared" si="317"/>
        <v>261.83294813767566</v>
      </c>
      <c r="BI346" s="35">
        <f t="shared" si="318"/>
        <v>-123.66589627535132</v>
      </c>
      <c r="BJ346" s="35">
        <f t="shared" si="319"/>
        <v>35.16203816719031</v>
      </c>
    </row>
    <row r="347" spans="2:62">
      <c r="B347" s="35" t="s">
        <v>133</v>
      </c>
      <c r="C347" s="84" t="str">
        <f>MostLikely!$B$1</f>
        <v>MRI-CGCM2.3.2</v>
      </c>
      <c r="D347" s="89">
        <v>2049</v>
      </c>
      <c r="E347" s="57">
        <f>'Cooler&amp;Wetter'!AA77</f>
        <v>35.597499999999997</v>
      </c>
      <c r="F347" s="90">
        <f>MostLikely!AD77</f>
        <v>22.532679014999996</v>
      </c>
      <c r="G347" s="35">
        <f t="shared" si="300"/>
        <v>2005</v>
      </c>
      <c r="H347" s="91" t="str">
        <f t="shared" si="280"/>
        <v>Pile 32 @ Berth 201</v>
      </c>
      <c r="I347" s="35" t="str">
        <f t="shared" si="281"/>
        <v>Turpentine Gum</v>
      </c>
      <c r="J347" s="35" t="str">
        <f t="shared" si="282"/>
        <v>HW1</v>
      </c>
      <c r="K347" s="35" t="str">
        <f t="shared" si="301"/>
        <v>SPHU</v>
      </c>
      <c r="L347" s="35">
        <f t="shared" si="283"/>
        <v>400</v>
      </c>
      <c r="M347" s="35">
        <f t="shared" si="284"/>
        <v>20</v>
      </c>
      <c r="N347" s="35">
        <f t="shared" si="285"/>
        <v>200</v>
      </c>
      <c r="O347" s="35" t="str">
        <f t="shared" si="286"/>
        <v>MTN2</v>
      </c>
      <c r="P347" s="35" t="str">
        <f t="shared" si="287"/>
        <v>CNT2</v>
      </c>
      <c r="Q347" s="35" t="str">
        <f t="shared" si="288"/>
        <v>KNT3</v>
      </c>
      <c r="R347" s="35" t="str">
        <f t="shared" si="289"/>
        <v>E</v>
      </c>
      <c r="S347" s="35" t="str">
        <f t="shared" si="290"/>
        <v>EXP1</v>
      </c>
      <c r="T347" s="58"/>
      <c r="U347" s="58"/>
      <c r="V347" s="58"/>
      <c r="W347" s="58"/>
      <c r="X347" s="58"/>
      <c r="Y347" s="58"/>
      <c r="Z347" s="58"/>
      <c r="AA347" s="95">
        <f t="shared" si="320"/>
        <v>1</v>
      </c>
      <c r="AB347" s="96">
        <f t="shared" si="302"/>
        <v>121.72785838967769</v>
      </c>
      <c r="AC347" s="58"/>
      <c r="AD347" s="58"/>
      <c r="AE347" s="58"/>
      <c r="AF347" s="58"/>
      <c r="AG347" s="58"/>
      <c r="AH347" s="58"/>
      <c r="AI347" s="58"/>
      <c r="AJ347" s="58"/>
      <c r="AK347" s="58"/>
      <c r="AL347" s="58"/>
      <c r="AM347" s="89">
        <f t="shared" si="303"/>
        <v>44</v>
      </c>
      <c r="AN347" s="36">
        <f t="shared" si="311"/>
        <v>35.597499999999997</v>
      </c>
      <c r="AO347" s="35">
        <f t="shared" si="312"/>
        <v>1.8713557701638619</v>
      </c>
      <c r="AP347" s="35">
        <f>IF((OR(R347="A",R347="B",R347="C")),INDEX(Coefficients!$S$4:$S$22,MATCH(J347,Coefficients!$R$4:$R$22)),INDEX(Coefficients!$T$4:$T$22,MATCH(J347,Coefficients!$R$4:$R$22)))</f>
        <v>1.3</v>
      </c>
      <c r="AQ347" s="27">
        <f>IF((OR(R347="A",R347="B",R347="C")),INDEX(Coefficients!$S$4:$S$22,MATCH(K347,Coefficients!$R$4:$R$22)),INDEX(Coefficients!$T$4:$T$22,MATCH(K347,Coefficients!$R$4:$R$22)))</f>
        <v>25</v>
      </c>
      <c r="AR347" s="27">
        <f>IF(OR(R347="A",R347="B",R347="C",R347="D"),IF(AN347&gt;=11,IF(AN347&gt;=26,Coefficients!$M$6,Coefficients!$M$5),Coefficients!$M$4),IF(AN347&gt;=11,IF(AN347&gt;=26,Coefficients!$N$6,Coefficients!$N$5),Coefficients!$N$4))</f>
        <v>1</v>
      </c>
      <c r="AS347" s="27">
        <f>INDEX(Coefficients!$X$3:$X$4,MATCH(S347,Coefficients!$W$3:$W$4))</f>
        <v>1</v>
      </c>
      <c r="AT347" s="27">
        <f>INDEX(Coefficients!$X$7:$X$8,MATCH(O347,Coefficients!$W$7:$W$8))</f>
        <v>1</v>
      </c>
      <c r="AU347" s="27">
        <f>INDEX(Coefficients!$X$11:$X$12,MATCH(P347,Coefficients!$W$11:$W$12))</f>
        <v>1</v>
      </c>
      <c r="AV347" s="27">
        <f>INDEX(Coefficients!$X$15:$X$17,MATCH(Q347,Coefficients!$W$15:$W$17))</f>
        <v>1</v>
      </c>
      <c r="AW347" s="27">
        <f t="shared" si="304"/>
        <v>1</v>
      </c>
      <c r="AX347" s="27">
        <f t="shared" si="305"/>
        <v>1</v>
      </c>
      <c r="AY347" s="27">
        <f t="shared" si="306"/>
        <v>1.3</v>
      </c>
      <c r="AZ347" s="35">
        <f t="shared" si="307"/>
        <v>46.783894254096545</v>
      </c>
      <c r="BA347" s="35">
        <f t="shared" si="308"/>
        <v>0</v>
      </c>
      <c r="BB347" s="35">
        <f t="shared" si="309"/>
        <v>2.4327625012130207</v>
      </c>
      <c r="BC347" s="35">
        <f t="shared" si="310"/>
        <v>1.7567237498786978</v>
      </c>
      <c r="BD347" s="35">
        <f t="shared" si="313"/>
        <v>0.42749754630032188</v>
      </c>
      <c r="BE347" s="16">
        <f t="shared" si="314"/>
        <v>121.72785838967769</v>
      </c>
      <c r="BF347" s="16">
        <f t="shared" si="315"/>
        <v>156.54428322064462</v>
      </c>
      <c r="BG347" s="25">
        <f t="shared" si="316"/>
        <v>1</v>
      </c>
      <c r="BH347" s="35">
        <f t="shared" si="317"/>
        <v>267.80128845729092</v>
      </c>
      <c r="BI347" s="35">
        <f t="shared" si="318"/>
        <v>-135.60257691458185</v>
      </c>
      <c r="BJ347" s="35">
        <f t="shared" si="319"/>
        <v>35.068647934665307</v>
      </c>
    </row>
    <row r="348" spans="2:62">
      <c r="B348" s="35" t="s">
        <v>133</v>
      </c>
      <c r="C348" s="84" t="str">
        <f>MostLikely!$B$1</f>
        <v>MRI-CGCM2.3.2</v>
      </c>
      <c r="D348" s="89">
        <v>2050</v>
      </c>
      <c r="E348" s="57">
        <f>'Cooler&amp;Wetter'!AA78</f>
        <v>35.6</v>
      </c>
      <c r="F348" s="90">
        <f>MostLikely!AD78</f>
        <v>22.554058799999996</v>
      </c>
      <c r="G348" s="35">
        <f t="shared" si="300"/>
        <v>2005</v>
      </c>
      <c r="H348" s="91" t="str">
        <f t="shared" si="280"/>
        <v>Pile 32 @ Berth 201</v>
      </c>
      <c r="I348" s="35" t="str">
        <f t="shared" si="281"/>
        <v>Turpentine Gum</v>
      </c>
      <c r="J348" s="35" t="str">
        <f t="shared" si="282"/>
        <v>HW1</v>
      </c>
      <c r="K348" s="35" t="str">
        <f t="shared" si="301"/>
        <v>SPHU</v>
      </c>
      <c r="L348" s="35">
        <f t="shared" si="283"/>
        <v>400</v>
      </c>
      <c r="M348" s="35">
        <f t="shared" si="284"/>
        <v>20</v>
      </c>
      <c r="N348" s="35">
        <f t="shared" si="285"/>
        <v>200</v>
      </c>
      <c r="O348" s="35" t="str">
        <f t="shared" si="286"/>
        <v>MTN2</v>
      </c>
      <c r="P348" s="35" t="str">
        <f t="shared" si="287"/>
        <v>CNT2</v>
      </c>
      <c r="Q348" s="35" t="str">
        <f t="shared" si="288"/>
        <v>KNT3</v>
      </c>
      <c r="R348" s="35" t="str">
        <f t="shared" si="289"/>
        <v>E</v>
      </c>
      <c r="S348" s="35" t="str">
        <f t="shared" si="290"/>
        <v>EXP1</v>
      </c>
      <c r="T348" s="58"/>
      <c r="U348" s="58"/>
      <c r="V348" s="58"/>
      <c r="W348" s="58"/>
      <c r="X348" s="58"/>
      <c r="Y348" s="58"/>
      <c r="Z348" s="58"/>
      <c r="AA348" s="95">
        <f t="shared" si="320"/>
        <v>1</v>
      </c>
      <c r="AB348" s="96">
        <f t="shared" si="302"/>
        <v>124.45507106323497</v>
      </c>
      <c r="AC348" s="58"/>
      <c r="AD348" s="58"/>
      <c r="AE348" s="58"/>
      <c r="AF348" s="58"/>
      <c r="AG348" s="58"/>
      <c r="AH348" s="58"/>
      <c r="AI348" s="58"/>
      <c r="AJ348" s="58"/>
      <c r="AK348" s="58"/>
      <c r="AL348" s="58"/>
      <c r="AM348" s="89">
        <f t="shared" si="303"/>
        <v>45</v>
      </c>
      <c r="AN348" s="36">
        <f t="shared" si="311"/>
        <v>35.6</v>
      </c>
      <c r="AO348" s="35">
        <f t="shared" si="312"/>
        <v>1.8765641988146837</v>
      </c>
      <c r="AP348" s="35">
        <f>IF((OR(R348="A",R348="B",R348="C")),INDEX(Coefficients!$S$4:$S$22,MATCH(J348,Coefficients!$R$4:$R$22)),INDEX(Coefficients!$T$4:$T$22,MATCH(J348,Coefficients!$R$4:$R$22)))</f>
        <v>1.3</v>
      </c>
      <c r="AQ348" s="27">
        <f>IF((OR(R348="A",R348="B",R348="C")),INDEX(Coefficients!$S$4:$S$22,MATCH(K348,Coefficients!$R$4:$R$22)),INDEX(Coefficients!$T$4:$T$22,MATCH(K348,Coefficients!$R$4:$R$22)))</f>
        <v>25</v>
      </c>
      <c r="AR348" s="27">
        <f>IF(OR(R348="A",R348="B",R348="C",R348="D"),IF(AN348&gt;=11,IF(AN348&gt;=26,Coefficients!$M$6,Coefficients!$M$5),Coefficients!$M$4),IF(AN348&gt;=11,IF(AN348&gt;=26,Coefficients!$N$6,Coefficients!$N$5),Coefficients!$N$4))</f>
        <v>1</v>
      </c>
      <c r="AS348" s="27">
        <f>INDEX(Coefficients!$X$3:$X$4,MATCH(S348,Coefficients!$W$3:$W$4))</f>
        <v>1</v>
      </c>
      <c r="AT348" s="27">
        <f>INDEX(Coefficients!$X$7:$X$8,MATCH(O348,Coefficients!$W$7:$W$8))</f>
        <v>1</v>
      </c>
      <c r="AU348" s="27">
        <f>INDEX(Coefficients!$X$11:$X$12,MATCH(P348,Coefficients!$W$11:$W$12))</f>
        <v>1</v>
      </c>
      <c r="AV348" s="27">
        <f>INDEX(Coefficients!$X$15:$X$17,MATCH(Q348,Coefficients!$W$15:$W$17))</f>
        <v>1</v>
      </c>
      <c r="AW348" s="27">
        <f t="shared" si="304"/>
        <v>1</v>
      </c>
      <c r="AX348" s="27">
        <f t="shared" si="305"/>
        <v>1</v>
      </c>
      <c r="AY348" s="27">
        <f t="shared" si="306"/>
        <v>1.3</v>
      </c>
      <c r="AZ348" s="35">
        <f t="shared" si="307"/>
        <v>46.914104970367092</v>
      </c>
      <c r="BA348" s="35">
        <f t="shared" si="308"/>
        <v>0</v>
      </c>
      <c r="BB348" s="35">
        <f t="shared" si="309"/>
        <v>2.4395334584590889</v>
      </c>
      <c r="BC348" s="35">
        <f t="shared" si="310"/>
        <v>1.7560466541540911</v>
      </c>
      <c r="BD348" s="35">
        <f t="shared" si="313"/>
        <v>0.4263110212298164</v>
      </c>
      <c r="BE348" s="16">
        <f t="shared" si="314"/>
        <v>124.45507106323497</v>
      </c>
      <c r="BF348" s="16">
        <f t="shared" si="315"/>
        <v>151.08985787353006</v>
      </c>
      <c r="BG348" s="25">
        <f t="shared" si="316"/>
        <v>1</v>
      </c>
      <c r="BH348" s="35">
        <f t="shared" si="317"/>
        <v>273.80115633911697</v>
      </c>
      <c r="BI348" s="35">
        <f t="shared" si="318"/>
        <v>-147.60231267823394</v>
      </c>
      <c r="BJ348" s="35">
        <f t="shared" si="319"/>
        <v>34.975513154600549</v>
      </c>
    </row>
    <row r="349" spans="2:62">
      <c r="B349" s="35" t="s">
        <v>133</v>
      </c>
      <c r="C349" s="84" t="str">
        <f>MostLikely!$B$1</f>
        <v>MRI-CGCM2.3.2</v>
      </c>
      <c r="D349" s="89">
        <v>2051</v>
      </c>
      <c r="E349" s="57">
        <f>'Cooler&amp;Wetter'!AA79</f>
        <v>35.603499999999997</v>
      </c>
      <c r="F349" s="90">
        <f>MostLikely!AD79</f>
        <v>22.574884579999996</v>
      </c>
      <c r="G349" s="35">
        <f t="shared" si="300"/>
        <v>2005</v>
      </c>
      <c r="H349" s="91" t="str">
        <f t="shared" si="280"/>
        <v>Pile 32 @ Berth 201</v>
      </c>
      <c r="I349" s="35" t="str">
        <f t="shared" si="281"/>
        <v>Turpentine Gum</v>
      </c>
      <c r="J349" s="35" t="str">
        <f t="shared" si="282"/>
        <v>HW1</v>
      </c>
      <c r="K349" s="35" t="str">
        <f t="shared" si="301"/>
        <v>SPHU</v>
      </c>
      <c r="L349" s="35">
        <f t="shared" si="283"/>
        <v>400</v>
      </c>
      <c r="M349" s="35">
        <f t="shared" si="284"/>
        <v>20</v>
      </c>
      <c r="N349" s="35">
        <f t="shared" si="285"/>
        <v>200</v>
      </c>
      <c r="O349" s="35" t="str">
        <f t="shared" si="286"/>
        <v>MTN2</v>
      </c>
      <c r="P349" s="35" t="str">
        <f t="shared" si="287"/>
        <v>CNT2</v>
      </c>
      <c r="Q349" s="35" t="str">
        <f t="shared" si="288"/>
        <v>KNT3</v>
      </c>
      <c r="R349" s="35" t="str">
        <f t="shared" si="289"/>
        <v>E</v>
      </c>
      <c r="S349" s="35" t="str">
        <f t="shared" si="290"/>
        <v>EXP1</v>
      </c>
      <c r="T349" s="58"/>
      <c r="U349" s="58"/>
      <c r="V349" s="58"/>
      <c r="W349" s="58"/>
      <c r="X349" s="58"/>
      <c r="Y349" s="58"/>
      <c r="Z349" s="58"/>
      <c r="AA349" s="95">
        <f t="shared" si="320"/>
        <v>1</v>
      </c>
      <c r="AB349" s="96">
        <f t="shared" si="302"/>
        <v>127.18883513795211</v>
      </c>
      <c r="AC349" s="58"/>
      <c r="AD349" s="58"/>
      <c r="AE349" s="58"/>
      <c r="AF349" s="58"/>
      <c r="AG349" s="58"/>
      <c r="AH349" s="58"/>
      <c r="AI349" s="58"/>
      <c r="AJ349" s="58"/>
      <c r="AK349" s="58"/>
      <c r="AL349" s="58"/>
      <c r="AM349" s="89">
        <f t="shared" si="303"/>
        <v>46</v>
      </c>
      <c r="AN349" s="36">
        <f t="shared" si="311"/>
        <v>35.603499999999997</v>
      </c>
      <c r="AO349" s="35">
        <f t="shared" si="312"/>
        <v>1.8816516011109492</v>
      </c>
      <c r="AP349" s="35">
        <f>IF((OR(R349="A",R349="B",R349="C")),INDEX(Coefficients!$S$4:$S$22,MATCH(J349,Coefficients!$R$4:$R$22)),INDEX(Coefficients!$T$4:$T$22,MATCH(J349,Coefficients!$R$4:$R$22)))</f>
        <v>1.3</v>
      </c>
      <c r="AQ349" s="27">
        <f>IF((OR(R349="A",R349="B",R349="C")),INDEX(Coefficients!$S$4:$S$22,MATCH(K349,Coefficients!$R$4:$R$22)),INDEX(Coefficients!$T$4:$T$22,MATCH(K349,Coefficients!$R$4:$R$22)))</f>
        <v>25</v>
      </c>
      <c r="AR349" s="27">
        <f>IF(OR(R349="A",R349="B",R349="C",R349="D"),IF(AN349&gt;=11,IF(AN349&gt;=26,Coefficients!$M$6,Coefficients!$M$5),Coefficients!$M$4),IF(AN349&gt;=11,IF(AN349&gt;=26,Coefficients!$N$6,Coefficients!$N$5),Coefficients!$N$4))</f>
        <v>1</v>
      </c>
      <c r="AS349" s="27">
        <f>INDEX(Coefficients!$X$3:$X$4,MATCH(S349,Coefficients!$W$3:$W$4))</f>
        <v>1</v>
      </c>
      <c r="AT349" s="27">
        <f>INDEX(Coefficients!$X$7:$X$8,MATCH(O349,Coefficients!$W$7:$W$8))</f>
        <v>1</v>
      </c>
      <c r="AU349" s="27">
        <f>INDEX(Coefficients!$X$11:$X$12,MATCH(P349,Coefficients!$W$11:$W$12))</f>
        <v>1</v>
      </c>
      <c r="AV349" s="27">
        <f>INDEX(Coefficients!$X$15:$X$17,MATCH(Q349,Coefficients!$W$15:$W$17))</f>
        <v>1</v>
      </c>
      <c r="AW349" s="27">
        <f t="shared" si="304"/>
        <v>1</v>
      </c>
      <c r="AX349" s="27">
        <f t="shared" si="305"/>
        <v>1</v>
      </c>
      <c r="AY349" s="27">
        <f t="shared" si="306"/>
        <v>1.3</v>
      </c>
      <c r="AZ349" s="35">
        <f t="shared" si="307"/>
        <v>47.041290027773726</v>
      </c>
      <c r="BA349" s="35">
        <f t="shared" si="308"/>
        <v>0</v>
      </c>
      <c r="BB349" s="35">
        <f t="shared" si="309"/>
        <v>2.4461470814442339</v>
      </c>
      <c r="BC349" s="35">
        <f t="shared" si="310"/>
        <v>1.7553852918555766</v>
      </c>
      <c r="BD349" s="35">
        <f t="shared" si="313"/>
        <v>0.42515840845758623</v>
      </c>
      <c r="BE349" s="16">
        <f t="shared" si="314"/>
        <v>127.18883513795211</v>
      </c>
      <c r="BF349" s="16">
        <f t="shared" si="315"/>
        <v>145.62232972409578</v>
      </c>
      <c r="BG349" s="25">
        <f t="shared" si="316"/>
        <v>1</v>
      </c>
      <c r="BH349" s="35">
        <f t="shared" si="317"/>
        <v>279.81543730349466</v>
      </c>
      <c r="BI349" s="35">
        <f t="shared" si="318"/>
        <v>-159.63087460698932</v>
      </c>
      <c r="BJ349" s="35">
        <f t="shared" si="319"/>
        <v>34.885036658589023</v>
      </c>
    </row>
    <row r="350" spans="2:62">
      <c r="B350" s="35" t="s">
        <v>133</v>
      </c>
      <c r="C350" s="84" t="str">
        <f>MostLikely!$B$1</f>
        <v>MRI-CGCM2.3.2</v>
      </c>
      <c r="D350" s="89">
        <v>2052</v>
      </c>
      <c r="E350" s="57">
        <f>'Cooler&amp;Wetter'!AA80</f>
        <v>35.606999999999999</v>
      </c>
      <c r="F350" s="90">
        <f>MostLikely!AD80</f>
        <v>22.595710359999998</v>
      </c>
      <c r="G350" s="35">
        <f t="shared" si="300"/>
        <v>2005</v>
      </c>
      <c r="H350" s="91" t="str">
        <f t="shared" si="280"/>
        <v>Pile 32 @ Berth 201</v>
      </c>
      <c r="I350" s="35" t="str">
        <f t="shared" si="281"/>
        <v>Turpentine Gum</v>
      </c>
      <c r="J350" s="35" t="str">
        <f t="shared" si="282"/>
        <v>HW1</v>
      </c>
      <c r="K350" s="35" t="str">
        <f t="shared" si="301"/>
        <v>SPHU</v>
      </c>
      <c r="L350" s="35">
        <f t="shared" si="283"/>
        <v>400</v>
      </c>
      <c r="M350" s="35">
        <f t="shared" si="284"/>
        <v>20</v>
      </c>
      <c r="N350" s="35">
        <f t="shared" si="285"/>
        <v>200</v>
      </c>
      <c r="O350" s="35" t="str">
        <f t="shared" si="286"/>
        <v>MTN2</v>
      </c>
      <c r="P350" s="35" t="str">
        <f t="shared" si="287"/>
        <v>CNT2</v>
      </c>
      <c r="Q350" s="35" t="str">
        <f t="shared" si="288"/>
        <v>KNT3</v>
      </c>
      <c r="R350" s="35" t="str">
        <f t="shared" si="289"/>
        <v>E</v>
      </c>
      <c r="S350" s="35" t="str">
        <f t="shared" si="290"/>
        <v>EXP1</v>
      </c>
      <c r="T350" s="58"/>
      <c r="U350" s="58"/>
      <c r="V350" s="58"/>
      <c r="W350" s="58"/>
      <c r="X350" s="58"/>
      <c r="Y350" s="58"/>
      <c r="Z350" s="58"/>
      <c r="AA350" s="95">
        <f t="shared" si="320"/>
        <v>1</v>
      </c>
      <c r="AB350" s="96">
        <f t="shared" si="302"/>
        <v>129.9366508368723</v>
      </c>
      <c r="AC350" s="58"/>
      <c r="AD350" s="58"/>
      <c r="AE350" s="58"/>
      <c r="AF350" s="58"/>
      <c r="AG350" s="58"/>
      <c r="AH350" s="58"/>
      <c r="AI350" s="58"/>
      <c r="AJ350" s="58"/>
      <c r="AK350" s="58"/>
      <c r="AL350" s="58"/>
      <c r="AM350" s="89">
        <f t="shared" si="303"/>
        <v>47</v>
      </c>
      <c r="AN350" s="36">
        <f t="shared" si="311"/>
        <v>35.606999999999999</v>
      </c>
      <c r="AO350" s="35">
        <f t="shared" si="312"/>
        <v>1.8867527954544798</v>
      </c>
      <c r="AP350" s="35">
        <f>IF((OR(R350="A",R350="B",R350="C")),INDEX(Coefficients!$S$4:$S$22,MATCH(J350,Coefficients!$R$4:$R$22)),INDEX(Coefficients!$T$4:$T$22,MATCH(J350,Coefficients!$R$4:$R$22)))</f>
        <v>1.3</v>
      </c>
      <c r="AQ350" s="27">
        <f>IF((OR(R350="A",R350="B",R350="C")),INDEX(Coefficients!$S$4:$S$22,MATCH(K350,Coefficients!$R$4:$R$22)),INDEX(Coefficients!$T$4:$T$22,MATCH(K350,Coefficients!$R$4:$R$22)))</f>
        <v>25</v>
      </c>
      <c r="AR350" s="27">
        <f>IF(OR(R350="A",R350="B",R350="C",R350="D"),IF(AN350&gt;=11,IF(AN350&gt;=26,Coefficients!$M$6,Coefficients!$M$5),Coefficients!$M$4),IF(AN350&gt;=11,IF(AN350&gt;=26,Coefficients!$N$6,Coefficients!$N$5),Coefficients!$N$4))</f>
        <v>1</v>
      </c>
      <c r="AS350" s="27">
        <f>INDEX(Coefficients!$X$3:$X$4,MATCH(S350,Coefficients!$W$3:$W$4))</f>
        <v>1</v>
      </c>
      <c r="AT350" s="27">
        <f>INDEX(Coefficients!$X$7:$X$8,MATCH(O350,Coefficients!$W$7:$W$8))</f>
        <v>1</v>
      </c>
      <c r="AU350" s="27">
        <f>INDEX(Coefficients!$X$11:$X$12,MATCH(P350,Coefficients!$W$11:$W$12))</f>
        <v>1</v>
      </c>
      <c r="AV350" s="27">
        <f>INDEX(Coefficients!$X$15:$X$17,MATCH(Q350,Coefficients!$W$15:$W$17))</f>
        <v>1</v>
      </c>
      <c r="AW350" s="27">
        <f t="shared" si="304"/>
        <v>1</v>
      </c>
      <c r="AX350" s="27">
        <f t="shared" si="305"/>
        <v>1</v>
      </c>
      <c r="AY350" s="27">
        <f t="shared" si="306"/>
        <v>1.3</v>
      </c>
      <c r="AZ350" s="35">
        <f t="shared" si="307"/>
        <v>47.168819886361995</v>
      </c>
      <c r="BA350" s="35">
        <f t="shared" si="308"/>
        <v>0</v>
      </c>
      <c r="BB350" s="35">
        <f t="shared" si="309"/>
        <v>2.4527786340908238</v>
      </c>
      <c r="BC350" s="35">
        <f t="shared" si="310"/>
        <v>1.7547221365909176</v>
      </c>
      <c r="BD350" s="35">
        <f t="shared" si="313"/>
        <v>0.42400891199278523</v>
      </c>
      <c r="BE350" s="16">
        <f t="shared" si="314"/>
        <v>129.9366508368723</v>
      </c>
      <c r="BF350" s="16">
        <f t="shared" si="315"/>
        <v>140.12669832625539</v>
      </c>
      <c r="BG350" s="25">
        <f t="shared" si="316"/>
        <v>1</v>
      </c>
      <c r="BH350" s="35">
        <f t="shared" si="317"/>
        <v>285.86063184111907</v>
      </c>
      <c r="BI350" s="35">
        <f t="shared" si="318"/>
        <v>-171.72126368223815</v>
      </c>
      <c r="BJ350" s="35">
        <f t="shared" si="319"/>
        <v>34.794801201874876</v>
      </c>
    </row>
    <row r="351" spans="2:62">
      <c r="B351" s="35" t="s">
        <v>133</v>
      </c>
      <c r="C351" s="84" t="str">
        <f>MostLikely!$B$1</f>
        <v>MRI-CGCM2.3.2</v>
      </c>
      <c r="D351" s="89">
        <v>2053</v>
      </c>
      <c r="E351" s="57">
        <f>'Cooler&amp;Wetter'!AA81</f>
        <v>35.610500000000002</v>
      </c>
      <c r="F351" s="90">
        <f>MostLikely!AD81</f>
        <v>22.616536139999997</v>
      </c>
      <c r="G351" s="35">
        <f t="shared" si="300"/>
        <v>2005</v>
      </c>
      <c r="H351" s="91" t="str">
        <f t="shared" si="280"/>
        <v>Pile 32 @ Berth 201</v>
      </c>
      <c r="I351" s="35" t="str">
        <f t="shared" si="281"/>
        <v>Turpentine Gum</v>
      </c>
      <c r="J351" s="35" t="str">
        <f t="shared" si="282"/>
        <v>HW1</v>
      </c>
      <c r="K351" s="35" t="str">
        <f t="shared" si="301"/>
        <v>SPHU</v>
      </c>
      <c r="L351" s="35">
        <f t="shared" si="283"/>
        <v>400</v>
      </c>
      <c r="M351" s="35">
        <f t="shared" si="284"/>
        <v>20</v>
      </c>
      <c r="N351" s="35">
        <f t="shared" si="285"/>
        <v>200</v>
      </c>
      <c r="O351" s="35" t="str">
        <f t="shared" si="286"/>
        <v>MTN2</v>
      </c>
      <c r="P351" s="35" t="str">
        <f t="shared" si="287"/>
        <v>CNT2</v>
      </c>
      <c r="Q351" s="35" t="str">
        <f t="shared" si="288"/>
        <v>KNT3</v>
      </c>
      <c r="R351" s="35" t="str">
        <f t="shared" si="289"/>
        <v>E</v>
      </c>
      <c r="S351" s="35" t="str">
        <f t="shared" si="290"/>
        <v>EXP1</v>
      </c>
      <c r="T351" s="58"/>
      <c r="U351" s="58"/>
      <c r="V351" s="58"/>
      <c r="W351" s="58"/>
      <c r="X351" s="58"/>
      <c r="Y351" s="58"/>
      <c r="Z351" s="58"/>
      <c r="AA351" s="95">
        <f t="shared" si="320"/>
        <v>1</v>
      </c>
      <c r="AB351" s="96">
        <f t="shared" si="302"/>
        <v>132.69857428018267</v>
      </c>
      <c r="AC351" s="58"/>
      <c r="AD351" s="58"/>
      <c r="AE351" s="58"/>
      <c r="AF351" s="58"/>
      <c r="AG351" s="58"/>
      <c r="AH351" s="58"/>
      <c r="AI351" s="58"/>
      <c r="AJ351" s="58"/>
      <c r="AK351" s="58"/>
      <c r="AL351" s="58"/>
      <c r="AM351" s="89">
        <f t="shared" si="303"/>
        <v>48</v>
      </c>
      <c r="AN351" s="36">
        <f t="shared" si="311"/>
        <v>35.610500000000002</v>
      </c>
      <c r="AO351" s="35">
        <f t="shared" si="312"/>
        <v>1.891867819235785</v>
      </c>
      <c r="AP351" s="35">
        <f>IF((OR(R351="A",R351="B",R351="C")),INDEX(Coefficients!$S$4:$S$22,MATCH(J351,Coefficients!$R$4:$R$22)),INDEX(Coefficients!$T$4:$T$22,MATCH(J351,Coefficients!$R$4:$R$22)))</f>
        <v>1.3</v>
      </c>
      <c r="AQ351" s="27">
        <f>IF((OR(R351="A",R351="B",R351="C")),INDEX(Coefficients!$S$4:$S$22,MATCH(K351,Coefficients!$R$4:$R$22)),INDEX(Coefficients!$T$4:$T$22,MATCH(K351,Coefficients!$R$4:$R$22)))</f>
        <v>25</v>
      </c>
      <c r="AR351" s="27">
        <f>IF(OR(R351="A",R351="B",R351="C",R351="D"),IF(AN351&gt;=11,IF(AN351&gt;=26,Coefficients!$M$6,Coefficients!$M$5),Coefficients!$M$4),IF(AN351&gt;=11,IF(AN351&gt;=26,Coefficients!$N$6,Coefficients!$N$5),Coefficients!$N$4))</f>
        <v>1</v>
      </c>
      <c r="AS351" s="27">
        <f>INDEX(Coefficients!$X$3:$X$4,MATCH(S351,Coefficients!$W$3:$W$4))</f>
        <v>1</v>
      </c>
      <c r="AT351" s="27">
        <f>INDEX(Coefficients!$X$7:$X$8,MATCH(O351,Coefficients!$W$7:$W$8))</f>
        <v>1</v>
      </c>
      <c r="AU351" s="27">
        <f>INDEX(Coefficients!$X$11:$X$12,MATCH(P351,Coefficients!$W$11:$W$12))</f>
        <v>1</v>
      </c>
      <c r="AV351" s="27">
        <f>INDEX(Coefficients!$X$15:$X$17,MATCH(Q351,Coefficients!$W$15:$W$17))</f>
        <v>1</v>
      </c>
      <c r="AW351" s="27">
        <f t="shared" si="304"/>
        <v>1</v>
      </c>
      <c r="AX351" s="27">
        <f t="shared" si="305"/>
        <v>1</v>
      </c>
      <c r="AY351" s="27">
        <f t="shared" si="306"/>
        <v>1.3</v>
      </c>
      <c r="AZ351" s="35">
        <f t="shared" si="307"/>
        <v>47.296695480894627</v>
      </c>
      <c r="BA351" s="35">
        <f t="shared" si="308"/>
        <v>0</v>
      </c>
      <c r="BB351" s="35">
        <f t="shared" si="309"/>
        <v>2.4594281650065204</v>
      </c>
      <c r="BC351" s="35">
        <f t="shared" si="310"/>
        <v>1.7540571834993479</v>
      </c>
      <c r="BD351" s="35">
        <f t="shared" si="313"/>
        <v>0.42286252340988489</v>
      </c>
      <c r="BE351" s="16">
        <f t="shared" si="314"/>
        <v>132.69857428018267</v>
      </c>
      <c r="BF351" s="16">
        <f t="shared" si="315"/>
        <v>134.60285143963466</v>
      </c>
      <c r="BG351" s="25">
        <f t="shared" si="316"/>
        <v>1</v>
      </c>
      <c r="BH351" s="35">
        <f t="shared" si="317"/>
        <v>291.93686341640188</v>
      </c>
      <c r="BI351" s="35">
        <f t="shared" si="318"/>
        <v>-183.87372683280375</v>
      </c>
      <c r="BJ351" s="35">
        <f t="shared" si="319"/>
        <v>34.704806123054226</v>
      </c>
    </row>
    <row r="352" spans="2:62">
      <c r="B352" s="35" t="s">
        <v>133</v>
      </c>
      <c r="C352" s="84" t="str">
        <f>MostLikely!$B$1</f>
        <v>MRI-CGCM2.3.2</v>
      </c>
      <c r="D352" s="89">
        <v>2054</v>
      </c>
      <c r="E352" s="57">
        <f>'Cooler&amp;Wetter'!AA82</f>
        <v>35.613999999999997</v>
      </c>
      <c r="F352" s="90">
        <f>MostLikely!AD82</f>
        <v>22.637361919999996</v>
      </c>
      <c r="G352" s="35">
        <f t="shared" si="300"/>
        <v>2005</v>
      </c>
      <c r="H352" s="91" t="str">
        <f t="shared" si="280"/>
        <v>Pile 32 @ Berth 201</v>
      </c>
      <c r="I352" s="35" t="str">
        <f t="shared" si="281"/>
        <v>Turpentine Gum</v>
      </c>
      <c r="J352" s="35" t="str">
        <f t="shared" si="282"/>
        <v>HW1</v>
      </c>
      <c r="K352" s="35" t="str">
        <f t="shared" si="301"/>
        <v>SPHU</v>
      </c>
      <c r="L352" s="35">
        <f t="shared" si="283"/>
        <v>400</v>
      </c>
      <c r="M352" s="35">
        <f t="shared" si="284"/>
        <v>20</v>
      </c>
      <c r="N352" s="35">
        <f t="shared" si="285"/>
        <v>200</v>
      </c>
      <c r="O352" s="35" t="str">
        <f t="shared" si="286"/>
        <v>MTN2</v>
      </c>
      <c r="P352" s="35" t="str">
        <f t="shared" si="287"/>
        <v>CNT2</v>
      </c>
      <c r="Q352" s="35" t="str">
        <f t="shared" si="288"/>
        <v>KNT3</v>
      </c>
      <c r="R352" s="35" t="str">
        <f t="shared" si="289"/>
        <v>E</v>
      </c>
      <c r="S352" s="35" t="str">
        <f t="shared" si="290"/>
        <v>EXP1</v>
      </c>
      <c r="T352" s="58"/>
      <c r="U352" s="58"/>
      <c r="V352" s="58"/>
      <c r="W352" s="58"/>
      <c r="X352" s="58"/>
      <c r="Y352" s="58"/>
      <c r="Z352" s="58"/>
      <c r="AA352" s="95">
        <f t="shared" si="320"/>
        <v>1</v>
      </c>
      <c r="AB352" s="96">
        <f t="shared" si="302"/>
        <v>135.47466178921155</v>
      </c>
      <c r="AC352" s="58"/>
      <c r="AD352" s="58"/>
      <c r="AE352" s="58"/>
      <c r="AF352" s="58"/>
      <c r="AG352" s="58"/>
      <c r="AH352" s="58"/>
      <c r="AI352" s="58"/>
      <c r="AJ352" s="58"/>
      <c r="AK352" s="58"/>
      <c r="AL352" s="58"/>
      <c r="AM352" s="89">
        <f t="shared" si="303"/>
        <v>49</v>
      </c>
      <c r="AN352" s="36">
        <f t="shared" si="311"/>
        <v>35.613999999999997</v>
      </c>
      <c r="AO352" s="35">
        <f t="shared" si="312"/>
        <v>1.8969967099467402</v>
      </c>
      <c r="AP352" s="35">
        <f>IF((OR(R352="A",R352="B",R352="C")),INDEX(Coefficients!$S$4:$S$22,MATCH(J352,Coefficients!$R$4:$R$22)),INDEX(Coefficients!$T$4:$T$22,MATCH(J352,Coefficients!$R$4:$R$22)))</f>
        <v>1.3</v>
      </c>
      <c r="AQ352" s="27">
        <f>IF((OR(R352="A",R352="B",R352="C")),INDEX(Coefficients!$S$4:$S$22,MATCH(K352,Coefficients!$R$4:$R$22)),INDEX(Coefficients!$T$4:$T$22,MATCH(K352,Coefficients!$R$4:$R$22)))</f>
        <v>25</v>
      </c>
      <c r="AR352" s="27">
        <f>IF(OR(R352="A",R352="B",R352="C",R352="D"),IF(AN352&gt;=11,IF(AN352&gt;=26,Coefficients!$M$6,Coefficients!$M$5),Coefficients!$M$4),IF(AN352&gt;=11,IF(AN352&gt;=26,Coefficients!$N$6,Coefficients!$N$5),Coefficients!$N$4))</f>
        <v>1</v>
      </c>
      <c r="AS352" s="27">
        <f>INDEX(Coefficients!$X$3:$X$4,MATCH(S352,Coefficients!$W$3:$W$4))</f>
        <v>1</v>
      </c>
      <c r="AT352" s="27">
        <f>INDEX(Coefficients!$X$7:$X$8,MATCH(O352,Coefficients!$W$7:$W$8))</f>
        <v>1</v>
      </c>
      <c r="AU352" s="27">
        <f>INDEX(Coefficients!$X$11:$X$12,MATCH(P352,Coefficients!$W$11:$W$12))</f>
        <v>1</v>
      </c>
      <c r="AV352" s="27">
        <f>INDEX(Coefficients!$X$15:$X$17,MATCH(Q352,Coefficients!$W$15:$W$17))</f>
        <v>1</v>
      </c>
      <c r="AW352" s="27">
        <f t="shared" si="304"/>
        <v>1</v>
      </c>
      <c r="AX352" s="27">
        <f t="shared" si="305"/>
        <v>1</v>
      </c>
      <c r="AY352" s="27">
        <f t="shared" si="306"/>
        <v>1.3</v>
      </c>
      <c r="AZ352" s="35">
        <f t="shared" si="307"/>
        <v>47.424917748668506</v>
      </c>
      <c r="BA352" s="35">
        <f t="shared" si="308"/>
        <v>0</v>
      </c>
      <c r="BB352" s="35">
        <f t="shared" si="309"/>
        <v>2.4660957229307625</v>
      </c>
      <c r="BC352" s="35">
        <f t="shared" si="310"/>
        <v>1.7533904277069237</v>
      </c>
      <c r="BD352" s="35">
        <f t="shared" si="313"/>
        <v>0.42171923430613684</v>
      </c>
      <c r="BE352" s="16">
        <f t="shared" si="314"/>
        <v>135.47466178921155</v>
      </c>
      <c r="BF352" s="16">
        <f t="shared" si="315"/>
        <v>129.0506764215769</v>
      </c>
      <c r="BG352" s="25">
        <f t="shared" si="316"/>
        <v>1</v>
      </c>
      <c r="BH352" s="35">
        <f t="shared" si="317"/>
        <v>298.04425593626542</v>
      </c>
      <c r="BI352" s="35">
        <f t="shared" si="318"/>
        <v>-196.08851187253083</v>
      </c>
      <c r="BJ352" s="35">
        <f t="shared" si="319"/>
        <v>34.615050762485126</v>
      </c>
    </row>
    <row r="353" spans="2:62">
      <c r="B353" s="35" t="s">
        <v>133</v>
      </c>
      <c r="C353" s="84" t="str">
        <f>MostLikely!$B$1</f>
        <v>MRI-CGCM2.3.2</v>
      </c>
      <c r="D353" s="89">
        <v>2055</v>
      </c>
      <c r="E353" s="57">
        <f>'Cooler&amp;Wetter'!AA83</f>
        <v>35.6175</v>
      </c>
      <c r="F353" s="90">
        <f>MostLikely!AD83</f>
        <v>22.658187699999999</v>
      </c>
      <c r="G353" s="35">
        <f t="shared" si="300"/>
        <v>2005</v>
      </c>
      <c r="H353" s="91" t="str">
        <f t="shared" si="280"/>
        <v>Pile 32 @ Berth 201</v>
      </c>
      <c r="I353" s="35" t="str">
        <f t="shared" si="281"/>
        <v>Turpentine Gum</v>
      </c>
      <c r="J353" s="35" t="str">
        <f t="shared" si="282"/>
        <v>HW1</v>
      </c>
      <c r="K353" s="35" t="str">
        <f t="shared" si="301"/>
        <v>SPHU</v>
      </c>
      <c r="L353" s="35">
        <f t="shared" si="283"/>
        <v>400</v>
      </c>
      <c r="M353" s="35">
        <f t="shared" si="284"/>
        <v>20</v>
      </c>
      <c r="N353" s="35">
        <f t="shared" si="285"/>
        <v>200</v>
      </c>
      <c r="O353" s="35" t="str">
        <f t="shared" si="286"/>
        <v>MTN2</v>
      </c>
      <c r="P353" s="35" t="str">
        <f t="shared" si="287"/>
        <v>CNT2</v>
      </c>
      <c r="Q353" s="35" t="str">
        <f t="shared" si="288"/>
        <v>KNT3</v>
      </c>
      <c r="R353" s="35" t="str">
        <f t="shared" si="289"/>
        <v>E</v>
      </c>
      <c r="S353" s="35" t="str">
        <f t="shared" si="290"/>
        <v>EXP1</v>
      </c>
      <c r="T353" s="58"/>
      <c r="U353" s="58"/>
      <c r="V353" s="58"/>
      <c r="W353" s="58"/>
      <c r="X353" s="58"/>
      <c r="Y353" s="58"/>
      <c r="Z353" s="58"/>
      <c r="AA353" s="95">
        <f t="shared" si="320"/>
        <v>1</v>
      </c>
      <c r="AB353" s="96">
        <f t="shared" si="302"/>
        <v>138.26496988710761</v>
      </c>
      <c r="AC353" s="58"/>
      <c r="AD353" s="58"/>
      <c r="AE353" s="58"/>
      <c r="AF353" s="58"/>
      <c r="AG353" s="58"/>
      <c r="AH353" s="58"/>
      <c r="AI353" s="58"/>
      <c r="AJ353" s="58"/>
      <c r="AK353" s="58"/>
      <c r="AL353" s="58"/>
      <c r="AM353" s="89">
        <f t="shared" si="303"/>
        <v>50</v>
      </c>
      <c r="AN353" s="36">
        <f t="shared" si="311"/>
        <v>35.6175</v>
      </c>
      <c r="AO353" s="35">
        <f t="shared" si="312"/>
        <v>1.9021395051808647</v>
      </c>
      <c r="AP353" s="35">
        <f>IF((OR(R353="A",R353="B",R353="C")),INDEX(Coefficients!$S$4:$S$22,MATCH(J353,Coefficients!$R$4:$R$22)),INDEX(Coefficients!$T$4:$T$22,MATCH(J353,Coefficients!$R$4:$R$22)))</f>
        <v>1.3</v>
      </c>
      <c r="AQ353" s="27">
        <f>IF((OR(R353="A",R353="B",R353="C")),INDEX(Coefficients!$S$4:$S$22,MATCH(K353,Coefficients!$R$4:$R$22)),INDEX(Coefficients!$T$4:$T$22,MATCH(K353,Coefficients!$R$4:$R$22)))</f>
        <v>25</v>
      </c>
      <c r="AR353" s="27">
        <f>IF(OR(R353="A",R353="B",R353="C",R353="D"),IF(AN353&gt;=11,IF(AN353&gt;=26,Coefficients!$M$6,Coefficients!$M$5),Coefficients!$M$4),IF(AN353&gt;=11,IF(AN353&gt;=26,Coefficients!$N$6,Coefficients!$N$5),Coefficients!$N$4))</f>
        <v>1</v>
      </c>
      <c r="AS353" s="27">
        <f>INDEX(Coefficients!$X$3:$X$4,MATCH(S353,Coefficients!$W$3:$W$4))</f>
        <v>1</v>
      </c>
      <c r="AT353" s="27">
        <f>INDEX(Coefficients!$X$7:$X$8,MATCH(O353,Coefficients!$W$7:$W$8))</f>
        <v>1</v>
      </c>
      <c r="AU353" s="27">
        <f>INDEX(Coefficients!$X$11:$X$12,MATCH(P353,Coefficients!$W$11:$W$12))</f>
        <v>1</v>
      </c>
      <c r="AV353" s="27">
        <f>INDEX(Coefficients!$X$15:$X$17,MATCH(Q353,Coefficients!$W$15:$W$17))</f>
        <v>1</v>
      </c>
      <c r="AW353" s="27">
        <f t="shared" si="304"/>
        <v>1</v>
      </c>
      <c r="AX353" s="27">
        <f t="shared" si="305"/>
        <v>1</v>
      </c>
      <c r="AY353" s="27">
        <f t="shared" si="306"/>
        <v>1.3</v>
      </c>
      <c r="AZ353" s="35">
        <f t="shared" si="307"/>
        <v>47.553487629521619</v>
      </c>
      <c r="BA353" s="35">
        <f t="shared" si="308"/>
        <v>0</v>
      </c>
      <c r="BB353" s="35">
        <f t="shared" si="309"/>
        <v>2.472781356735124</v>
      </c>
      <c r="BC353" s="35">
        <f t="shared" si="310"/>
        <v>1.7527218643264875</v>
      </c>
      <c r="BD353" s="35">
        <f t="shared" si="313"/>
        <v>0.42057903630151044</v>
      </c>
      <c r="BE353" s="16">
        <f t="shared" si="314"/>
        <v>138.26496988710761</v>
      </c>
      <c r="BF353" s="16">
        <f t="shared" si="315"/>
        <v>123.47006022578478</v>
      </c>
      <c r="BG353" s="25">
        <f t="shared" si="316"/>
        <v>1</v>
      </c>
      <c r="BH353" s="35">
        <f t="shared" si="317"/>
        <v>304.18293375163677</v>
      </c>
      <c r="BI353" s="35">
        <f t="shared" si="318"/>
        <v>-208.36586750327353</v>
      </c>
      <c r="BJ353" s="35">
        <f t="shared" si="319"/>
        <v>34.52553446228265</v>
      </c>
    </row>
    <row r="354" spans="2:62">
      <c r="B354" s="35" t="s">
        <v>133</v>
      </c>
      <c r="C354" s="84" t="str">
        <f>MostLikely!$B$1</f>
        <v>MRI-CGCM2.3.2</v>
      </c>
      <c r="D354" s="89">
        <v>2056</v>
      </c>
      <c r="E354" s="57">
        <f>'Cooler&amp;Wetter'!AA84</f>
        <v>35.621000000000002</v>
      </c>
      <c r="F354" s="90">
        <f>MostLikely!AD84</f>
        <v>22.679013479999998</v>
      </c>
      <c r="G354" s="35">
        <f t="shared" si="300"/>
        <v>2005</v>
      </c>
      <c r="H354" s="91" t="str">
        <f t="shared" si="280"/>
        <v>Pile 32 @ Berth 201</v>
      </c>
      <c r="I354" s="35" t="str">
        <f t="shared" si="281"/>
        <v>Turpentine Gum</v>
      </c>
      <c r="J354" s="35" t="str">
        <f t="shared" si="282"/>
        <v>HW1</v>
      </c>
      <c r="K354" s="35" t="str">
        <f t="shared" si="301"/>
        <v>SPHU</v>
      </c>
      <c r="L354" s="35">
        <f t="shared" si="283"/>
        <v>400</v>
      </c>
      <c r="M354" s="35">
        <f t="shared" si="284"/>
        <v>20</v>
      </c>
      <c r="N354" s="35">
        <f t="shared" si="285"/>
        <v>200</v>
      </c>
      <c r="O354" s="35" t="str">
        <f t="shared" si="286"/>
        <v>MTN2</v>
      </c>
      <c r="P354" s="35" t="str">
        <f t="shared" si="287"/>
        <v>CNT2</v>
      </c>
      <c r="Q354" s="35" t="str">
        <f t="shared" si="288"/>
        <v>KNT3</v>
      </c>
      <c r="R354" s="35" t="str">
        <f t="shared" si="289"/>
        <v>E</v>
      </c>
      <c r="S354" s="35" t="str">
        <f t="shared" si="290"/>
        <v>EXP1</v>
      </c>
      <c r="T354" s="58"/>
      <c r="U354" s="58"/>
      <c r="V354" s="58"/>
      <c r="W354" s="58"/>
      <c r="X354" s="58"/>
      <c r="Y354" s="58"/>
      <c r="Z354" s="58"/>
      <c r="AA354" s="95">
        <f t="shared" si="320"/>
        <v>1</v>
      </c>
      <c r="AB354" s="96">
        <f t="shared" si="302"/>
        <v>141.06955529952057</v>
      </c>
      <c r="AC354" s="58"/>
      <c r="AD354" s="58"/>
      <c r="AE354" s="58"/>
      <c r="AF354" s="58"/>
      <c r="AG354" s="58"/>
      <c r="AH354" s="58"/>
      <c r="AI354" s="58"/>
      <c r="AJ354" s="58"/>
      <c r="AK354" s="58"/>
      <c r="AL354" s="58"/>
      <c r="AM354" s="89">
        <f t="shared" si="303"/>
        <v>51</v>
      </c>
      <c r="AN354" s="36">
        <f t="shared" si="311"/>
        <v>35.621000000000002</v>
      </c>
      <c r="AO354" s="35">
        <f t="shared" si="312"/>
        <v>1.907296242633592</v>
      </c>
      <c r="AP354" s="35">
        <f>IF((OR(R354="A",R354="B",R354="C")),INDEX(Coefficients!$S$4:$S$22,MATCH(J354,Coefficients!$R$4:$R$22)),INDEX(Coefficients!$T$4:$T$22,MATCH(J354,Coefficients!$R$4:$R$22)))</f>
        <v>1.3</v>
      </c>
      <c r="AQ354" s="27">
        <f>IF((OR(R354="A",R354="B",R354="C")),INDEX(Coefficients!$S$4:$S$22,MATCH(K354,Coefficients!$R$4:$R$22)),INDEX(Coefficients!$T$4:$T$22,MATCH(K354,Coefficients!$R$4:$R$22)))</f>
        <v>25</v>
      </c>
      <c r="AR354" s="27">
        <f>IF(OR(R354="A",R354="B",R354="C",R354="D"),IF(AN354&gt;=11,IF(AN354&gt;=26,Coefficients!$M$6,Coefficients!$M$5),Coefficients!$M$4),IF(AN354&gt;=11,IF(AN354&gt;=26,Coefficients!$N$6,Coefficients!$N$5),Coefficients!$N$4))</f>
        <v>1</v>
      </c>
      <c r="AS354" s="27">
        <f>INDEX(Coefficients!$X$3:$X$4,MATCH(S354,Coefficients!$W$3:$W$4))</f>
        <v>1</v>
      </c>
      <c r="AT354" s="27">
        <f>INDEX(Coefficients!$X$7:$X$8,MATCH(O354,Coefficients!$W$7:$W$8))</f>
        <v>1</v>
      </c>
      <c r="AU354" s="27">
        <f>INDEX(Coefficients!$X$11:$X$12,MATCH(P354,Coefficients!$W$11:$W$12))</f>
        <v>1</v>
      </c>
      <c r="AV354" s="27">
        <f>INDEX(Coefficients!$X$15:$X$17,MATCH(Q354,Coefficients!$W$15:$W$17))</f>
        <v>1</v>
      </c>
      <c r="AW354" s="27">
        <f t="shared" si="304"/>
        <v>1</v>
      </c>
      <c r="AX354" s="27">
        <f t="shared" si="305"/>
        <v>1</v>
      </c>
      <c r="AY354" s="27">
        <f t="shared" si="306"/>
        <v>1.3</v>
      </c>
      <c r="AZ354" s="35">
        <f t="shared" si="307"/>
        <v>47.6824060658398</v>
      </c>
      <c r="BA354" s="35">
        <f t="shared" si="308"/>
        <v>0</v>
      </c>
      <c r="BB354" s="35">
        <f t="shared" si="309"/>
        <v>2.4794851154236697</v>
      </c>
      <c r="BC354" s="35">
        <f t="shared" si="310"/>
        <v>1.752051488457633</v>
      </c>
      <c r="BD354" s="35">
        <f t="shared" si="313"/>
        <v>0.41944192103863276</v>
      </c>
      <c r="BE354" s="16">
        <f t="shared" si="314"/>
        <v>141.06955529952057</v>
      </c>
      <c r="BF354" s="16">
        <f t="shared" si="315"/>
        <v>117.86088940095885</v>
      </c>
      <c r="BG354" s="25">
        <f t="shared" si="316"/>
        <v>1</v>
      </c>
      <c r="BH354" s="35">
        <f t="shared" si="317"/>
        <v>310.35302165894529</v>
      </c>
      <c r="BI354" s="35">
        <f t="shared" si="318"/>
        <v>-220.70604331789059</v>
      </c>
      <c r="BJ354" s="35">
        <f t="shared" si="319"/>
        <v>34.436256566314164</v>
      </c>
    </row>
    <row r="355" spans="2:62">
      <c r="B355" s="35" t="s">
        <v>133</v>
      </c>
      <c r="C355" s="84" t="str">
        <f>MostLikely!$B$1</f>
        <v>MRI-CGCM2.3.2</v>
      </c>
      <c r="D355" s="89">
        <v>2057</v>
      </c>
      <c r="E355" s="57">
        <f>'Cooler&amp;Wetter'!AA85</f>
        <v>35.624499999999998</v>
      </c>
      <c r="F355" s="90">
        <f>MostLikely!AD85</f>
        <v>22.699839259999997</v>
      </c>
      <c r="G355" s="35">
        <f t="shared" si="300"/>
        <v>2005</v>
      </c>
      <c r="H355" s="91" t="str">
        <f t="shared" si="280"/>
        <v>Pile 32 @ Berth 201</v>
      </c>
      <c r="I355" s="35" t="str">
        <f t="shared" si="281"/>
        <v>Turpentine Gum</v>
      </c>
      <c r="J355" s="35" t="str">
        <f t="shared" si="282"/>
        <v>HW1</v>
      </c>
      <c r="K355" s="35" t="str">
        <f t="shared" si="301"/>
        <v>SPHU</v>
      </c>
      <c r="L355" s="35">
        <f t="shared" si="283"/>
        <v>400</v>
      </c>
      <c r="M355" s="35">
        <f t="shared" si="284"/>
        <v>20</v>
      </c>
      <c r="N355" s="35">
        <f t="shared" si="285"/>
        <v>200</v>
      </c>
      <c r="O355" s="35" t="str">
        <f t="shared" si="286"/>
        <v>MTN2</v>
      </c>
      <c r="P355" s="35" t="str">
        <f t="shared" si="287"/>
        <v>CNT2</v>
      </c>
      <c r="Q355" s="35" t="str">
        <f t="shared" si="288"/>
        <v>KNT3</v>
      </c>
      <c r="R355" s="35" t="str">
        <f t="shared" si="289"/>
        <v>E</v>
      </c>
      <c r="S355" s="35" t="str">
        <f t="shared" si="290"/>
        <v>EXP1</v>
      </c>
      <c r="T355" s="58"/>
      <c r="U355" s="58"/>
      <c r="V355" s="58"/>
      <c r="W355" s="58"/>
      <c r="X355" s="58"/>
      <c r="Y355" s="58"/>
      <c r="Z355" s="58"/>
      <c r="AA355" s="95">
        <f t="shared" si="320"/>
        <v>1</v>
      </c>
      <c r="AB355" s="96">
        <f t="shared" si="302"/>
        <v>143.88847495528466</v>
      </c>
      <c r="AC355" s="58"/>
      <c r="AD355" s="58"/>
      <c r="AE355" s="58"/>
      <c r="AF355" s="58"/>
      <c r="AG355" s="58"/>
      <c r="AH355" s="58"/>
      <c r="AI355" s="58"/>
      <c r="AJ355" s="58"/>
      <c r="AK355" s="58"/>
      <c r="AL355" s="58"/>
      <c r="AM355" s="89">
        <f t="shared" si="303"/>
        <v>52</v>
      </c>
      <c r="AN355" s="36">
        <f t="shared" si="311"/>
        <v>35.624499999999998</v>
      </c>
      <c r="AO355" s="35">
        <f t="shared" si="312"/>
        <v>1.9124669601025515</v>
      </c>
      <c r="AP355" s="35">
        <f>IF((OR(R355="A",R355="B",R355="C")),INDEX(Coefficients!$S$4:$S$22,MATCH(J355,Coefficients!$R$4:$R$22)),INDEX(Coefficients!$T$4:$T$22,MATCH(J355,Coefficients!$R$4:$R$22)))</f>
        <v>1.3</v>
      </c>
      <c r="AQ355" s="27">
        <f>IF((OR(R355="A",R355="B",R355="C")),INDEX(Coefficients!$S$4:$S$22,MATCH(K355,Coefficients!$R$4:$R$22)),INDEX(Coefficients!$T$4:$T$22,MATCH(K355,Coefficients!$R$4:$R$22)))</f>
        <v>25</v>
      </c>
      <c r="AR355" s="27">
        <f>IF(OR(R355="A",R355="B",R355="C",R355="D"),IF(AN355&gt;=11,IF(AN355&gt;=26,Coefficients!$M$6,Coefficients!$M$5),Coefficients!$M$4),IF(AN355&gt;=11,IF(AN355&gt;=26,Coefficients!$N$6,Coefficients!$N$5),Coefficients!$N$4))</f>
        <v>1</v>
      </c>
      <c r="AS355" s="27">
        <f>INDEX(Coefficients!$X$3:$X$4,MATCH(S355,Coefficients!$W$3:$W$4))</f>
        <v>1</v>
      </c>
      <c r="AT355" s="27">
        <f>INDEX(Coefficients!$X$7:$X$8,MATCH(O355,Coefficients!$W$7:$W$8))</f>
        <v>1</v>
      </c>
      <c r="AU355" s="27">
        <f>INDEX(Coefficients!$X$11:$X$12,MATCH(P355,Coefficients!$W$11:$W$12))</f>
        <v>1</v>
      </c>
      <c r="AV355" s="27">
        <f>INDEX(Coefficients!$X$15:$X$17,MATCH(Q355,Coefficients!$W$15:$W$17))</f>
        <v>1</v>
      </c>
      <c r="AW355" s="27">
        <f t="shared" si="304"/>
        <v>1</v>
      </c>
      <c r="AX355" s="27">
        <f t="shared" si="305"/>
        <v>1</v>
      </c>
      <c r="AY355" s="27">
        <f t="shared" si="306"/>
        <v>1.3</v>
      </c>
      <c r="AZ355" s="35">
        <f t="shared" si="307"/>
        <v>47.811674002563784</v>
      </c>
      <c r="BA355" s="35">
        <f t="shared" si="308"/>
        <v>0</v>
      </c>
      <c r="BB355" s="35">
        <f t="shared" si="309"/>
        <v>2.4862070481333172</v>
      </c>
      <c r="BC355" s="35">
        <f t="shared" si="310"/>
        <v>1.7513792951866682</v>
      </c>
      <c r="BD355" s="35">
        <f t="shared" si="313"/>
        <v>0.41830788018272586</v>
      </c>
      <c r="BE355" s="16">
        <f t="shared" si="314"/>
        <v>143.88847495528466</v>
      </c>
      <c r="BF355" s="16">
        <f t="shared" si="315"/>
        <v>112.22305008943067</v>
      </c>
      <c r="BG355" s="25">
        <f t="shared" si="316"/>
        <v>1</v>
      </c>
      <c r="BH355" s="35">
        <f t="shared" si="317"/>
        <v>316.55464490162626</v>
      </c>
      <c r="BI355" s="35">
        <f t="shared" si="318"/>
        <v>-233.10928980325252</v>
      </c>
      <c r="BJ355" s="35">
        <f t="shared" si="319"/>
        <v>34.347216420194449</v>
      </c>
    </row>
    <row r="356" spans="2:62">
      <c r="B356" s="35" t="s">
        <v>133</v>
      </c>
      <c r="C356" s="84" t="str">
        <f>MostLikely!$B$1</f>
        <v>MRI-CGCM2.3.2</v>
      </c>
      <c r="D356" s="89">
        <v>2058</v>
      </c>
      <c r="E356" s="57">
        <f>'Cooler&amp;Wetter'!AA86</f>
        <v>35.628</v>
      </c>
      <c r="F356" s="90">
        <f>MostLikely!AD86</f>
        <v>22.72066504</v>
      </c>
      <c r="G356" s="35">
        <f t="shared" si="300"/>
        <v>2005</v>
      </c>
      <c r="H356" s="91" t="str">
        <f t="shared" si="280"/>
        <v>Pile 32 @ Berth 201</v>
      </c>
      <c r="I356" s="35" t="str">
        <f t="shared" si="281"/>
        <v>Turpentine Gum</v>
      </c>
      <c r="J356" s="35" t="str">
        <f t="shared" si="282"/>
        <v>HW1</v>
      </c>
      <c r="K356" s="35" t="str">
        <f t="shared" si="301"/>
        <v>SPHU</v>
      </c>
      <c r="L356" s="35">
        <f t="shared" si="283"/>
        <v>400</v>
      </c>
      <c r="M356" s="35">
        <f t="shared" si="284"/>
        <v>20</v>
      </c>
      <c r="N356" s="35">
        <f t="shared" si="285"/>
        <v>200</v>
      </c>
      <c r="O356" s="35" t="str">
        <f t="shared" si="286"/>
        <v>MTN2</v>
      </c>
      <c r="P356" s="35" t="str">
        <f t="shared" si="287"/>
        <v>CNT2</v>
      </c>
      <c r="Q356" s="35" t="str">
        <f t="shared" si="288"/>
        <v>KNT3</v>
      </c>
      <c r="R356" s="35" t="str">
        <f t="shared" si="289"/>
        <v>E</v>
      </c>
      <c r="S356" s="35" t="str">
        <f t="shared" si="290"/>
        <v>EXP1</v>
      </c>
      <c r="T356" s="58"/>
      <c r="U356" s="58"/>
      <c r="V356" s="58"/>
      <c r="W356" s="58"/>
      <c r="X356" s="58"/>
      <c r="Y356" s="58"/>
      <c r="Z356" s="58"/>
      <c r="AA356" s="95">
        <f t="shared" si="320"/>
        <v>1</v>
      </c>
      <c r="AB356" s="96">
        <f t="shared" si="302"/>
        <v>146.7217859871038</v>
      </c>
      <c r="AC356" s="58"/>
      <c r="AD356" s="58"/>
      <c r="AE356" s="58"/>
      <c r="AF356" s="58"/>
      <c r="AG356" s="58"/>
      <c r="AH356" s="58"/>
      <c r="AI356" s="58"/>
      <c r="AJ356" s="58"/>
      <c r="AK356" s="58"/>
      <c r="AL356" s="58"/>
      <c r="AM356" s="89">
        <f t="shared" si="303"/>
        <v>53</v>
      </c>
      <c r="AN356" s="36">
        <f t="shared" si="311"/>
        <v>35.628</v>
      </c>
      <c r="AO356" s="35">
        <f t="shared" si="312"/>
        <v>1.9176516954878395</v>
      </c>
      <c r="AP356" s="35">
        <f>IF((OR(R356="A",R356="B",R356="C")),INDEX(Coefficients!$S$4:$S$22,MATCH(J356,Coefficients!$R$4:$R$22)),INDEX(Coefficients!$T$4:$T$22,MATCH(J356,Coefficients!$R$4:$R$22)))</f>
        <v>1.3</v>
      </c>
      <c r="AQ356" s="27">
        <f>IF((OR(R356="A",R356="B",R356="C")),INDEX(Coefficients!$S$4:$S$22,MATCH(K356,Coefficients!$R$4:$R$22)),INDEX(Coefficients!$T$4:$T$22,MATCH(K356,Coefficients!$R$4:$R$22)))</f>
        <v>25</v>
      </c>
      <c r="AR356" s="27">
        <f>IF(OR(R356="A",R356="B",R356="C",R356="D"),IF(AN356&gt;=11,IF(AN356&gt;=26,Coefficients!$M$6,Coefficients!$M$5),Coefficients!$M$4),IF(AN356&gt;=11,IF(AN356&gt;=26,Coefficients!$N$6,Coefficients!$N$5),Coefficients!$N$4))</f>
        <v>1</v>
      </c>
      <c r="AS356" s="27">
        <f>INDEX(Coefficients!$X$3:$X$4,MATCH(S356,Coefficients!$W$3:$W$4))</f>
        <v>1</v>
      </c>
      <c r="AT356" s="27">
        <f>INDEX(Coefficients!$X$7:$X$8,MATCH(O356,Coefficients!$W$7:$W$8))</f>
        <v>1</v>
      </c>
      <c r="AU356" s="27">
        <f>INDEX(Coefficients!$X$11:$X$12,MATCH(P356,Coefficients!$W$11:$W$12))</f>
        <v>1</v>
      </c>
      <c r="AV356" s="27">
        <f>INDEX(Coefficients!$X$15:$X$17,MATCH(Q356,Coefficients!$W$15:$W$17))</f>
        <v>1</v>
      </c>
      <c r="AW356" s="27">
        <f t="shared" si="304"/>
        <v>1</v>
      </c>
      <c r="AX356" s="27">
        <f t="shared" si="305"/>
        <v>1</v>
      </c>
      <c r="AY356" s="27">
        <f t="shared" si="306"/>
        <v>1.3</v>
      </c>
      <c r="AZ356" s="35">
        <f t="shared" si="307"/>
        <v>47.941292387195986</v>
      </c>
      <c r="BA356" s="35">
        <f t="shared" si="308"/>
        <v>0</v>
      </c>
      <c r="BB356" s="35">
        <f t="shared" si="309"/>
        <v>2.4929472041341914</v>
      </c>
      <c r="BC356" s="35">
        <f t="shared" si="310"/>
        <v>1.750705279586581</v>
      </c>
      <c r="BD356" s="35">
        <f t="shared" si="313"/>
        <v>0.41717690542154717</v>
      </c>
      <c r="BE356" s="16">
        <f t="shared" si="314"/>
        <v>146.7217859871038</v>
      </c>
      <c r="BF356" s="16">
        <f t="shared" si="315"/>
        <v>106.5564280257924</v>
      </c>
      <c r="BG356" s="25">
        <f t="shared" si="316"/>
        <v>1</v>
      </c>
      <c r="BH356" s="35">
        <f t="shared" si="317"/>
        <v>322.78792917162838</v>
      </c>
      <c r="BI356" s="35">
        <f t="shared" si="318"/>
        <v>-245.57585834325675</v>
      </c>
      <c r="BJ356" s="35">
        <f t="shared" si="319"/>
        <v>34.258413371280994</v>
      </c>
    </row>
    <row r="357" spans="2:62">
      <c r="B357" s="35" t="s">
        <v>133</v>
      </c>
      <c r="C357" s="84" t="str">
        <f>MostLikely!$B$1</f>
        <v>MRI-CGCM2.3.2</v>
      </c>
      <c r="D357" s="89">
        <v>2059</v>
      </c>
      <c r="E357" s="57">
        <f>'Cooler&amp;Wetter'!AA87</f>
        <v>35.631500000000003</v>
      </c>
      <c r="F357" s="90">
        <f>MostLikely!AD87</f>
        <v>22.741490819999999</v>
      </c>
      <c r="G357" s="35">
        <f t="shared" si="300"/>
        <v>2005</v>
      </c>
      <c r="H357" s="91" t="str">
        <f t="shared" si="280"/>
        <v>Pile 32 @ Berth 201</v>
      </c>
      <c r="I357" s="35" t="str">
        <f t="shared" si="281"/>
        <v>Turpentine Gum</v>
      </c>
      <c r="J357" s="35" t="str">
        <f t="shared" si="282"/>
        <v>HW1</v>
      </c>
      <c r="K357" s="35" t="str">
        <f t="shared" si="301"/>
        <v>SPHU</v>
      </c>
      <c r="L357" s="35">
        <f t="shared" si="283"/>
        <v>400</v>
      </c>
      <c r="M357" s="35">
        <f t="shared" si="284"/>
        <v>20</v>
      </c>
      <c r="N357" s="35">
        <f t="shared" si="285"/>
        <v>200</v>
      </c>
      <c r="O357" s="35" t="str">
        <f t="shared" si="286"/>
        <v>MTN2</v>
      </c>
      <c r="P357" s="35" t="str">
        <f t="shared" si="287"/>
        <v>CNT2</v>
      </c>
      <c r="Q357" s="35" t="str">
        <f t="shared" si="288"/>
        <v>KNT3</v>
      </c>
      <c r="R357" s="35" t="str">
        <f t="shared" si="289"/>
        <v>E</v>
      </c>
      <c r="S357" s="35" t="str">
        <f t="shared" si="290"/>
        <v>EXP1</v>
      </c>
      <c r="T357" s="58"/>
      <c r="U357" s="58"/>
      <c r="V357" s="58"/>
      <c r="W357" s="58"/>
      <c r="X357" s="58"/>
      <c r="Y357" s="58"/>
      <c r="Z357" s="58"/>
      <c r="AA357" s="95">
        <f t="shared" si="320"/>
        <v>1</v>
      </c>
      <c r="AB357" s="96">
        <f t="shared" si="302"/>
        <v>149.56954573223982</v>
      </c>
      <c r="AC357" s="58"/>
      <c r="AD357" s="58"/>
      <c r="AE357" s="58"/>
      <c r="AF357" s="58"/>
      <c r="AG357" s="58"/>
      <c r="AH357" s="58"/>
      <c r="AI357" s="58"/>
      <c r="AJ357" s="58"/>
      <c r="AK357" s="58"/>
      <c r="AL357" s="58"/>
      <c r="AM357" s="89">
        <f t="shared" si="303"/>
        <v>54</v>
      </c>
      <c r="AN357" s="36">
        <f t="shared" si="311"/>
        <v>35.631500000000003</v>
      </c>
      <c r="AO357" s="35">
        <f t="shared" si="312"/>
        <v>1.922850486792302</v>
      </c>
      <c r="AP357" s="35">
        <f>IF((OR(R357="A",R357="B",R357="C")),INDEX(Coefficients!$S$4:$S$22,MATCH(J357,Coefficients!$R$4:$R$22)),INDEX(Coefficients!$T$4:$T$22,MATCH(J357,Coefficients!$R$4:$R$22)))</f>
        <v>1.3</v>
      </c>
      <c r="AQ357" s="27">
        <f>IF((OR(R357="A",R357="B",R357="C")),INDEX(Coefficients!$S$4:$S$22,MATCH(K357,Coefficients!$R$4:$R$22)),INDEX(Coefficients!$T$4:$T$22,MATCH(K357,Coefficients!$R$4:$R$22)))</f>
        <v>25</v>
      </c>
      <c r="AR357" s="27">
        <f>IF(OR(R357="A",R357="B",R357="C",R357="D"),IF(AN357&gt;=11,IF(AN357&gt;=26,Coefficients!$M$6,Coefficients!$M$5),Coefficients!$M$4),IF(AN357&gt;=11,IF(AN357&gt;=26,Coefficients!$N$6,Coefficients!$N$5),Coefficients!$N$4))</f>
        <v>1</v>
      </c>
      <c r="AS357" s="27">
        <f>INDEX(Coefficients!$X$3:$X$4,MATCH(S357,Coefficients!$W$3:$W$4))</f>
        <v>1</v>
      </c>
      <c r="AT357" s="27">
        <f>INDEX(Coefficients!$X$7:$X$8,MATCH(O357,Coefficients!$W$7:$W$8))</f>
        <v>1</v>
      </c>
      <c r="AU357" s="27">
        <f>INDEX(Coefficients!$X$11:$X$12,MATCH(P357,Coefficients!$W$11:$W$12))</f>
        <v>1</v>
      </c>
      <c r="AV357" s="27">
        <f>INDEX(Coefficients!$X$15:$X$17,MATCH(Q357,Coefficients!$W$15:$W$17))</f>
        <v>1</v>
      </c>
      <c r="AW357" s="27">
        <f t="shared" si="304"/>
        <v>1</v>
      </c>
      <c r="AX357" s="27">
        <f t="shared" si="305"/>
        <v>1</v>
      </c>
      <c r="AY357" s="27">
        <f t="shared" si="306"/>
        <v>1.3</v>
      </c>
      <c r="AZ357" s="35">
        <f t="shared" si="307"/>
        <v>48.071262169807547</v>
      </c>
      <c r="BA357" s="35">
        <f t="shared" si="308"/>
        <v>0</v>
      </c>
      <c r="BB357" s="35">
        <f t="shared" si="309"/>
        <v>2.4997056328299925</v>
      </c>
      <c r="BC357" s="35">
        <f t="shared" si="310"/>
        <v>1.7500294367170008</v>
      </c>
      <c r="BD357" s="35">
        <f t="shared" si="313"/>
        <v>0.41604898846532762</v>
      </c>
      <c r="BE357" s="16">
        <f t="shared" si="314"/>
        <v>149.56954573223982</v>
      </c>
      <c r="BF357" s="16">
        <f t="shared" si="315"/>
        <v>100.86090853552037</v>
      </c>
      <c r="BG357" s="25">
        <f t="shared" si="316"/>
        <v>1</v>
      </c>
      <c r="BH357" s="35">
        <f t="shared" si="317"/>
        <v>329.0530006109276</v>
      </c>
      <c r="BI357" s="35">
        <f t="shared" si="318"/>
        <v>-258.10600122185519</v>
      </c>
      <c r="BJ357" s="35">
        <f t="shared" si="319"/>
        <v>34.169846768669068</v>
      </c>
    </row>
    <row r="358" spans="2:62">
      <c r="B358" s="35" t="s">
        <v>133</v>
      </c>
      <c r="C358" s="84" t="str">
        <f>MostLikely!$B$1</f>
        <v>MRI-CGCM2.3.2</v>
      </c>
      <c r="D358" s="89">
        <v>2060</v>
      </c>
      <c r="E358" s="57">
        <f>'Cooler&amp;Wetter'!AA88</f>
        <v>35.634999999999998</v>
      </c>
      <c r="F358" s="90">
        <f>MostLikely!AD88</f>
        <v>22.762316599999998</v>
      </c>
      <c r="G358" s="35">
        <f t="shared" si="300"/>
        <v>2005</v>
      </c>
      <c r="H358" s="91" t="str">
        <f t="shared" si="280"/>
        <v>Pile 32 @ Berth 201</v>
      </c>
      <c r="I358" s="35" t="str">
        <f t="shared" si="281"/>
        <v>Turpentine Gum</v>
      </c>
      <c r="J358" s="35" t="str">
        <f t="shared" si="282"/>
        <v>HW1</v>
      </c>
      <c r="K358" s="35" t="str">
        <f t="shared" si="301"/>
        <v>SPHU</v>
      </c>
      <c r="L358" s="35">
        <f t="shared" si="283"/>
        <v>400</v>
      </c>
      <c r="M358" s="35">
        <f t="shared" si="284"/>
        <v>20</v>
      </c>
      <c r="N358" s="35">
        <f t="shared" si="285"/>
        <v>200</v>
      </c>
      <c r="O358" s="35" t="str">
        <f t="shared" si="286"/>
        <v>MTN2</v>
      </c>
      <c r="P358" s="35" t="str">
        <f t="shared" si="287"/>
        <v>CNT2</v>
      </c>
      <c r="Q358" s="35" t="str">
        <f t="shared" si="288"/>
        <v>KNT3</v>
      </c>
      <c r="R358" s="35" t="str">
        <f t="shared" si="289"/>
        <v>E</v>
      </c>
      <c r="S358" s="35" t="str">
        <f t="shared" si="290"/>
        <v>EXP1</v>
      </c>
      <c r="T358" s="58"/>
      <c r="U358" s="58"/>
      <c r="V358" s="58"/>
      <c r="W358" s="58"/>
      <c r="X358" s="58"/>
      <c r="Y358" s="58"/>
      <c r="Z358" s="58"/>
      <c r="AA358" s="95">
        <f t="shared" si="320"/>
        <v>1</v>
      </c>
      <c r="AB358" s="96">
        <f t="shared" si="302"/>
        <v>152.4318117332019</v>
      </c>
      <c r="AC358" s="58"/>
      <c r="AD358" s="58"/>
      <c r="AE358" s="58"/>
      <c r="AF358" s="58"/>
      <c r="AG358" s="58"/>
      <c r="AH358" s="58"/>
      <c r="AI358" s="58"/>
      <c r="AJ358" s="58"/>
      <c r="AK358" s="58"/>
      <c r="AL358" s="58"/>
      <c r="AM358" s="89">
        <f t="shared" si="303"/>
        <v>55</v>
      </c>
      <c r="AN358" s="36">
        <f t="shared" si="311"/>
        <v>35.634999999999998</v>
      </c>
      <c r="AO358" s="35">
        <f t="shared" si="312"/>
        <v>1.928063372121811</v>
      </c>
      <c r="AP358" s="35">
        <f>IF((OR(R358="A",R358="B",R358="C")),INDEX(Coefficients!$S$4:$S$22,MATCH(J358,Coefficients!$R$4:$R$22)),INDEX(Coefficients!$T$4:$T$22,MATCH(J358,Coefficients!$R$4:$R$22)))</f>
        <v>1.3</v>
      </c>
      <c r="AQ358" s="27">
        <f>IF((OR(R358="A",R358="B",R358="C")),INDEX(Coefficients!$S$4:$S$22,MATCH(K358,Coefficients!$R$4:$R$22)),INDEX(Coefficients!$T$4:$T$22,MATCH(K358,Coefficients!$R$4:$R$22)))</f>
        <v>25</v>
      </c>
      <c r="AR358" s="27">
        <f>IF(OR(R358="A",R358="B",R358="C",R358="D"),IF(AN358&gt;=11,IF(AN358&gt;=26,Coefficients!$M$6,Coefficients!$M$5),Coefficients!$M$4),IF(AN358&gt;=11,IF(AN358&gt;=26,Coefficients!$N$6,Coefficients!$N$5),Coefficients!$N$4))</f>
        <v>1</v>
      </c>
      <c r="AS358" s="27">
        <f>INDEX(Coefficients!$X$3:$X$4,MATCH(S358,Coefficients!$W$3:$W$4))</f>
        <v>1</v>
      </c>
      <c r="AT358" s="27">
        <f>INDEX(Coefficients!$X$7:$X$8,MATCH(O358,Coefficients!$W$7:$W$8))</f>
        <v>1</v>
      </c>
      <c r="AU358" s="27">
        <f>INDEX(Coefficients!$X$11:$X$12,MATCH(P358,Coefficients!$W$11:$W$12))</f>
        <v>1</v>
      </c>
      <c r="AV358" s="27">
        <f>INDEX(Coefficients!$X$15:$X$17,MATCH(Q358,Coefficients!$W$15:$W$17))</f>
        <v>1</v>
      </c>
      <c r="AW358" s="27">
        <f t="shared" si="304"/>
        <v>1</v>
      </c>
      <c r="AX358" s="27">
        <f t="shared" si="305"/>
        <v>1</v>
      </c>
      <c r="AY358" s="27">
        <f t="shared" si="306"/>
        <v>1.3</v>
      </c>
      <c r="AZ358" s="35">
        <f t="shared" si="307"/>
        <v>48.201584303045273</v>
      </c>
      <c r="BA358" s="35">
        <f t="shared" si="308"/>
        <v>0</v>
      </c>
      <c r="BB358" s="35">
        <f t="shared" si="309"/>
        <v>2.5064823837583545</v>
      </c>
      <c r="BC358" s="35">
        <f t="shared" si="310"/>
        <v>1.7493517616241645</v>
      </c>
      <c r="BD358" s="35">
        <f t="shared" si="313"/>
        <v>0.41492412104671095</v>
      </c>
      <c r="BE358" s="16">
        <f t="shared" si="314"/>
        <v>152.4318117332019</v>
      </c>
      <c r="BF358" s="16">
        <f t="shared" si="315"/>
        <v>95.136376533596206</v>
      </c>
      <c r="BG358" s="25">
        <f t="shared" si="316"/>
        <v>1</v>
      </c>
      <c r="BH358" s="35">
        <f t="shared" si="317"/>
        <v>335.34998581304421</v>
      </c>
      <c r="BI358" s="35">
        <f t="shared" si="318"/>
        <v>-270.69997162608843</v>
      </c>
      <c r="BJ358" s="35">
        <f t="shared" si="319"/>
        <v>34.081515963187094</v>
      </c>
    </row>
    <row r="359" spans="2:62">
      <c r="B359" s="35" t="s">
        <v>133</v>
      </c>
      <c r="C359" s="84" t="str">
        <f>MostLikely!$B$1</f>
        <v>MRI-CGCM2.3.2</v>
      </c>
      <c r="D359" s="89">
        <v>2061</v>
      </c>
      <c r="E359" s="57">
        <f>'Cooler&amp;Wetter'!AA89</f>
        <v>35.638500000000001</v>
      </c>
      <c r="F359" s="90">
        <f>MostLikely!AD89</f>
        <v>22.783142379999997</v>
      </c>
      <c r="G359" s="35">
        <f t="shared" si="300"/>
        <v>2005</v>
      </c>
      <c r="H359" s="91" t="str">
        <f t="shared" si="280"/>
        <v>Pile 32 @ Berth 201</v>
      </c>
      <c r="I359" s="35" t="str">
        <f t="shared" si="281"/>
        <v>Turpentine Gum</v>
      </c>
      <c r="J359" s="35" t="str">
        <f t="shared" si="282"/>
        <v>HW1</v>
      </c>
      <c r="K359" s="35" t="str">
        <f t="shared" si="301"/>
        <v>SPHU</v>
      </c>
      <c r="L359" s="35">
        <f t="shared" si="283"/>
        <v>400</v>
      </c>
      <c r="M359" s="35">
        <f t="shared" si="284"/>
        <v>20</v>
      </c>
      <c r="N359" s="35">
        <f t="shared" si="285"/>
        <v>200</v>
      </c>
      <c r="O359" s="35" t="str">
        <f t="shared" si="286"/>
        <v>MTN2</v>
      </c>
      <c r="P359" s="35" t="str">
        <f t="shared" si="287"/>
        <v>CNT2</v>
      </c>
      <c r="Q359" s="35" t="str">
        <f t="shared" si="288"/>
        <v>KNT3</v>
      </c>
      <c r="R359" s="35" t="str">
        <f t="shared" si="289"/>
        <v>E</v>
      </c>
      <c r="S359" s="35" t="str">
        <f t="shared" si="290"/>
        <v>EXP1</v>
      </c>
      <c r="T359" s="58"/>
      <c r="U359" s="58"/>
      <c r="V359" s="58"/>
      <c r="W359" s="58"/>
      <c r="X359" s="58"/>
      <c r="Y359" s="58"/>
      <c r="Z359" s="58"/>
      <c r="AA359" s="95">
        <f t="shared" si="320"/>
        <v>1</v>
      </c>
      <c r="AB359" s="96">
        <f t="shared" si="302"/>
        <v>155.30864173843904</v>
      </c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89">
        <f t="shared" si="303"/>
        <v>56</v>
      </c>
      <c r="AN359" s="36">
        <f t="shared" si="311"/>
        <v>35.638500000000001</v>
      </c>
      <c r="AO359" s="35">
        <f t="shared" si="312"/>
        <v>1.9332903896855456</v>
      </c>
      <c r="AP359" s="35">
        <f>IF((OR(R359="A",R359="B",R359="C")),INDEX(Coefficients!$S$4:$S$22,MATCH(J359,Coefficients!$R$4:$R$22)),INDEX(Coefficients!$T$4:$T$22,MATCH(J359,Coefficients!$R$4:$R$22)))</f>
        <v>1.3</v>
      </c>
      <c r="AQ359" s="27">
        <f>IF((OR(R359="A",R359="B",R359="C")),INDEX(Coefficients!$S$4:$S$22,MATCH(K359,Coefficients!$R$4:$R$22)),INDEX(Coefficients!$T$4:$T$22,MATCH(K359,Coefficients!$R$4:$R$22)))</f>
        <v>25</v>
      </c>
      <c r="AR359" s="27">
        <f>IF(OR(R359="A",R359="B",R359="C",R359="D"),IF(AN359&gt;=11,IF(AN359&gt;=26,Coefficients!$M$6,Coefficients!$M$5),Coefficients!$M$4),IF(AN359&gt;=11,IF(AN359&gt;=26,Coefficients!$N$6,Coefficients!$N$5),Coefficients!$N$4))</f>
        <v>1</v>
      </c>
      <c r="AS359" s="27">
        <f>INDEX(Coefficients!$X$3:$X$4,MATCH(S359,Coefficients!$W$3:$W$4))</f>
        <v>1</v>
      </c>
      <c r="AT359" s="27">
        <f>INDEX(Coefficients!$X$7:$X$8,MATCH(O359,Coefficients!$W$7:$W$8))</f>
        <v>1</v>
      </c>
      <c r="AU359" s="27">
        <f>INDEX(Coefficients!$X$11:$X$12,MATCH(P359,Coefficients!$W$11:$W$12))</f>
        <v>1</v>
      </c>
      <c r="AV359" s="27">
        <f>INDEX(Coefficients!$X$15:$X$17,MATCH(Q359,Coefficients!$W$15:$W$17))</f>
        <v>1</v>
      </c>
      <c r="AW359" s="27">
        <f t="shared" si="304"/>
        <v>1</v>
      </c>
      <c r="AX359" s="27">
        <f t="shared" si="305"/>
        <v>1</v>
      </c>
      <c r="AY359" s="27">
        <f t="shared" si="306"/>
        <v>1.3</v>
      </c>
      <c r="AZ359" s="35">
        <f t="shared" si="307"/>
        <v>48.332259742138639</v>
      </c>
      <c r="BA359" s="35">
        <f t="shared" si="308"/>
        <v>0</v>
      </c>
      <c r="BB359" s="35">
        <f t="shared" si="309"/>
        <v>2.5132775065912094</v>
      </c>
      <c r="BC359" s="35">
        <f t="shared" si="310"/>
        <v>1.7486722493408791</v>
      </c>
      <c r="BD359" s="35">
        <f t="shared" si="313"/>
        <v>0.4138022949206932</v>
      </c>
      <c r="BE359" s="16">
        <f t="shared" si="314"/>
        <v>155.30864173843904</v>
      </c>
      <c r="BF359" s="16">
        <f t="shared" si="315"/>
        <v>89.382716523121928</v>
      </c>
      <c r="BG359" s="25">
        <f t="shared" si="316"/>
        <v>1</v>
      </c>
      <c r="BH359" s="35">
        <f t="shared" si="317"/>
        <v>341.67901182456592</v>
      </c>
      <c r="BI359" s="35">
        <f t="shared" si="318"/>
        <v>-283.35802364913184</v>
      </c>
      <c r="BJ359" s="35">
        <f t="shared" si="319"/>
        <v>33.993420307391816</v>
      </c>
    </row>
    <row r="360" spans="2:62">
      <c r="B360" s="35" t="s">
        <v>133</v>
      </c>
      <c r="C360" s="84" t="str">
        <f>MostLikely!$B$1</f>
        <v>MRI-CGCM2.3.2</v>
      </c>
      <c r="D360" s="89">
        <v>2062</v>
      </c>
      <c r="E360" s="57">
        <f>'Cooler&amp;Wetter'!AA90</f>
        <v>35.642000000000003</v>
      </c>
      <c r="F360" s="90">
        <f>MostLikely!AD90</f>
        <v>22.80396816</v>
      </c>
      <c r="G360" s="35">
        <f t="shared" si="300"/>
        <v>2005</v>
      </c>
      <c r="H360" s="91" t="str">
        <f t="shared" si="280"/>
        <v>Pile 32 @ Berth 201</v>
      </c>
      <c r="I360" s="35" t="str">
        <f t="shared" si="281"/>
        <v>Turpentine Gum</v>
      </c>
      <c r="J360" s="35" t="str">
        <f t="shared" si="282"/>
        <v>HW1</v>
      </c>
      <c r="K360" s="35" t="str">
        <f t="shared" si="301"/>
        <v>SPHU</v>
      </c>
      <c r="L360" s="35">
        <f t="shared" si="283"/>
        <v>400</v>
      </c>
      <c r="M360" s="35">
        <f t="shared" si="284"/>
        <v>20</v>
      </c>
      <c r="N360" s="35">
        <f t="shared" si="285"/>
        <v>200</v>
      </c>
      <c r="O360" s="35" t="str">
        <f t="shared" si="286"/>
        <v>MTN2</v>
      </c>
      <c r="P360" s="35" t="str">
        <f t="shared" si="287"/>
        <v>CNT2</v>
      </c>
      <c r="Q360" s="35" t="str">
        <f t="shared" si="288"/>
        <v>KNT3</v>
      </c>
      <c r="R360" s="35" t="str">
        <f t="shared" si="289"/>
        <v>E</v>
      </c>
      <c r="S360" s="35" t="str">
        <f t="shared" si="290"/>
        <v>EXP1</v>
      </c>
      <c r="T360" s="58"/>
      <c r="U360" s="58"/>
      <c r="V360" s="58"/>
      <c r="W360" s="58"/>
      <c r="X360" s="58"/>
      <c r="Y360" s="58"/>
      <c r="Z360" s="58"/>
      <c r="AA360" s="95">
        <f t="shared" si="320"/>
        <v>1</v>
      </c>
      <c r="AB360" s="96">
        <f t="shared" si="302"/>
        <v>158.20009370303438</v>
      </c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89">
        <f t="shared" si="303"/>
        <v>57</v>
      </c>
      <c r="AN360" s="36">
        <f t="shared" si="311"/>
        <v>35.642000000000003</v>
      </c>
      <c r="AO360" s="35">
        <f t="shared" si="312"/>
        <v>1.9385315777962688</v>
      </c>
      <c r="AP360" s="35">
        <f>IF((OR(R360="A",R360="B",R360="C")),INDEX(Coefficients!$S$4:$S$22,MATCH(J360,Coefficients!$R$4:$R$22)),INDEX(Coefficients!$T$4:$T$22,MATCH(J360,Coefficients!$R$4:$R$22)))</f>
        <v>1.3</v>
      </c>
      <c r="AQ360" s="27">
        <f>IF((OR(R360="A",R360="B",R360="C")),INDEX(Coefficients!$S$4:$S$22,MATCH(K360,Coefficients!$R$4:$R$22)),INDEX(Coefficients!$T$4:$T$22,MATCH(K360,Coefficients!$R$4:$R$22)))</f>
        <v>25</v>
      </c>
      <c r="AR360" s="27">
        <f>IF(OR(R360="A",R360="B",R360="C",R360="D"),IF(AN360&gt;=11,IF(AN360&gt;=26,Coefficients!$M$6,Coefficients!$M$5),Coefficients!$M$4),IF(AN360&gt;=11,IF(AN360&gt;=26,Coefficients!$N$6,Coefficients!$N$5),Coefficients!$N$4))</f>
        <v>1</v>
      </c>
      <c r="AS360" s="27">
        <f>INDEX(Coefficients!$X$3:$X$4,MATCH(S360,Coefficients!$W$3:$W$4))</f>
        <v>1</v>
      </c>
      <c r="AT360" s="27">
        <f>INDEX(Coefficients!$X$7:$X$8,MATCH(O360,Coefficients!$W$7:$W$8))</f>
        <v>1</v>
      </c>
      <c r="AU360" s="27">
        <f>INDEX(Coefficients!$X$11:$X$12,MATCH(P360,Coefficients!$W$11:$W$12))</f>
        <v>1</v>
      </c>
      <c r="AV360" s="27">
        <f>INDEX(Coefficients!$X$15:$X$17,MATCH(Q360,Coefficients!$W$15:$W$17))</f>
        <v>1</v>
      </c>
      <c r="AW360" s="27">
        <f t="shared" si="304"/>
        <v>1</v>
      </c>
      <c r="AX360" s="27">
        <f t="shared" si="305"/>
        <v>1</v>
      </c>
      <c r="AY360" s="27">
        <f t="shared" si="306"/>
        <v>1.3</v>
      </c>
      <c r="AZ360" s="35">
        <f t="shared" si="307"/>
        <v>48.463289444906721</v>
      </c>
      <c r="BA360" s="35">
        <f t="shared" si="308"/>
        <v>0</v>
      </c>
      <c r="BB360" s="35">
        <f t="shared" si="309"/>
        <v>2.5200910511351498</v>
      </c>
      <c r="BC360" s="35">
        <f t="shared" si="310"/>
        <v>1.7479908948864851</v>
      </c>
      <c r="BD360" s="35">
        <f t="shared" si="313"/>
        <v>0.4126835018645626</v>
      </c>
      <c r="BE360" s="16">
        <f t="shared" si="314"/>
        <v>158.20009370303438</v>
      </c>
      <c r="BF360" s="16">
        <f t="shared" si="315"/>
        <v>83.599812593931233</v>
      </c>
      <c r="BG360" s="25">
        <f t="shared" si="316"/>
        <v>1</v>
      </c>
      <c r="BH360" s="35">
        <f t="shared" si="317"/>
        <v>348.04020614667564</v>
      </c>
      <c r="BI360" s="35">
        <f t="shared" si="318"/>
        <v>-296.08041229335129</v>
      </c>
      <c r="BJ360" s="35">
        <f t="shared" si="319"/>
        <v>33.905559155563552</v>
      </c>
    </row>
    <row r="361" spans="2:62">
      <c r="B361" s="35" t="s">
        <v>133</v>
      </c>
      <c r="C361" s="84" t="str">
        <f>MostLikely!$B$1</f>
        <v>MRI-CGCM2.3.2</v>
      </c>
      <c r="D361" s="89">
        <v>2063</v>
      </c>
      <c r="E361" s="57">
        <f>'Cooler&amp;Wetter'!AA91</f>
        <v>35.645499999999998</v>
      </c>
      <c r="F361" s="90">
        <f>MostLikely!AD91</f>
        <v>22.824793939999999</v>
      </c>
      <c r="G361" s="35">
        <f t="shared" si="300"/>
        <v>2005</v>
      </c>
      <c r="H361" s="91" t="str">
        <f t="shared" si="280"/>
        <v>Pile 32 @ Berth 201</v>
      </c>
      <c r="I361" s="35" t="str">
        <f t="shared" si="281"/>
        <v>Turpentine Gum</v>
      </c>
      <c r="J361" s="35" t="str">
        <f t="shared" si="282"/>
        <v>HW1</v>
      </c>
      <c r="K361" s="35" t="str">
        <f t="shared" si="301"/>
        <v>SPHU</v>
      </c>
      <c r="L361" s="35">
        <f t="shared" si="283"/>
        <v>400</v>
      </c>
      <c r="M361" s="35">
        <f t="shared" si="284"/>
        <v>20</v>
      </c>
      <c r="N361" s="35">
        <f t="shared" si="285"/>
        <v>200</v>
      </c>
      <c r="O361" s="35" t="str">
        <f t="shared" si="286"/>
        <v>MTN2</v>
      </c>
      <c r="P361" s="35" t="str">
        <f t="shared" si="287"/>
        <v>CNT2</v>
      </c>
      <c r="Q361" s="35" t="str">
        <f t="shared" si="288"/>
        <v>KNT3</v>
      </c>
      <c r="R361" s="35" t="str">
        <f t="shared" si="289"/>
        <v>E</v>
      </c>
      <c r="S361" s="35" t="str">
        <f t="shared" si="290"/>
        <v>EXP1</v>
      </c>
      <c r="T361" s="58"/>
      <c r="U361" s="58"/>
      <c r="V361" s="58"/>
      <c r="W361" s="58"/>
      <c r="X361" s="58"/>
      <c r="Y361" s="58"/>
      <c r="Z361" s="58"/>
      <c r="AA361" s="95">
        <f t="shared" si="320"/>
        <v>1</v>
      </c>
      <c r="AB361" s="96">
        <f t="shared" si="302"/>
        <v>161.10622578940175</v>
      </c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89">
        <f t="shared" si="303"/>
        <v>58</v>
      </c>
      <c r="AN361" s="36">
        <f t="shared" si="311"/>
        <v>35.645499999999998</v>
      </c>
      <c r="AO361" s="35">
        <f t="shared" si="312"/>
        <v>1.94378697487061</v>
      </c>
      <c r="AP361" s="35">
        <f>IF((OR(R361="A",R361="B",R361="C")),INDEX(Coefficients!$S$4:$S$22,MATCH(J361,Coefficients!$R$4:$R$22)),INDEX(Coefficients!$T$4:$T$22,MATCH(J361,Coefficients!$R$4:$R$22)))</f>
        <v>1.3</v>
      </c>
      <c r="AQ361" s="27">
        <f>IF((OR(R361="A",R361="B",R361="C")),INDEX(Coefficients!$S$4:$S$22,MATCH(K361,Coefficients!$R$4:$R$22)),INDEX(Coefficients!$T$4:$T$22,MATCH(K361,Coefficients!$R$4:$R$22)))</f>
        <v>25</v>
      </c>
      <c r="AR361" s="27">
        <f>IF(OR(R361="A",R361="B",R361="C",R361="D"),IF(AN361&gt;=11,IF(AN361&gt;=26,Coefficients!$M$6,Coefficients!$M$5),Coefficients!$M$4),IF(AN361&gt;=11,IF(AN361&gt;=26,Coefficients!$N$6,Coefficients!$N$5),Coefficients!$N$4))</f>
        <v>1</v>
      </c>
      <c r="AS361" s="27">
        <f>INDEX(Coefficients!$X$3:$X$4,MATCH(S361,Coefficients!$W$3:$W$4))</f>
        <v>1</v>
      </c>
      <c r="AT361" s="27">
        <f>INDEX(Coefficients!$X$7:$X$8,MATCH(O361,Coefficients!$W$7:$W$8))</f>
        <v>1</v>
      </c>
      <c r="AU361" s="27">
        <f>INDEX(Coefficients!$X$11:$X$12,MATCH(P361,Coefficients!$W$11:$W$12))</f>
        <v>1</v>
      </c>
      <c r="AV361" s="27">
        <f>INDEX(Coefficients!$X$15:$X$17,MATCH(Q361,Coefficients!$W$15:$W$17))</f>
        <v>1</v>
      </c>
      <c r="AW361" s="27">
        <f t="shared" si="304"/>
        <v>1</v>
      </c>
      <c r="AX361" s="27">
        <f t="shared" si="305"/>
        <v>1</v>
      </c>
      <c r="AY361" s="27">
        <f t="shared" si="306"/>
        <v>1.3</v>
      </c>
      <c r="AZ361" s="35">
        <f t="shared" si="307"/>
        <v>48.594674371765251</v>
      </c>
      <c r="BA361" s="35">
        <f t="shared" si="308"/>
        <v>0</v>
      </c>
      <c r="BB361" s="35">
        <f t="shared" si="309"/>
        <v>2.5269230673317931</v>
      </c>
      <c r="BC361" s="35">
        <f t="shared" si="310"/>
        <v>1.7473076932668206</v>
      </c>
      <c r="BD361" s="35">
        <f t="shared" si="313"/>
        <v>0.41156773367783922</v>
      </c>
      <c r="BE361" s="16">
        <f t="shared" si="314"/>
        <v>161.10622578940175</v>
      </c>
      <c r="BF361" s="16">
        <f t="shared" si="315"/>
        <v>77.787548421196504</v>
      </c>
      <c r="BG361" s="25">
        <f t="shared" si="316"/>
        <v>1</v>
      </c>
      <c r="BH361" s="35">
        <f t="shared" si="317"/>
        <v>354.43369673668388</v>
      </c>
      <c r="BI361" s="35">
        <f t="shared" si="318"/>
        <v>-308.86739347336777</v>
      </c>
      <c r="BJ361" s="35">
        <f t="shared" si="319"/>
        <v>33.817931863701524</v>
      </c>
    </row>
    <row r="362" spans="2:62">
      <c r="B362" s="35" t="s">
        <v>133</v>
      </c>
      <c r="C362" s="84" t="str">
        <f>MostLikely!$B$1</f>
        <v>MRI-CGCM2.3.2</v>
      </c>
      <c r="D362" s="89">
        <v>2064</v>
      </c>
      <c r="E362" s="57">
        <f>'Cooler&amp;Wetter'!AA92</f>
        <v>35.649000000000001</v>
      </c>
      <c r="F362" s="90">
        <f>MostLikely!AD92</f>
        <v>22.845619719999998</v>
      </c>
      <c r="G362" s="35">
        <f t="shared" si="300"/>
        <v>2005</v>
      </c>
      <c r="H362" s="91" t="str">
        <f t="shared" ref="H362:H368" si="321">$H$10</f>
        <v>Pile 32 @ Berth 201</v>
      </c>
      <c r="I362" s="35" t="str">
        <f t="shared" ref="I362:I368" si="322">$I$10</f>
        <v>Turpentine Gum</v>
      </c>
      <c r="J362" s="35" t="str">
        <f t="shared" ref="J362:J368" si="323">$J$10</f>
        <v>HW1</v>
      </c>
      <c r="K362" s="35" t="str">
        <f t="shared" si="301"/>
        <v>SPHU</v>
      </c>
      <c r="L362" s="35">
        <f t="shared" ref="L362:L368" si="324">$L$10</f>
        <v>400</v>
      </c>
      <c r="M362" s="35">
        <f t="shared" ref="M362:M368" si="325">$M$10</f>
        <v>20</v>
      </c>
      <c r="N362" s="35">
        <f t="shared" ref="N362:N368" si="326">$N$10</f>
        <v>200</v>
      </c>
      <c r="O362" s="35" t="str">
        <f t="shared" ref="O362:O368" si="327">$O$10</f>
        <v>MTN2</v>
      </c>
      <c r="P362" s="35" t="str">
        <f t="shared" ref="P362:P368" si="328">$P$10</f>
        <v>CNT2</v>
      </c>
      <c r="Q362" s="35" t="str">
        <f t="shared" ref="Q362:Q368" si="329">$Q$10</f>
        <v>KNT3</v>
      </c>
      <c r="R362" s="35" t="str">
        <f t="shared" ref="R362:R368" si="330">$R$10</f>
        <v>E</v>
      </c>
      <c r="S362" s="35" t="str">
        <f t="shared" ref="S362:S368" si="331">$S$10</f>
        <v>EXP1</v>
      </c>
      <c r="T362" s="58"/>
      <c r="U362" s="58"/>
      <c r="V362" s="58"/>
      <c r="W362" s="58"/>
      <c r="X362" s="58"/>
      <c r="Y362" s="58"/>
      <c r="Z362" s="58"/>
      <c r="AA362" s="95">
        <f t="shared" si="320"/>
        <v>1</v>
      </c>
      <c r="AB362" s="96">
        <f t="shared" si="302"/>
        <v>164.02709636798505</v>
      </c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89">
        <f t="shared" si="303"/>
        <v>59</v>
      </c>
      <c r="AN362" s="36">
        <f t="shared" ref="AN362:AN368" si="332">E362</f>
        <v>35.649000000000001</v>
      </c>
      <c r="AO362" s="35">
        <f t="shared" ref="AO362:AO368" si="333">0.1*EXP(0.13*F362)</f>
        <v>1.949056619429349</v>
      </c>
      <c r="AP362" s="35">
        <f>IF((OR(R362="A",R362="B",R362="C")),INDEX(Coefficients!$S$4:$S$22,MATCH(J362,Coefficients!$R$4:$R$22)),INDEX(Coefficients!$T$4:$T$22,MATCH(J362,Coefficients!$R$4:$R$22)))</f>
        <v>1.3</v>
      </c>
      <c r="AQ362" s="27">
        <f>IF((OR(R362="A",R362="B",R362="C")),INDEX(Coefficients!$S$4:$S$22,MATCH(K362,Coefficients!$R$4:$R$22)),INDEX(Coefficients!$T$4:$T$22,MATCH(K362,Coefficients!$R$4:$R$22)))</f>
        <v>25</v>
      </c>
      <c r="AR362" s="27">
        <f>IF(OR(R362="A",R362="B",R362="C",R362="D"),IF(AN362&gt;=11,IF(AN362&gt;=26,Coefficients!$M$6,Coefficients!$M$5),Coefficients!$M$4),IF(AN362&gt;=11,IF(AN362&gt;=26,Coefficients!$N$6,Coefficients!$N$5),Coefficients!$N$4))</f>
        <v>1</v>
      </c>
      <c r="AS362" s="27">
        <f>INDEX(Coefficients!$X$3:$X$4,MATCH(S362,Coefficients!$W$3:$W$4))</f>
        <v>1</v>
      </c>
      <c r="AT362" s="27">
        <f>INDEX(Coefficients!$X$7:$X$8,MATCH(O362,Coefficients!$W$7:$W$8))</f>
        <v>1</v>
      </c>
      <c r="AU362" s="27">
        <f>INDEX(Coefficients!$X$11:$X$12,MATCH(P362,Coefficients!$W$11:$W$12))</f>
        <v>1</v>
      </c>
      <c r="AV362" s="27">
        <f>INDEX(Coefficients!$X$15:$X$17,MATCH(Q362,Coefficients!$W$15:$W$17))</f>
        <v>1</v>
      </c>
      <c r="AW362" s="27">
        <f t="shared" si="304"/>
        <v>1</v>
      </c>
      <c r="AX362" s="27">
        <f t="shared" si="305"/>
        <v>1</v>
      </c>
      <c r="AY362" s="27">
        <f t="shared" si="306"/>
        <v>1.3</v>
      </c>
      <c r="AZ362" s="35">
        <f t="shared" si="307"/>
        <v>48.726415485733725</v>
      </c>
      <c r="BA362" s="35">
        <f t="shared" si="308"/>
        <v>0</v>
      </c>
      <c r="BB362" s="35">
        <f t="shared" si="309"/>
        <v>2.5337736052581539</v>
      </c>
      <c r="BC362" s="35">
        <f t="shared" si="310"/>
        <v>1.7466226394741846</v>
      </c>
      <c r="BD362" s="35">
        <f t="shared" ref="BD362:BD368" si="334">M362/AZ362+BA362</f>
        <v>0.41045498218221416</v>
      </c>
      <c r="BE362" s="16">
        <f t="shared" ref="BE362:BE368" si="335">IF(AM362&lt;=0,0,IF(AM362&gt;(BD362+BC362),M362+(AM362-BD362-BC362)*BB362,M362))</f>
        <v>164.02709636798505</v>
      </c>
      <c r="BF362" s="16">
        <f t="shared" ref="BF362:BF368" si="336">L362-2*BE362</f>
        <v>71.945807264029895</v>
      </c>
      <c r="BG362" s="25">
        <f t="shared" ref="BG362:BG368" si="337">IF(2*BE362&gt;(L362-N362),1,BE362/((L362-N362)/2))</f>
        <v>1</v>
      </c>
      <c r="BH362" s="35">
        <f t="shared" ref="BH362:BH368" si="338">BE362*(1+$BF$1*$BF$2)</f>
        <v>360.85961200956717</v>
      </c>
      <c r="BI362" s="35">
        <f t="shared" ref="BI362:BI368" si="339">L362-2*BH362</f>
        <v>-321.71922401913434</v>
      </c>
      <c r="BJ362" s="35">
        <f t="shared" ref="BJ362:BJ368" si="340">($BF$3/2-M362)/BB362+BD362+BC362</f>
        <v>33.730537789519019</v>
      </c>
    </row>
    <row r="363" spans="2:62">
      <c r="B363" s="35" t="s">
        <v>133</v>
      </c>
      <c r="C363" s="84" t="str">
        <f>MostLikely!$B$1</f>
        <v>MRI-CGCM2.3.2</v>
      </c>
      <c r="D363" s="89">
        <v>2065</v>
      </c>
      <c r="E363" s="57">
        <f>'Cooler&amp;Wetter'!AA93</f>
        <v>35.652500000000003</v>
      </c>
      <c r="F363" s="90">
        <f>MostLikely!AD93</f>
        <v>22.866445500000001</v>
      </c>
      <c r="G363" s="35">
        <f t="shared" ref="G363:G368" si="341">$G$10</f>
        <v>2005</v>
      </c>
      <c r="H363" s="91" t="str">
        <f t="shared" si="321"/>
        <v>Pile 32 @ Berth 201</v>
      </c>
      <c r="I363" s="35" t="str">
        <f t="shared" si="322"/>
        <v>Turpentine Gum</v>
      </c>
      <c r="J363" s="35" t="str">
        <f t="shared" si="323"/>
        <v>HW1</v>
      </c>
      <c r="K363" s="35" t="str">
        <f t="shared" ref="K363:K368" si="342">$K$10</f>
        <v>SPHU</v>
      </c>
      <c r="L363" s="35">
        <f t="shared" si="324"/>
        <v>400</v>
      </c>
      <c r="M363" s="35">
        <f t="shared" si="325"/>
        <v>20</v>
      </c>
      <c r="N363" s="35">
        <f t="shared" si="326"/>
        <v>200</v>
      </c>
      <c r="O363" s="35" t="str">
        <f t="shared" si="327"/>
        <v>MTN2</v>
      </c>
      <c r="P363" s="35" t="str">
        <f t="shared" si="328"/>
        <v>CNT2</v>
      </c>
      <c r="Q363" s="35" t="str">
        <f t="shared" si="329"/>
        <v>KNT3</v>
      </c>
      <c r="R363" s="35" t="str">
        <f t="shared" si="330"/>
        <v>E</v>
      </c>
      <c r="S363" s="35" t="str">
        <f t="shared" si="331"/>
        <v>EXP1</v>
      </c>
      <c r="T363" s="58"/>
      <c r="U363" s="58"/>
      <c r="V363" s="58"/>
      <c r="W363" s="58"/>
      <c r="X363" s="58"/>
      <c r="Y363" s="58"/>
      <c r="Z363" s="58"/>
      <c r="AA363" s="95">
        <f t="shared" si="320"/>
        <v>1</v>
      </c>
      <c r="AB363" s="96">
        <f t="shared" ref="AB363:AB368" si="343">BE363</f>
        <v>166.96276401795913</v>
      </c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89">
        <f t="shared" ref="AM363:AM368" si="344">MAX(0,D363-G363)</f>
        <v>60</v>
      </c>
      <c r="AN363" s="36">
        <f t="shared" si="332"/>
        <v>35.652500000000003</v>
      </c>
      <c r="AO363" s="35">
        <f t="shared" si="333"/>
        <v>1.9543405500976967</v>
      </c>
      <c r="AP363" s="35">
        <f>IF((OR(R363="A",R363="B",R363="C")),INDEX(Coefficients!$S$4:$S$22,MATCH(J363,Coefficients!$R$4:$R$22)),INDEX(Coefficients!$T$4:$T$22,MATCH(J363,Coefficients!$R$4:$R$22)))</f>
        <v>1.3</v>
      </c>
      <c r="AQ363" s="27">
        <f>IF((OR(R363="A",R363="B",R363="C")),INDEX(Coefficients!$S$4:$S$22,MATCH(K363,Coefficients!$R$4:$R$22)),INDEX(Coefficients!$T$4:$T$22,MATCH(K363,Coefficients!$R$4:$R$22)))</f>
        <v>25</v>
      </c>
      <c r="AR363" s="27">
        <f>IF(OR(R363="A",R363="B",R363="C",R363="D"),IF(AN363&gt;=11,IF(AN363&gt;=26,Coefficients!$M$6,Coefficients!$M$5),Coefficients!$M$4),IF(AN363&gt;=11,IF(AN363&gt;=26,Coefficients!$N$6,Coefficients!$N$5),Coefficients!$N$4))</f>
        <v>1</v>
      </c>
      <c r="AS363" s="27">
        <f>INDEX(Coefficients!$X$3:$X$4,MATCH(S363,Coefficients!$W$3:$W$4))</f>
        <v>1</v>
      </c>
      <c r="AT363" s="27">
        <f>INDEX(Coefficients!$X$7:$X$8,MATCH(O363,Coefficients!$W$7:$W$8))</f>
        <v>1</v>
      </c>
      <c r="AU363" s="27">
        <f>INDEX(Coefficients!$X$11:$X$12,MATCH(P363,Coefficients!$W$11:$W$12))</f>
        <v>1</v>
      </c>
      <c r="AV363" s="27">
        <f>INDEX(Coefficients!$X$15:$X$17,MATCH(Q363,Coefficients!$W$15:$W$17))</f>
        <v>1</v>
      </c>
      <c r="AW363" s="27">
        <f t="shared" ref="AW363:AW368" si="345">AR363*AS363</f>
        <v>1</v>
      </c>
      <c r="AX363" s="27">
        <f t="shared" ref="AX363:AX368" si="346">AT363*AU363*AV363</f>
        <v>1</v>
      </c>
      <c r="AY363" s="27">
        <f t="shared" ref="AY363:AY368" si="347">AP363*AR363*AS363*AT363*AU363*AV363</f>
        <v>1.3</v>
      </c>
      <c r="AZ363" s="35">
        <f t="shared" ref="AZ363:AZ368" si="348">AO363*AQ363*AW363*AX363</f>
        <v>48.85851375244242</v>
      </c>
      <c r="BA363" s="35">
        <f t="shared" ref="BA363:BA368" si="349">IF(AZ363&gt;=20,0,2-0.1*AZ363)</f>
        <v>0</v>
      </c>
      <c r="BB363" s="35">
        <f t="shared" ref="BB363:BB368" si="350">AO363*AP363*AR363*AS363*AT363*AU363*AV363</f>
        <v>2.5406427151270057</v>
      </c>
      <c r="BC363" s="35">
        <f t="shared" ref="BC363:BC368" si="351">IF(BB363&gt;=20,0,2-0.1*BB363)</f>
        <v>1.7459357284872994</v>
      </c>
      <c r="BD363" s="35">
        <f t="shared" si="334"/>
        <v>0.40934523922148996</v>
      </c>
      <c r="BE363" s="16">
        <f t="shared" si="335"/>
        <v>166.96276401795913</v>
      </c>
      <c r="BF363" s="16">
        <f t="shared" si="336"/>
        <v>66.074471964081738</v>
      </c>
      <c r="BG363" s="25">
        <f t="shared" si="337"/>
        <v>1</v>
      </c>
      <c r="BH363" s="35">
        <f t="shared" si="338"/>
        <v>367.31808083951012</v>
      </c>
      <c r="BI363" s="35">
        <f t="shared" si="339"/>
        <v>-334.63616167902023</v>
      </c>
      <c r="BJ363" s="35">
        <f t="shared" si="340"/>
        <v>33.643376292438788</v>
      </c>
    </row>
    <row r="364" spans="2:62">
      <c r="B364" s="35" t="s">
        <v>133</v>
      </c>
      <c r="C364" s="84" t="str">
        <f>MostLikely!$B$1</f>
        <v>MRI-CGCM2.3.2</v>
      </c>
      <c r="D364" s="89">
        <v>2066</v>
      </c>
      <c r="E364" s="57">
        <f>'Cooler&amp;Wetter'!AA94</f>
        <v>35.655999999999999</v>
      </c>
      <c r="F364" s="90">
        <f>MostLikely!AD94</f>
        <v>22.88727128</v>
      </c>
      <c r="G364" s="35">
        <f t="shared" si="341"/>
        <v>2005</v>
      </c>
      <c r="H364" s="91" t="str">
        <f t="shared" si="321"/>
        <v>Pile 32 @ Berth 201</v>
      </c>
      <c r="I364" s="35" t="str">
        <f t="shared" si="322"/>
        <v>Turpentine Gum</v>
      </c>
      <c r="J364" s="35" t="str">
        <f t="shared" si="323"/>
        <v>HW1</v>
      </c>
      <c r="K364" s="35" t="str">
        <f t="shared" si="342"/>
        <v>SPHU</v>
      </c>
      <c r="L364" s="35">
        <f t="shared" si="324"/>
        <v>400</v>
      </c>
      <c r="M364" s="35">
        <f t="shared" si="325"/>
        <v>20</v>
      </c>
      <c r="N364" s="35">
        <f t="shared" si="326"/>
        <v>200</v>
      </c>
      <c r="O364" s="35" t="str">
        <f t="shared" si="327"/>
        <v>MTN2</v>
      </c>
      <c r="P364" s="35" t="str">
        <f t="shared" si="328"/>
        <v>CNT2</v>
      </c>
      <c r="Q364" s="35" t="str">
        <f t="shared" si="329"/>
        <v>KNT3</v>
      </c>
      <c r="R364" s="35" t="str">
        <f t="shared" si="330"/>
        <v>E</v>
      </c>
      <c r="S364" s="35" t="str">
        <f t="shared" si="331"/>
        <v>EXP1</v>
      </c>
      <c r="T364" s="58"/>
      <c r="U364" s="58"/>
      <c r="V364" s="58"/>
      <c r="W364" s="58"/>
      <c r="X364" s="58"/>
      <c r="Y364" s="58"/>
      <c r="Z364" s="58"/>
      <c r="AA364" s="95">
        <f t="shared" si="320"/>
        <v>1</v>
      </c>
      <c r="AB364" s="96">
        <f t="shared" si="343"/>
        <v>169.91328752793297</v>
      </c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89">
        <f t="shared" si="344"/>
        <v>61</v>
      </c>
      <c r="AN364" s="36">
        <f t="shared" si="332"/>
        <v>35.655999999999999</v>
      </c>
      <c r="AO364" s="35">
        <f t="shared" si="333"/>
        <v>1.9596388056055725</v>
      </c>
      <c r="AP364" s="35">
        <f>IF((OR(R364="A",R364="B",R364="C")),INDEX(Coefficients!$S$4:$S$22,MATCH(J364,Coefficients!$R$4:$R$22)),INDEX(Coefficients!$T$4:$T$22,MATCH(J364,Coefficients!$R$4:$R$22)))</f>
        <v>1.3</v>
      </c>
      <c r="AQ364" s="27">
        <f>IF((OR(R364="A",R364="B",R364="C")),INDEX(Coefficients!$S$4:$S$22,MATCH(K364,Coefficients!$R$4:$R$22)),INDEX(Coefficients!$T$4:$T$22,MATCH(K364,Coefficients!$R$4:$R$22)))</f>
        <v>25</v>
      </c>
      <c r="AR364" s="27">
        <f>IF(OR(R364="A",R364="B",R364="C",R364="D"),IF(AN364&gt;=11,IF(AN364&gt;=26,Coefficients!$M$6,Coefficients!$M$5),Coefficients!$M$4),IF(AN364&gt;=11,IF(AN364&gt;=26,Coefficients!$N$6,Coefficients!$N$5),Coefficients!$N$4))</f>
        <v>1</v>
      </c>
      <c r="AS364" s="27">
        <f>INDEX(Coefficients!$X$3:$X$4,MATCH(S364,Coefficients!$W$3:$W$4))</f>
        <v>1</v>
      </c>
      <c r="AT364" s="27">
        <f>INDEX(Coefficients!$X$7:$X$8,MATCH(O364,Coefficients!$W$7:$W$8))</f>
        <v>1</v>
      </c>
      <c r="AU364" s="27">
        <f>INDEX(Coefficients!$X$11:$X$12,MATCH(P364,Coefficients!$W$11:$W$12))</f>
        <v>1</v>
      </c>
      <c r="AV364" s="27">
        <f>INDEX(Coefficients!$X$15:$X$17,MATCH(Q364,Coefficients!$W$15:$W$17))</f>
        <v>1</v>
      </c>
      <c r="AW364" s="27">
        <f t="shared" si="345"/>
        <v>1</v>
      </c>
      <c r="AX364" s="27">
        <f t="shared" si="346"/>
        <v>1</v>
      </c>
      <c r="AY364" s="27">
        <f t="shared" si="347"/>
        <v>1.3</v>
      </c>
      <c r="AZ364" s="35">
        <f t="shared" si="348"/>
        <v>48.990970140139311</v>
      </c>
      <c r="BA364" s="35">
        <f t="shared" si="349"/>
        <v>0</v>
      </c>
      <c r="BB364" s="35">
        <f t="shared" si="350"/>
        <v>2.5475304472872442</v>
      </c>
      <c r="BC364" s="35">
        <f t="shared" si="351"/>
        <v>1.7452469552712755</v>
      </c>
      <c r="BD364" s="35">
        <f t="shared" si="334"/>
        <v>0.40823849666152229</v>
      </c>
      <c r="BE364" s="16">
        <f t="shared" si="335"/>
        <v>169.91328752793297</v>
      </c>
      <c r="BF364" s="16">
        <f t="shared" si="336"/>
        <v>60.173424944134069</v>
      </c>
      <c r="BG364" s="25">
        <f t="shared" si="337"/>
        <v>1</v>
      </c>
      <c r="BH364" s="35">
        <f t="shared" si="338"/>
        <v>373.80923256145257</v>
      </c>
      <c r="BI364" s="35">
        <f t="shared" si="339"/>
        <v>-347.61846512290515</v>
      </c>
      <c r="BJ364" s="35">
        <f t="shared" si="340"/>
        <v>33.556446733588359</v>
      </c>
    </row>
    <row r="365" spans="2:62">
      <c r="B365" s="35" t="s">
        <v>133</v>
      </c>
      <c r="C365" s="84" t="str">
        <f>MostLikely!$B$1</f>
        <v>MRI-CGCM2.3.2</v>
      </c>
      <c r="D365" s="89">
        <v>2067</v>
      </c>
      <c r="E365" s="57">
        <f>'Cooler&amp;Wetter'!AA95</f>
        <v>35.659500000000001</v>
      </c>
      <c r="F365" s="90">
        <f>MostLikely!AD95</f>
        <v>22.908097059999999</v>
      </c>
      <c r="G365" s="35">
        <f t="shared" si="341"/>
        <v>2005</v>
      </c>
      <c r="H365" s="91" t="str">
        <f t="shared" si="321"/>
        <v>Pile 32 @ Berth 201</v>
      </c>
      <c r="I365" s="35" t="str">
        <f t="shared" si="322"/>
        <v>Turpentine Gum</v>
      </c>
      <c r="J365" s="35" t="str">
        <f t="shared" si="323"/>
        <v>HW1</v>
      </c>
      <c r="K365" s="35" t="str">
        <f t="shared" si="342"/>
        <v>SPHU</v>
      </c>
      <c r="L365" s="35">
        <f t="shared" si="324"/>
        <v>400</v>
      </c>
      <c r="M365" s="35">
        <f t="shared" si="325"/>
        <v>20</v>
      </c>
      <c r="N365" s="35">
        <f t="shared" si="326"/>
        <v>200</v>
      </c>
      <c r="O365" s="35" t="str">
        <f t="shared" si="327"/>
        <v>MTN2</v>
      </c>
      <c r="P365" s="35" t="str">
        <f t="shared" si="328"/>
        <v>CNT2</v>
      </c>
      <c r="Q365" s="35" t="str">
        <f t="shared" si="329"/>
        <v>KNT3</v>
      </c>
      <c r="R365" s="35" t="str">
        <f t="shared" si="330"/>
        <v>E</v>
      </c>
      <c r="S365" s="35" t="str">
        <f t="shared" si="331"/>
        <v>EXP1</v>
      </c>
      <c r="T365" s="58"/>
      <c r="U365" s="58"/>
      <c r="V365" s="58"/>
      <c r="W365" s="58"/>
      <c r="X365" s="58"/>
      <c r="Y365" s="58"/>
      <c r="Z365" s="58"/>
      <c r="AA365" s="95">
        <f t="shared" si="320"/>
        <v>1</v>
      </c>
      <c r="AB365" s="96">
        <f t="shared" si="343"/>
        <v>172.87872589665625</v>
      </c>
      <c r="AC365" s="58"/>
      <c r="AD365" s="58"/>
      <c r="AE365" s="58"/>
      <c r="AF365" s="58"/>
      <c r="AG365" s="58"/>
      <c r="AH365" s="58"/>
      <c r="AI365" s="58"/>
      <c r="AJ365" s="58"/>
      <c r="AK365" s="58"/>
      <c r="AL365" s="58"/>
      <c r="AM365" s="89">
        <f t="shared" si="344"/>
        <v>62</v>
      </c>
      <c r="AN365" s="36">
        <f t="shared" si="332"/>
        <v>35.659500000000001</v>
      </c>
      <c r="AO365" s="35">
        <f t="shared" si="333"/>
        <v>1.9649514247878987</v>
      </c>
      <c r="AP365" s="35">
        <f>IF((OR(R365="A",R365="B",R365="C")),INDEX(Coefficients!$S$4:$S$22,MATCH(J365,Coefficients!$R$4:$R$22)),INDEX(Coefficients!$T$4:$T$22,MATCH(J365,Coefficients!$R$4:$R$22)))</f>
        <v>1.3</v>
      </c>
      <c r="AQ365" s="27">
        <f>IF((OR(R365="A",R365="B",R365="C")),INDEX(Coefficients!$S$4:$S$22,MATCH(K365,Coefficients!$R$4:$R$22)),INDEX(Coefficients!$T$4:$T$22,MATCH(K365,Coefficients!$R$4:$R$22)))</f>
        <v>25</v>
      </c>
      <c r="AR365" s="27">
        <f>IF(OR(R365="A",R365="B",R365="C",R365="D"),IF(AN365&gt;=11,IF(AN365&gt;=26,Coefficients!$M$6,Coefficients!$M$5),Coefficients!$M$4),IF(AN365&gt;=11,IF(AN365&gt;=26,Coefficients!$N$6,Coefficients!$N$5),Coefficients!$N$4))</f>
        <v>1</v>
      </c>
      <c r="AS365" s="27">
        <f>INDEX(Coefficients!$X$3:$X$4,MATCH(S365,Coefficients!$W$3:$W$4))</f>
        <v>1</v>
      </c>
      <c r="AT365" s="27">
        <f>INDEX(Coefficients!$X$7:$X$8,MATCH(O365,Coefficients!$W$7:$W$8))</f>
        <v>1</v>
      </c>
      <c r="AU365" s="27">
        <f>INDEX(Coefficients!$X$11:$X$12,MATCH(P365,Coefficients!$W$11:$W$12))</f>
        <v>1</v>
      </c>
      <c r="AV365" s="27">
        <f>INDEX(Coefficients!$X$15:$X$17,MATCH(Q365,Coefficients!$W$15:$W$17))</f>
        <v>1</v>
      </c>
      <c r="AW365" s="27">
        <f t="shared" si="345"/>
        <v>1</v>
      </c>
      <c r="AX365" s="27">
        <f t="shared" si="346"/>
        <v>1</v>
      </c>
      <c r="AY365" s="27">
        <f t="shared" si="347"/>
        <v>1.3</v>
      </c>
      <c r="AZ365" s="35">
        <f t="shared" si="348"/>
        <v>49.123785619697472</v>
      </c>
      <c r="BA365" s="35">
        <f t="shared" si="349"/>
        <v>0</v>
      </c>
      <c r="BB365" s="35">
        <f t="shared" si="350"/>
        <v>2.5544368522242684</v>
      </c>
      <c r="BC365" s="35">
        <f t="shared" si="351"/>
        <v>1.7445563147775731</v>
      </c>
      <c r="BD365" s="35">
        <f t="shared" si="334"/>
        <v>0.40713474639015756</v>
      </c>
      <c r="BE365" s="16">
        <f t="shared" si="335"/>
        <v>172.87872589665625</v>
      </c>
      <c r="BF365" s="16">
        <f t="shared" si="336"/>
        <v>54.242548206687502</v>
      </c>
      <c r="BG365" s="25">
        <f t="shared" si="337"/>
        <v>1</v>
      </c>
      <c r="BH365" s="35">
        <f t="shared" si="338"/>
        <v>380.3331969726438</v>
      </c>
      <c r="BI365" s="35">
        <f t="shared" si="339"/>
        <v>-360.66639394528761</v>
      </c>
      <c r="BJ365" s="35">
        <f t="shared" si="340"/>
        <v>33.469748475795235</v>
      </c>
    </row>
    <row r="366" spans="2:62">
      <c r="B366" s="35" t="s">
        <v>133</v>
      </c>
      <c r="C366" s="84" t="str">
        <f>MostLikely!$B$1</f>
        <v>MRI-CGCM2.3.2</v>
      </c>
      <c r="D366" s="89">
        <v>2068</v>
      </c>
      <c r="E366" s="57">
        <f>'Cooler&amp;Wetter'!AA96</f>
        <v>35.662999999999997</v>
      </c>
      <c r="F366" s="90">
        <f>MostLikely!AD96</f>
        <v>22.928922840000002</v>
      </c>
      <c r="G366" s="35">
        <f t="shared" si="341"/>
        <v>2005</v>
      </c>
      <c r="H366" s="91" t="str">
        <f t="shared" si="321"/>
        <v>Pile 32 @ Berth 201</v>
      </c>
      <c r="I366" s="35" t="str">
        <f t="shared" si="322"/>
        <v>Turpentine Gum</v>
      </c>
      <c r="J366" s="35" t="str">
        <f t="shared" si="323"/>
        <v>HW1</v>
      </c>
      <c r="K366" s="35" t="str">
        <f t="shared" si="342"/>
        <v>SPHU</v>
      </c>
      <c r="L366" s="35">
        <f t="shared" si="324"/>
        <v>400</v>
      </c>
      <c r="M366" s="35">
        <f t="shared" si="325"/>
        <v>20</v>
      </c>
      <c r="N366" s="35">
        <f t="shared" si="326"/>
        <v>200</v>
      </c>
      <c r="O366" s="35" t="str">
        <f t="shared" si="327"/>
        <v>MTN2</v>
      </c>
      <c r="P366" s="35" t="str">
        <f t="shared" si="328"/>
        <v>CNT2</v>
      </c>
      <c r="Q366" s="35" t="str">
        <f t="shared" si="329"/>
        <v>KNT3</v>
      </c>
      <c r="R366" s="35" t="str">
        <f t="shared" si="330"/>
        <v>E</v>
      </c>
      <c r="S366" s="35" t="str">
        <f t="shared" si="331"/>
        <v>EXP1</v>
      </c>
      <c r="T366" s="58"/>
      <c r="U366" s="58"/>
      <c r="V366" s="58"/>
      <c r="W366" s="58"/>
      <c r="X366" s="58"/>
      <c r="Y366" s="58"/>
      <c r="Z366" s="58"/>
      <c r="AA366" s="95">
        <f t="shared" si="320"/>
        <v>1</v>
      </c>
      <c r="AB366" s="96">
        <f t="shared" si="343"/>
        <v>175.85913833372689</v>
      </c>
      <c r="AC366" s="58"/>
      <c r="AD366" s="58"/>
      <c r="AE366" s="58"/>
      <c r="AF366" s="58"/>
      <c r="AG366" s="58"/>
      <c r="AH366" s="58"/>
      <c r="AI366" s="58"/>
      <c r="AJ366" s="58"/>
      <c r="AK366" s="58"/>
      <c r="AL366" s="58"/>
      <c r="AM366" s="89">
        <f t="shared" si="344"/>
        <v>63</v>
      </c>
      <c r="AN366" s="36">
        <f t="shared" si="332"/>
        <v>35.662999999999997</v>
      </c>
      <c r="AO366" s="35">
        <f t="shared" si="333"/>
        <v>1.9702784465848788</v>
      </c>
      <c r="AP366" s="35">
        <f>IF((OR(R366="A",R366="B",R366="C")),INDEX(Coefficients!$S$4:$S$22,MATCH(J366,Coefficients!$R$4:$R$22)),INDEX(Coefficients!$T$4:$T$22,MATCH(J366,Coefficients!$R$4:$R$22)))</f>
        <v>1.3</v>
      </c>
      <c r="AQ366" s="27">
        <f>IF((OR(R366="A",R366="B",R366="C")),INDEX(Coefficients!$S$4:$S$22,MATCH(K366,Coefficients!$R$4:$R$22)),INDEX(Coefficients!$T$4:$T$22,MATCH(K366,Coefficients!$R$4:$R$22)))</f>
        <v>25</v>
      </c>
      <c r="AR366" s="27">
        <f>IF(OR(R366="A",R366="B",R366="C",R366="D"),IF(AN366&gt;=11,IF(AN366&gt;=26,Coefficients!$M$6,Coefficients!$M$5),Coefficients!$M$4),IF(AN366&gt;=11,IF(AN366&gt;=26,Coefficients!$N$6,Coefficients!$N$5),Coefficients!$N$4))</f>
        <v>1</v>
      </c>
      <c r="AS366" s="27">
        <f>INDEX(Coefficients!$X$3:$X$4,MATCH(S366,Coefficients!$W$3:$W$4))</f>
        <v>1</v>
      </c>
      <c r="AT366" s="27">
        <f>INDEX(Coefficients!$X$7:$X$8,MATCH(O366,Coefficients!$W$7:$W$8))</f>
        <v>1</v>
      </c>
      <c r="AU366" s="27">
        <f>INDEX(Coefficients!$X$11:$X$12,MATCH(P366,Coefficients!$W$11:$W$12))</f>
        <v>1</v>
      </c>
      <c r="AV366" s="27">
        <f>INDEX(Coefficients!$X$15:$X$17,MATCH(Q366,Coefficients!$W$15:$W$17))</f>
        <v>1</v>
      </c>
      <c r="AW366" s="27">
        <f t="shared" si="345"/>
        <v>1</v>
      </c>
      <c r="AX366" s="27">
        <f t="shared" si="346"/>
        <v>1</v>
      </c>
      <c r="AY366" s="27">
        <f t="shared" si="347"/>
        <v>1.3</v>
      </c>
      <c r="AZ366" s="35">
        <f t="shared" si="348"/>
        <v>49.25696116462197</v>
      </c>
      <c r="BA366" s="35">
        <f t="shared" si="349"/>
        <v>0</v>
      </c>
      <c r="BB366" s="35">
        <f t="shared" si="350"/>
        <v>2.5613619805603425</v>
      </c>
      <c r="BC366" s="35">
        <f t="shared" si="351"/>
        <v>1.7438638019439656</v>
      </c>
      <c r="BD366" s="35">
        <f t="shared" si="334"/>
        <v>0.40603398031717558</v>
      </c>
      <c r="BE366" s="16">
        <f t="shared" si="335"/>
        <v>175.85913833372689</v>
      </c>
      <c r="BF366" s="16">
        <f t="shared" si="336"/>
        <v>48.281723332546221</v>
      </c>
      <c r="BG366" s="25">
        <f t="shared" si="337"/>
        <v>1</v>
      </c>
      <c r="BH366" s="35">
        <f t="shared" si="338"/>
        <v>386.89010433419918</v>
      </c>
      <c r="BI366" s="35">
        <f t="shared" si="339"/>
        <v>-373.78020866839836</v>
      </c>
      <c r="BJ366" s="35">
        <f t="shared" si="340"/>
        <v>33.383280883582337</v>
      </c>
    </row>
    <row r="367" spans="2:62">
      <c r="B367" s="35" t="s">
        <v>133</v>
      </c>
      <c r="C367" s="84" t="str">
        <f>MostLikely!$B$1</f>
        <v>MRI-CGCM2.3.2</v>
      </c>
      <c r="D367" s="89">
        <v>2069</v>
      </c>
      <c r="E367" s="57">
        <f>'Cooler&amp;Wetter'!AA97</f>
        <v>35.666499999999999</v>
      </c>
      <c r="F367" s="90">
        <f>MostLikely!AD97</f>
        <v>22.949748620000001</v>
      </c>
      <c r="G367" s="35">
        <f t="shared" si="341"/>
        <v>2005</v>
      </c>
      <c r="H367" s="91" t="str">
        <f t="shared" si="321"/>
        <v>Pile 32 @ Berth 201</v>
      </c>
      <c r="I367" s="35" t="str">
        <f t="shared" si="322"/>
        <v>Turpentine Gum</v>
      </c>
      <c r="J367" s="35" t="str">
        <f t="shared" si="323"/>
        <v>HW1</v>
      </c>
      <c r="K367" s="35" t="str">
        <f t="shared" si="342"/>
        <v>SPHU</v>
      </c>
      <c r="L367" s="35">
        <f t="shared" si="324"/>
        <v>400</v>
      </c>
      <c r="M367" s="35">
        <f t="shared" si="325"/>
        <v>20</v>
      </c>
      <c r="N367" s="35">
        <f t="shared" si="326"/>
        <v>200</v>
      </c>
      <c r="O367" s="35" t="str">
        <f t="shared" si="327"/>
        <v>MTN2</v>
      </c>
      <c r="P367" s="35" t="str">
        <f t="shared" si="328"/>
        <v>CNT2</v>
      </c>
      <c r="Q367" s="35" t="str">
        <f t="shared" si="329"/>
        <v>KNT3</v>
      </c>
      <c r="R367" s="35" t="str">
        <f t="shared" si="330"/>
        <v>E</v>
      </c>
      <c r="S367" s="35" t="str">
        <f t="shared" si="331"/>
        <v>EXP1</v>
      </c>
      <c r="T367" s="58"/>
      <c r="U367" s="58"/>
      <c r="V367" s="58"/>
      <c r="W367" s="58"/>
      <c r="X367" s="58"/>
      <c r="Y367" s="58"/>
      <c r="Z367" s="58"/>
      <c r="AA367" s="95">
        <f t="shared" si="320"/>
        <v>1</v>
      </c>
      <c r="AB367" s="96">
        <f t="shared" si="343"/>
        <v>178.85458426030146</v>
      </c>
      <c r="AC367" s="58"/>
      <c r="AD367" s="58"/>
      <c r="AE367" s="58"/>
      <c r="AF367" s="58"/>
      <c r="AG367" s="58"/>
      <c r="AH367" s="58"/>
      <c r="AI367" s="58"/>
      <c r="AJ367" s="58"/>
      <c r="AK367" s="58"/>
      <c r="AL367" s="58"/>
      <c r="AM367" s="89">
        <f t="shared" si="344"/>
        <v>64</v>
      </c>
      <c r="AN367" s="36">
        <f t="shared" si="332"/>
        <v>35.666499999999999</v>
      </c>
      <c r="AO367" s="35">
        <f t="shared" si="333"/>
        <v>1.9756199100422824</v>
      </c>
      <c r="AP367" s="35">
        <f>IF((OR(R367="A",R367="B",R367="C")),INDEX(Coefficients!$S$4:$S$22,MATCH(J367,Coefficients!$R$4:$R$22)),INDEX(Coefficients!$T$4:$T$22,MATCH(J367,Coefficients!$R$4:$R$22)))</f>
        <v>1.3</v>
      </c>
      <c r="AQ367" s="27">
        <f>IF((OR(R367="A",R367="B",R367="C")),INDEX(Coefficients!$S$4:$S$22,MATCH(K367,Coefficients!$R$4:$R$22)),INDEX(Coefficients!$T$4:$T$22,MATCH(K367,Coefficients!$R$4:$R$22)))</f>
        <v>25</v>
      </c>
      <c r="AR367" s="27">
        <f>IF(OR(R367="A",R367="B",R367="C",R367="D"),IF(AN367&gt;=11,IF(AN367&gt;=26,Coefficients!$M$6,Coefficients!$M$5),Coefficients!$M$4),IF(AN367&gt;=11,IF(AN367&gt;=26,Coefficients!$N$6,Coefficients!$N$5),Coefficients!$N$4))</f>
        <v>1</v>
      </c>
      <c r="AS367" s="27">
        <f>INDEX(Coefficients!$X$3:$X$4,MATCH(S367,Coefficients!$W$3:$W$4))</f>
        <v>1</v>
      </c>
      <c r="AT367" s="27">
        <f>INDEX(Coefficients!$X$7:$X$8,MATCH(O367,Coefficients!$W$7:$W$8))</f>
        <v>1</v>
      </c>
      <c r="AU367" s="27">
        <f>INDEX(Coefficients!$X$11:$X$12,MATCH(P367,Coefficients!$W$11:$W$12))</f>
        <v>1</v>
      </c>
      <c r="AV367" s="27">
        <f>INDEX(Coefficients!$X$15:$X$17,MATCH(Q367,Coefficients!$W$15:$W$17))</f>
        <v>1</v>
      </c>
      <c r="AW367" s="27">
        <f t="shared" si="345"/>
        <v>1</v>
      </c>
      <c r="AX367" s="27">
        <f t="shared" si="346"/>
        <v>1</v>
      </c>
      <c r="AY367" s="27">
        <f t="shared" si="347"/>
        <v>1.3</v>
      </c>
      <c r="AZ367" s="35">
        <f t="shared" si="348"/>
        <v>49.390497751057062</v>
      </c>
      <c r="BA367" s="35">
        <f t="shared" si="349"/>
        <v>0</v>
      </c>
      <c r="BB367" s="35">
        <f t="shared" si="350"/>
        <v>2.5683058830549674</v>
      </c>
      <c r="BC367" s="35">
        <f t="shared" si="351"/>
        <v>1.7431694116945033</v>
      </c>
      <c r="BD367" s="35">
        <f t="shared" si="334"/>
        <v>0.40493619037422957</v>
      </c>
      <c r="BE367" s="16">
        <f t="shared" si="335"/>
        <v>178.85458426030146</v>
      </c>
      <c r="BF367" s="16">
        <f t="shared" si="336"/>
        <v>42.29083147939707</v>
      </c>
      <c r="BG367" s="25">
        <f t="shared" si="337"/>
        <v>1</v>
      </c>
      <c r="BH367" s="35">
        <f t="shared" si="338"/>
        <v>393.48008537266327</v>
      </c>
      <c r="BI367" s="35">
        <f t="shared" si="339"/>
        <v>-386.96017074532654</v>
      </c>
      <c r="BJ367" s="35">
        <f t="shared" si="340"/>
        <v>33.297043323163315</v>
      </c>
    </row>
    <row r="368" spans="2:62">
      <c r="B368" s="35" t="s">
        <v>133</v>
      </c>
      <c r="C368" s="84" t="str">
        <f>MostLikely!$B$1</f>
        <v>MRI-CGCM2.3.2</v>
      </c>
      <c r="D368" s="89">
        <v>2070</v>
      </c>
      <c r="E368" s="57">
        <f>'Cooler&amp;Wetter'!AA98</f>
        <v>35.67</v>
      </c>
      <c r="F368" s="90">
        <f>MostLikely!AD98</f>
        <v>22.9705744</v>
      </c>
      <c r="G368" s="35">
        <f t="shared" si="341"/>
        <v>2005</v>
      </c>
      <c r="H368" s="91" t="str">
        <f t="shared" si="321"/>
        <v>Pile 32 @ Berth 201</v>
      </c>
      <c r="I368" s="35" t="str">
        <f t="shared" si="322"/>
        <v>Turpentine Gum</v>
      </c>
      <c r="J368" s="35" t="str">
        <f t="shared" si="323"/>
        <v>HW1</v>
      </c>
      <c r="K368" s="35" t="str">
        <f t="shared" si="342"/>
        <v>SPHU</v>
      </c>
      <c r="L368" s="35">
        <f t="shared" si="324"/>
        <v>400</v>
      </c>
      <c r="M368" s="35">
        <f t="shared" si="325"/>
        <v>20</v>
      </c>
      <c r="N368" s="35">
        <f t="shared" si="326"/>
        <v>200</v>
      </c>
      <c r="O368" s="35" t="str">
        <f t="shared" si="327"/>
        <v>MTN2</v>
      </c>
      <c r="P368" s="35" t="str">
        <f t="shared" si="328"/>
        <v>CNT2</v>
      </c>
      <c r="Q368" s="35" t="str">
        <f t="shared" si="329"/>
        <v>KNT3</v>
      </c>
      <c r="R368" s="35" t="str">
        <f t="shared" si="330"/>
        <v>E</v>
      </c>
      <c r="S368" s="35" t="str">
        <f t="shared" si="331"/>
        <v>EXP1</v>
      </c>
      <c r="T368" s="58"/>
      <c r="U368" s="58"/>
      <c r="V368" s="58"/>
      <c r="W368" s="58"/>
      <c r="X368" s="58"/>
      <c r="Y368" s="58"/>
      <c r="Z368" s="58"/>
      <c r="AA368" s="95">
        <f t="shared" si="320"/>
        <v>1</v>
      </c>
      <c r="AB368" s="96">
        <f t="shared" si="343"/>
        <v>181.86512330980779</v>
      </c>
      <c r="AC368" s="58"/>
      <c r="AD368" s="58"/>
      <c r="AE368" s="58"/>
      <c r="AF368" s="58"/>
      <c r="AG368" s="58"/>
      <c r="AH368" s="58"/>
      <c r="AI368" s="58"/>
      <c r="AJ368" s="58"/>
      <c r="AK368" s="58"/>
      <c r="AL368" s="58"/>
      <c r="AM368" s="89">
        <f t="shared" si="344"/>
        <v>65</v>
      </c>
      <c r="AN368" s="36">
        <f t="shared" si="332"/>
        <v>35.67</v>
      </c>
      <c r="AO368" s="35">
        <f t="shared" si="333"/>
        <v>1.9809758543117326</v>
      </c>
      <c r="AP368" s="35">
        <f>IF((OR(R368="A",R368="B",R368="C")),INDEX(Coefficients!$S$4:$S$22,MATCH(J368,Coefficients!$R$4:$R$22)),INDEX(Coefficients!$T$4:$T$22,MATCH(J368,Coefficients!$R$4:$R$22)))</f>
        <v>1.3</v>
      </c>
      <c r="AQ368" s="27">
        <f>IF((OR(R368="A",R368="B",R368="C")),INDEX(Coefficients!$S$4:$S$22,MATCH(K368,Coefficients!$R$4:$R$22)),INDEX(Coefficients!$T$4:$T$22,MATCH(K368,Coefficients!$R$4:$R$22)))</f>
        <v>25</v>
      </c>
      <c r="AR368" s="27">
        <f>IF(OR(R368="A",R368="B",R368="C",R368="D"),IF(AN368&gt;=11,IF(AN368&gt;=26,Coefficients!$M$6,Coefficients!$M$5),Coefficients!$M$4),IF(AN368&gt;=11,IF(AN368&gt;=26,Coefficients!$N$6,Coefficients!$N$5),Coefficients!$N$4))</f>
        <v>1</v>
      </c>
      <c r="AS368" s="27">
        <f>INDEX(Coefficients!$X$3:$X$4,MATCH(S368,Coefficients!$W$3:$W$4))</f>
        <v>1</v>
      </c>
      <c r="AT368" s="27">
        <f>INDEX(Coefficients!$X$7:$X$8,MATCH(O368,Coefficients!$W$7:$W$8))</f>
        <v>1</v>
      </c>
      <c r="AU368" s="27">
        <f>INDEX(Coefficients!$X$11:$X$12,MATCH(P368,Coefficients!$W$11:$W$12))</f>
        <v>1</v>
      </c>
      <c r="AV368" s="27">
        <f>INDEX(Coefficients!$X$15:$X$17,MATCH(Q368,Coefficients!$W$15:$W$17))</f>
        <v>1</v>
      </c>
      <c r="AW368" s="27">
        <f t="shared" si="345"/>
        <v>1</v>
      </c>
      <c r="AX368" s="27">
        <f t="shared" si="346"/>
        <v>1</v>
      </c>
      <c r="AY368" s="27">
        <f t="shared" si="347"/>
        <v>1.3</v>
      </c>
      <c r="AZ368" s="35">
        <f t="shared" si="348"/>
        <v>49.524396357793314</v>
      </c>
      <c r="BA368" s="35">
        <f t="shared" si="349"/>
        <v>0</v>
      </c>
      <c r="BB368" s="35">
        <f t="shared" si="350"/>
        <v>2.5752686106052525</v>
      </c>
      <c r="BC368" s="35">
        <f t="shared" si="351"/>
        <v>1.7424731389394748</v>
      </c>
      <c r="BD368" s="35">
        <f t="shared" si="334"/>
        <v>0.4038413685147873</v>
      </c>
      <c r="BE368" s="16">
        <f t="shared" si="335"/>
        <v>181.86512330980779</v>
      </c>
      <c r="BF368" s="16">
        <f t="shared" si="336"/>
        <v>36.269753380384429</v>
      </c>
      <c r="BG368" s="25">
        <f t="shared" si="337"/>
        <v>1</v>
      </c>
      <c r="BH368" s="35">
        <f t="shared" si="338"/>
        <v>400.10327128157718</v>
      </c>
      <c r="BI368" s="35">
        <f t="shared" si="339"/>
        <v>-400.20654256315436</v>
      </c>
      <c r="BJ368" s="35">
        <f t="shared" si="340"/>
        <v>33.211035162437902</v>
      </c>
    </row>
    <row r="369" spans="1:62" s="86" customFormat="1">
      <c r="A369" s="87" t="s">
        <v>200</v>
      </c>
      <c r="B369" s="86" t="str">
        <f>B370&amp;" "&amp;C370</f>
        <v>A1B CSIRO Mk3.5</v>
      </c>
      <c r="H369" s="77"/>
      <c r="AA369" s="97"/>
    </row>
    <row r="370" spans="1:62">
      <c r="B370" s="35" t="s">
        <v>133</v>
      </c>
      <c r="C370" s="35" t="str">
        <f>'Hotter&amp;Drier'!$B$1</f>
        <v>CSIRO Mk3.5</v>
      </c>
      <c r="D370" s="89">
        <v>2000</v>
      </c>
      <c r="E370" s="57">
        <f>'Cooler&amp;Wetter'!AA28</f>
        <v>35.508333333333333</v>
      </c>
      <c r="F370" s="36">
        <f>'Hotter&amp;Drier'!AD28</f>
        <v>21.65</v>
      </c>
      <c r="G370" s="35">
        <f>$G$10</f>
        <v>2005</v>
      </c>
      <c r="H370" s="91" t="str">
        <f t="shared" ref="H370:H433" si="352">$H$10</f>
        <v>Pile 32 @ Berth 201</v>
      </c>
      <c r="I370" s="35" t="str">
        <f t="shared" ref="I370:I433" si="353">$I$10</f>
        <v>Turpentine Gum</v>
      </c>
      <c r="J370" s="35" t="str">
        <f t="shared" ref="J370:J433" si="354">$J$10</f>
        <v>HW1</v>
      </c>
      <c r="K370" s="35" t="str">
        <f>$K$10</f>
        <v>SPHU</v>
      </c>
      <c r="L370" s="35">
        <f t="shared" ref="L370:L433" si="355">$L$10</f>
        <v>400</v>
      </c>
      <c r="M370" s="35">
        <f t="shared" ref="M370:M433" si="356">$M$10</f>
        <v>20</v>
      </c>
      <c r="N370" s="35">
        <f t="shared" ref="N370:N433" si="357">$N$10</f>
        <v>200</v>
      </c>
      <c r="O370" s="35" t="str">
        <f t="shared" ref="O370:O433" si="358">$O$10</f>
        <v>MTN2</v>
      </c>
      <c r="P370" s="35" t="str">
        <f t="shared" ref="P370:P433" si="359">$P$10</f>
        <v>CNT2</v>
      </c>
      <c r="Q370" s="35" t="str">
        <f t="shared" ref="Q370:Q433" si="360">$Q$10</f>
        <v>KNT3</v>
      </c>
      <c r="R370" s="35" t="str">
        <f t="shared" ref="R370:R433" si="361">$R$10</f>
        <v>E</v>
      </c>
      <c r="S370" s="35" t="str">
        <f t="shared" ref="S370:S433" si="362">$S$10</f>
        <v>EXP1</v>
      </c>
      <c r="T370" s="58"/>
      <c r="U370" s="58"/>
      <c r="V370" s="58"/>
      <c r="W370" s="58"/>
      <c r="X370" s="58"/>
      <c r="Y370" s="58"/>
      <c r="Z370" s="58"/>
      <c r="AA370" s="95">
        <f t="shared" si="320"/>
        <v>0</v>
      </c>
      <c r="AB370" s="96">
        <f>BE370</f>
        <v>0</v>
      </c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89">
        <f>MAX(0,D370-G370)</f>
        <v>0</v>
      </c>
      <c r="AN370" s="36">
        <f t="shared" ref="AN370:AN401" si="363">E370</f>
        <v>35.508333333333333</v>
      </c>
      <c r="AO370" s="35">
        <f t="shared" ref="AO370:AO401" si="364">0.1*EXP(0.13*F370)</f>
        <v>1.6684831278740386</v>
      </c>
      <c r="AP370" s="35">
        <f>IF((OR(R370="A",R370="B",R370="C")),INDEX(Coefficients!$S$4:$S$22,MATCH(J370,Coefficients!$R$4:$R$22)),INDEX(Coefficients!$T$4:$T$22,MATCH(J370,Coefficients!$R$4:$R$22)))</f>
        <v>1.3</v>
      </c>
      <c r="AQ370" s="27">
        <f>IF((OR(R370="A",R370="B",R370="C")),INDEX(Coefficients!$S$4:$S$22,MATCH(K370,Coefficients!$R$4:$R$22)),INDEX(Coefficients!$T$4:$T$22,MATCH(K370,Coefficients!$R$4:$R$22)))</f>
        <v>25</v>
      </c>
      <c r="AR370" s="27">
        <f>IF(OR(R370="A",R370="B",R370="C",R370="D"),IF(AN370&gt;=11,IF(AN370&gt;=26,Coefficients!$M$6,Coefficients!$M$5),Coefficients!$M$4),IF(AN370&gt;=11,IF(AN370&gt;=26,Coefficients!$N$6,Coefficients!$N$5),Coefficients!$N$4))</f>
        <v>1</v>
      </c>
      <c r="AS370" s="27">
        <f>INDEX(Coefficients!$X$3:$X$4,MATCH(S370,Coefficients!$W$3:$W$4))</f>
        <v>1</v>
      </c>
      <c r="AT370" s="27">
        <f>INDEX(Coefficients!$X$7:$X$8,MATCH(O370,Coefficients!$W$7:$W$8))</f>
        <v>1</v>
      </c>
      <c r="AU370" s="27">
        <f>INDEX(Coefficients!$X$11:$X$12,MATCH(P370,Coefficients!$W$11:$W$12))</f>
        <v>1</v>
      </c>
      <c r="AV370" s="27">
        <f>INDEX(Coefficients!$X$15:$X$17,MATCH(Q370,Coefficients!$W$15:$W$17))</f>
        <v>1</v>
      </c>
      <c r="AW370" s="27">
        <f>AR370*AS370</f>
        <v>1</v>
      </c>
      <c r="AX370" s="27">
        <f>AT370*AU370*AV370</f>
        <v>1</v>
      </c>
      <c r="AY370" s="27">
        <f>AP370*AR370*AS370*AT370*AU370*AV370</f>
        <v>1.3</v>
      </c>
      <c r="AZ370" s="35">
        <f>AO370*AQ370*AW370*AX370</f>
        <v>41.712078196850968</v>
      </c>
      <c r="BA370" s="35">
        <f>IF(AZ370&gt;=20,0,2-0.1*AZ370)</f>
        <v>0</v>
      </c>
      <c r="BB370" s="35">
        <f>AO370*AP370*AR370*AS370*AT370*AU370*AV370</f>
        <v>2.1690280662362502</v>
      </c>
      <c r="BC370" s="35">
        <f>IF(BB370&gt;=20,0,2-0.1*BB370)</f>
        <v>1.7830971933763751</v>
      </c>
      <c r="BD370" s="35">
        <f t="shared" ref="BD370:BD401" si="365">M370/AZ370+BA370</f>
        <v>0.47947742871056204</v>
      </c>
      <c r="BE370" s="16">
        <f t="shared" ref="BE370:BE401" si="366">IF(AM370&lt;=0,0,IF(AM370&gt;(BD370+BC370),M370+(AM370-BD370-BC370)*BB370,M370))</f>
        <v>0</v>
      </c>
      <c r="BF370" s="16">
        <f t="shared" ref="BF370:BF401" si="367">L370-2*BE370</f>
        <v>400</v>
      </c>
      <c r="BG370" s="25">
        <f t="shared" ref="BG370:BG401" si="368">IF(2*BE370&gt;(L370-N370),1,BE370/((L370-N370)/2))</f>
        <v>0</v>
      </c>
      <c r="BH370" s="35">
        <f t="shared" ref="BH370:BH401" si="369">BE370*(1+$BF$1*$BF$2)</f>
        <v>0</v>
      </c>
      <c r="BI370" s="35">
        <f t="shared" ref="BI370:BI401" si="370">L370-2*BH370</f>
        <v>400</v>
      </c>
      <c r="BJ370" s="35">
        <f t="shared" ref="BJ370:BJ401" si="371">($BF$3/2-M370)/BB370+BD370+BC370</f>
        <v>39.145453753668633</v>
      </c>
    </row>
    <row r="371" spans="1:62">
      <c r="B371" s="35" t="s">
        <v>133</v>
      </c>
      <c r="C371" s="85" t="str">
        <f>'Hotter&amp;Drier'!$B$1</f>
        <v>CSIRO Mk3.5</v>
      </c>
      <c r="D371" s="89">
        <v>2001</v>
      </c>
      <c r="E371" s="57">
        <f>'Cooler&amp;Wetter'!AA29</f>
        <v>35.509166666666665</v>
      </c>
      <c r="F371" s="90">
        <f>'Hotter&amp;Drier'!AD29</f>
        <v>21.664999999999999</v>
      </c>
      <c r="G371" s="35">
        <f t="shared" ref="G371:G434" si="372">$G$10</f>
        <v>2005</v>
      </c>
      <c r="H371" s="91" t="str">
        <f t="shared" si="352"/>
        <v>Pile 32 @ Berth 201</v>
      </c>
      <c r="I371" s="35" t="str">
        <f t="shared" si="353"/>
        <v>Turpentine Gum</v>
      </c>
      <c r="J371" s="35" t="str">
        <f t="shared" si="354"/>
        <v>HW1</v>
      </c>
      <c r="K371" s="35" t="str">
        <f t="shared" ref="K371:K434" si="373">$K$10</f>
        <v>SPHU</v>
      </c>
      <c r="L371" s="35">
        <f t="shared" si="355"/>
        <v>400</v>
      </c>
      <c r="M371" s="35">
        <f t="shared" si="356"/>
        <v>20</v>
      </c>
      <c r="N371" s="35">
        <f t="shared" si="357"/>
        <v>200</v>
      </c>
      <c r="O371" s="35" t="str">
        <f t="shared" si="358"/>
        <v>MTN2</v>
      </c>
      <c r="P371" s="35" t="str">
        <f t="shared" si="359"/>
        <v>CNT2</v>
      </c>
      <c r="Q371" s="35" t="str">
        <f t="shared" si="360"/>
        <v>KNT3</v>
      </c>
      <c r="R371" s="35" t="str">
        <f t="shared" si="361"/>
        <v>E</v>
      </c>
      <c r="S371" s="35" t="str">
        <f t="shared" si="362"/>
        <v>EXP1</v>
      </c>
      <c r="T371" s="58"/>
      <c r="U371" s="58"/>
      <c r="V371" s="58"/>
      <c r="W371" s="58"/>
      <c r="X371" s="58"/>
      <c r="Y371" s="58"/>
      <c r="Z371" s="58"/>
      <c r="AA371" s="95">
        <f t="shared" si="320"/>
        <v>0</v>
      </c>
      <c r="AB371" s="96">
        <f t="shared" ref="AB371:AB434" si="374">BE371</f>
        <v>0</v>
      </c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89">
        <f t="shared" ref="AM371:AM434" si="375">MAX(0,D371-G371)</f>
        <v>0</v>
      </c>
      <c r="AN371" s="36">
        <f t="shared" si="363"/>
        <v>35.509166666666665</v>
      </c>
      <c r="AO371" s="35">
        <f t="shared" si="364"/>
        <v>1.6717398442398783</v>
      </c>
      <c r="AP371" s="35">
        <f>IF((OR(R371="A",R371="B",R371="C")),INDEX(Coefficients!$S$4:$S$22,MATCH(J371,Coefficients!$R$4:$R$22)),INDEX(Coefficients!$T$4:$T$22,MATCH(J371,Coefficients!$R$4:$R$22)))</f>
        <v>1.3</v>
      </c>
      <c r="AQ371" s="27">
        <f>IF((OR(R371="A",R371="B",R371="C")),INDEX(Coefficients!$S$4:$S$22,MATCH(K371,Coefficients!$R$4:$R$22)),INDEX(Coefficients!$T$4:$T$22,MATCH(K371,Coefficients!$R$4:$R$22)))</f>
        <v>25</v>
      </c>
      <c r="AR371" s="27">
        <f>IF(OR(R371="A",R371="B",R371="C",R371="D"),IF(AN371&gt;=11,IF(AN371&gt;=26,Coefficients!$M$6,Coefficients!$M$5),Coefficients!$M$4),IF(AN371&gt;=11,IF(AN371&gt;=26,Coefficients!$N$6,Coefficients!$N$5),Coefficients!$N$4))</f>
        <v>1</v>
      </c>
      <c r="AS371" s="27">
        <f>INDEX(Coefficients!$X$3:$X$4,MATCH(S371,Coefficients!$W$3:$W$4))</f>
        <v>1</v>
      </c>
      <c r="AT371" s="27">
        <f>INDEX(Coefficients!$X$7:$X$8,MATCH(O371,Coefficients!$W$7:$W$8))</f>
        <v>1</v>
      </c>
      <c r="AU371" s="27">
        <f>INDEX(Coefficients!$X$11:$X$12,MATCH(P371,Coefficients!$W$11:$W$12))</f>
        <v>1</v>
      </c>
      <c r="AV371" s="27">
        <f>INDEX(Coefficients!$X$15:$X$17,MATCH(Q371,Coefficients!$W$15:$W$17))</f>
        <v>1</v>
      </c>
      <c r="AW371" s="27">
        <f t="shared" ref="AW371:AW434" si="376">AR371*AS371</f>
        <v>1</v>
      </c>
      <c r="AX371" s="27">
        <f t="shared" ref="AX371:AX434" si="377">AT371*AU371*AV371</f>
        <v>1</v>
      </c>
      <c r="AY371" s="27">
        <f t="shared" ref="AY371:AY434" si="378">AP371*AR371*AS371*AT371*AU371*AV371</f>
        <v>1.3</v>
      </c>
      <c r="AZ371" s="35">
        <f t="shared" ref="AZ371:AZ434" si="379">AO371*AQ371*AW371*AX371</f>
        <v>41.793496105996958</v>
      </c>
      <c r="BA371" s="35">
        <f t="shared" ref="BA371:BA434" si="380">IF(AZ371&gt;=20,0,2-0.1*AZ371)</f>
        <v>0</v>
      </c>
      <c r="BB371" s="35">
        <f t="shared" ref="BB371:BB434" si="381">AO371*AP371*AR371*AS371*AT371*AU371*AV371</f>
        <v>2.173261797511842</v>
      </c>
      <c r="BC371" s="35">
        <f t="shared" ref="BC371:BC434" si="382">IF(BB371&gt;=20,0,2-0.1*BB371)</f>
        <v>1.7826738202488157</v>
      </c>
      <c r="BD371" s="35">
        <f t="shared" si="365"/>
        <v>0.47854335873878223</v>
      </c>
      <c r="BE371" s="16">
        <f t="shared" si="366"/>
        <v>0</v>
      </c>
      <c r="BF371" s="16">
        <f t="shared" si="367"/>
        <v>400</v>
      </c>
      <c r="BG371" s="25">
        <f t="shared" si="368"/>
        <v>0</v>
      </c>
      <c r="BH371" s="35">
        <f t="shared" si="369"/>
        <v>0</v>
      </c>
      <c r="BI371" s="35">
        <f t="shared" si="370"/>
        <v>400</v>
      </c>
      <c r="BJ371" s="35">
        <f t="shared" si="371"/>
        <v>39.072244774278538</v>
      </c>
    </row>
    <row r="372" spans="1:62">
      <c r="B372" s="35" t="s">
        <v>133</v>
      </c>
      <c r="C372" s="85" t="str">
        <f>'Hotter&amp;Drier'!$B$1</f>
        <v>CSIRO Mk3.5</v>
      </c>
      <c r="D372" s="89">
        <v>2002</v>
      </c>
      <c r="E372" s="57">
        <f>'Cooler&amp;Wetter'!AA30</f>
        <v>35.51</v>
      </c>
      <c r="F372" s="90">
        <f>'Hotter&amp;Drier'!AD30</f>
        <v>21.68</v>
      </c>
      <c r="G372" s="35">
        <f t="shared" si="372"/>
        <v>2005</v>
      </c>
      <c r="H372" s="91" t="str">
        <f t="shared" si="352"/>
        <v>Pile 32 @ Berth 201</v>
      </c>
      <c r="I372" s="35" t="str">
        <f t="shared" si="353"/>
        <v>Turpentine Gum</v>
      </c>
      <c r="J372" s="35" t="str">
        <f t="shared" si="354"/>
        <v>HW1</v>
      </c>
      <c r="K372" s="35" t="str">
        <f t="shared" si="373"/>
        <v>SPHU</v>
      </c>
      <c r="L372" s="35">
        <f t="shared" si="355"/>
        <v>400</v>
      </c>
      <c r="M372" s="35">
        <f t="shared" si="356"/>
        <v>20</v>
      </c>
      <c r="N372" s="35">
        <f t="shared" si="357"/>
        <v>200</v>
      </c>
      <c r="O372" s="35" t="str">
        <f t="shared" si="358"/>
        <v>MTN2</v>
      </c>
      <c r="P372" s="35" t="str">
        <f t="shared" si="359"/>
        <v>CNT2</v>
      </c>
      <c r="Q372" s="35" t="str">
        <f t="shared" si="360"/>
        <v>KNT3</v>
      </c>
      <c r="R372" s="35" t="str">
        <f t="shared" si="361"/>
        <v>E</v>
      </c>
      <c r="S372" s="35" t="str">
        <f t="shared" si="362"/>
        <v>EXP1</v>
      </c>
      <c r="T372" s="58"/>
      <c r="U372" s="58"/>
      <c r="V372" s="58"/>
      <c r="W372" s="58"/>
      <c r="X372" s="58"/>
      <c r="Y372" s="58"/>
      <c r="Z372" s="58"/>
      <c r="AA372" s="95">
        <f t="shared" si="320"/>
        <v>0</v>
      </c>
      <c r="AB372" s="96">
        <f t="shared" si="374"/>
        <v>0</v>
      </c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89">
        <f t="shared" si="375"/>
        <v>0</v>
      </c>
      <c r="AN372" s="36">
        <f t="shared" si="363"/>
        <v>35.51</v>
      </c>
      <c r="AO372" s="35">
        <f t="shared" si="364"/>
        <v>1.6750029173984893</v>
      </c>
      <c r="AP372" s="35">
        <f>IF((OR(R372="A",R372="B",R372="C")),INDEX(Coefficients!$S$4:$S$22,MATCH(J372,Coefficients!$R$4:$R$22)),INDEX(Coefficients!$T$4:$T$22,MATCH(J372,Coefficients!$R$4:$R$22)))</f>
        <v>1.3</v>
      </c>
      <c r="AQ372" s="27">
        <f>IF((OR(R372="A",R372="B",R372="C")),INDEX(Coefficients!$S$4:$S$22,MATCH(K372,Coefficients!$R$4:$R$22)),INDEX(Coefficients!$T$4:$T$22,MATCH(K372,Coefficients!$R$4:$R$22)))</f>
        <v>25</v>
      </c>
      <c r="AR372" s="27">
        <f>IF(OR(R372="A",R372="B",R372="C",R372="D"),IF(AN372&gt;=11,IF(AN372&gt;=26,Coefficients!$M$6,Coefficients!$M$5),Coefficients!$M$4),IF(AN372&gt;=11,IF(AN372&gt;=26,Coefficients!$N$6,Coefficients!$N$5),Coefficients!$N$4))</f>
        <v>1</v>
      </c>
      <c r="AS372" s="27">
        <f>INDEX(Coefficients!$X$3:$X$4,MATCH(S372,Coefficients!$W$3:$W$4))</f>
        <v>1</v>
      </c>
      <c r="AT372" s="27">
        <f>INDEX(Coefficients!$X$7:$X$8,MATCH(O372,Coefficients!$W$7:$W$8))</f>
        <v>1</v>
      </c>
      <c r="AU372" s="27">
        <f>INDEX(Coefficients!$X$11:$X$12,MATCH(P372,Coefficients!$W$11:$W$12))</f>
        <v>1</v>
      </c>
      <c r="AV372" s="27">
        <f>INDEX(Coefficients!$X$15:$X$17,MATCH(Q372,Coefficients!$W$15:$W$17))</f>
        <v>1</v>
      </c>
      <c r="AW372" s="27">
        <f t="shared" si="376"/>
        <v>1</v>
      </c>
      <c r="AX372" s="27">
        <f t="shared" si="377"/>
        <v>1</v>
      </c>
      <c r="AY372" s="27">
        <f t="shared" si="378"/>
        <v>1.3</v>
      </c>
      <c r="AZ372" s="35">
        <f t="shared" si="379"/>
        <v>41.875072934962233</v>
      </c>
      <c r="BA372" s="35">
        <f t="shared" si="380"/>
        <v>0</v>
      </c>
      <c r="BB372" s="35">
        <f t="shared" si="381"/>
        <v>2.1775037926180363</v>
      </c>
      <c r="BC372" s="35">
        <f t="shared" si="382"/>
        <v>1.7822496207381964</v>
      </c>
      <c r="BD372" s="35">
        <f t="shared" si="365"/>
        <v>0.47761110842870075</v>
      </c>
      <c r="BE372" s="16">
        <f t="shared" si="366"/>
        <v>0</v>
      </c>
      <c r="BF372" s="16">
        <f t="shared" si="367"/>
        <v>400</v>
      </c>
      <c r="BG372" s="25">
        <f t="shared" si="368"/>
        <v>0</v>
      </c>
      <c r="BH372" s="35">
        <f t="shared" si="369"/>
        <v>0</v>
      </c>
      <c r="BI372" s="35">
        <f t="shared" si="370"/>
        <v>400</v>
      </c>
      <c r="BJ372" s="35">
        <f t="shared" si="371"/>
        <v>38.999176762143883</v>
      </c>
    </row>
    <row r="373" spans="1:62">
      <c r="B373" s="35" t="s">
        <v>133</v>
      </c>
      <c r="C373" s="85" t="str">
        <f>'Hotter&amp;Drier'!$B$1</f>
        <v>CSIRO Mk3.5</v>
      </c>
      <c r="D373" s="89">
        <v>2003</v>
      </c>
      <c r="E373" s="57">
        <f>'Cooler&amp;Wetter'!AA31</f>
        <v>35.510833333333331</v>
      </c>
      <c r="F373" s="90">
        <f>'Hotter&amp;Drier'!AD31</f>
        <v>21.695</v>
      </c>
      <c r="G373" s="35">
        <f t="shared" si="372"/>
        <v>2005</v>
      </c>
      <c r="H373" s="91" t="str">
        <f t="shared" si="352"/>
        <v>Pile 32 @ Berth 201</v>
      </c>
      <c r="I373" s="35" t="str">
        <f t="shared" si="353"/>
        <v>Turpentine Gum</v>
      </c>
      <c r="J373" s="35" t="str">
        <f t="shared" si="354"/>
        <v>HW1</v>
      </c>
      <c r="K373" s="35" t="str">
        <f t="shared" si="373"/>
        <v>SPHU</v>
      </c>
      <c r="L373" s="35">
        <f t="shared" si="355"/>
        <v>400</v>
      </c>
      <c r="M373" s="35">
        <f t="shared" si="356"/>
        <v>20</v>
      </c>
      <c r="N373" s="35">
        <f t="shared" si="357"/>
        <v>200</v>
      </c>
      <c r="O373" s="35" t="str">
        <f t="shared" si="358"/>
        <v>MTN2</v>
      </c>
      <c r="P373" s="35" t="str">
        <f t="shared" si="359"/>
        <v>CNT2</v>
      </c>
      <c r="Q373" s="35" t="str">
        <f t="shared" si="360"/>
        <v>KNT3</v>
      </c>
      <c r="R373" s="35" t="str">
        <f t="shared" si="361"/>
        <v>E</v>
      </c>
      <c r="S373" s="35" t="str">
        <f t="shared" si="362"/>
        <v>EXP1</v>
      </c>
      <c r="T373" s="58"/>
      <c r="U373" s="58"/>
      <c r="V373" s="58"/>
      <c r="W373" s="58"/>
      <c r="X373" s="58"/>
      <c r="Y373" s="58"/>
      <c r="Z373" s="58"/>
      <c r="AA373" s="95">
        <f t="shared" si="320"/>
        <v>0</v>
      </c>
      <c r="AB373" s="96">
        <f t="shared" si="374"/>
        <v>0</v>
      </c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89">
        <f t="shared" si="375"/>
        <v>0</v>
      </c>
      <c r="AN373" s="36">
        <f t="shared" si="363"/>
        <v>35.510833333333331</v>
      </c>
      <c r="AO373" s="35">
        <f t="shared" si="364"/>
        <v>1.6782723597577123</v>
      </c>
      <c r="AP373" s="35">
        <f>IF((OR(R373="A",R373="B",R373="C")),INDEX(Coefficients!$S$4:$S$22,MATCH(J373,Coefficients!$R$4:$R$22)),INDEX(Coefficients!$T$4:$T$22,MATCH(J373,Coefficients!$R$4:$R$22)))</f>
        <v>1.3</v>
      </c>
      <c r="AQ373" s="27">
        <f>IF((OR(R373="A",R373="B",R373="C")),INDEX(Coefficients!$S$4:$S$22,MATCH(K373,Coefficients!$R$4:$R$22)),INDEX(Coefficients!$T$4:$T$22,MATCH(K373,Coefficients!$R$4:$R$22)))</f>
        <v>25</v>
      </c>
      <c r="AR373" s="27">
        <f>IF(OR(R373="A",R373="B",R373="C",R373="D"),IF(AN373&gt;=11,IF(AN373&gt;=26,Coefficients!$M$6,Coefficients!$M$5),Coefficients!$M$4),IF(AN373&gt;=11,IF(AN373&gt;=26,Coefficients!$N$6,Coefficients!$N$5),Coefficients!$N$4))</f>
        <v>1</v>
      </c>
      <c r="AS373" s="27">
        <f>INDEX(Coefficients!$X$3:$X$4,MATCH(S373,Coefficients!$W$3:$W$4))</f>
        <v>1</v>
      </c>
      <c r="AT373" s="27">
        <f>INDEX(Coefficients!$X$7:$X$8,MATCH(O373,Coefficients!$W$7:$W$8))</f>
        <v>1</v>
      </c>
      <c r="AU373" s="27">
        <f>INDEX(Coefficients!$X$11:$X$12,MATCH(P373,Coefficients!$W$11:$W$12))</f>
        <v>1</v>
      </c>
      <c r="AV373" s="27">
        <f>INDEX(Coefficients!$X$15:$X$17,MATCH(Q373,Coefficients!$W$15:$W$17))</f>
        <v>1</v>
      </c>
      <c r="AW373" s="27">
        <f t="shared" si="376"/>
        <v>1</v>
      </c>
      <c r="AX373" s="27">
        <f t="shared" si="377"/>
        <v>1</v>
      </c>
      <c r="AY373" s="27">
        <f t="shared" si="378"/>
        <v>1.3</v>
      </c>
      <c r="AZ373" s="35">
        <f t="shared" si="379"/>
        <v>41.956808993942808</v>
      </c>
      <c r="BA373" s="35">
        <f t="shared" si="380"/>
        <v>0</v>
      </c>
      <c r="BB373" s="35">
        <f t="shared" si="381"/>
        <v>2.1817540676850262</v>
      </c>
      <c r="BC373" s="35">
        <f t="shared" si="382"/>
        <v>1.7818245932314973</v>
      </c>
      <c r="BD373" s="35">
        <f t="shared" si="365"/>
        <v>0.47668067423543448</v>
      </c>
      <c r="BE373" s="16">
        <f t="shared" si="366"/>
        <v>0</v>
      </c>
      <c r="BF373" s="16">
        <f t="shared" si="367"/>
        <v>400</v>
      </c>
      <c r="BG373" s="25">
        <f t="shared" si="368"/>
        <v>0</v>
      </c>
      <c r="BH373" s="35">
        <f t="shared" si="369"/>
        <v>0</v>
      </c>
      <c r="BI373" s="35">
        <f t="shared" si="370"/>
        <v>400</v>
      </c>
      <c r="BJ373" s="35">
        <f t="shared" si="371"/>
        <v>38.92624943942343</v>
      </c>
    </row>
    <row r="374" spans="1:62">
      <c r="B374" s="35" t="s">
        <v>133</v>
      </c>
      <c r="C374" s="85" t="str">
        <f>'Hotter&amp;Drier'!$B$1</f>
        <v>CSIRO Mk3.5</v>
      </c>
      <c r="D374" s="89">
        <v>2004</v>
      </c>
      <c r="E374" s="57">
        <f>'Cooler&amp;Wetter'!AA32</f>
        <v>35.511666666666663</v>
      </c>
      <c r="F374" s="90">
        <f>'Hotter&amp;Drier'!AD32</f>
        <v>21.71</v>
      </c>
      <c r="G374" s="35">
        <f t="shared" si="372"/>
        <v>2005</v>
      </c>
      <c r="H374" s="91" t="str">
        <f t="shared" si="352"/>
        <v>Pile 32 @ Berth 201</v>
      </c>
      <c r="I374" s="35" t="str">
        <f t="shared" si="353"/>
        <v>Turpentine Gum</v>
      </c>
      <c r="J374" s="35" t="str">
        <f t="shared" si="354"/>
        <v>HW1</v>
      </c>
      <c r="K374" s="35" t="str">
        <f t="shared" si="373"/>
        <v>SPHU</v>
      </c>
      <c r="L374" s="35">
        <f t="shared" si="355"/>
        <v>400</v>
      </c>
      <c r="M374" s="35">
        <f t="shared" si="356"/>
        <v>20</v>
      </c>
      <c r="N374" s="35">
        <f t="shared" si="357"/>
        <v>200</v>
      </c>
      <c r="O374" s="35" t="str">
        <f t="shared" si="358"/>
        <v>MTN2</v>
      </c>
      <c r="P374" s="35" t="str">
        <f t="shared" si="359"/>
        <v>CNT2</v>
      </c>
      <c r="Q374" s="35" t="str">
        <f t="shared" si="360"/>
        <v>KNT3</v>
      </c>
      <c r="R374" s="35" t="str">
        <f t="shared" si="361"/>
        <v>E</v>
      </c>
      <c r="S374" s="35" t="str">
        <f t="shared" si="362"/>
        <v>EXP1</v>
      </c>
      <c r="T374" s="58"/>
      <c r="U374" s="58"/>
      <c r="V374" s="58"/>
      <c r="W374" s="58"/>
      <c r="X374" s="58"/>
      <c r="Y374" s="58"/>
      <c r="Z374" s="58"/>
      <c r="AA374" s="95">
        <f t="shared" si="320"/>
        <v>0</v>
      </c>
      <c r="AB374" s="96">
        <f t="shared" si="374"/>
        <v>0</v>
      </c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89">
        <f t="shared" si="375"/>
        <v>0</v>
      </c>
      <c r="AN374" s="36">
        <f t="shared" si="363"/>
        <v>35.511666666666663</v>
      </c>
      <c r="AO374" s="35">
        <f t="shared" si="364"/>
        <v>1.6815481837496056</v>
      </c>
      <c r="AP374" s="35">
        <f>IF((OR(R374="A",R374="B",R374="C")),INDEX(Coefficients!$S$4:$S$22,MATCH(J374,Coefficients!$R$4:$R$22)),INDEX(Coefficients!$T$4:$T$22,MATCH(J374,Coefficients!$R$4:$R$22)))</f>
        <v>1.3</v>
      </c>
      <c r="AQ374" s="27">
        <f>IF((OR(R374="A",R374="B",R374="C")),INDEX(Coefficients!$S$4:$S$22,MATCH(K374,Coefficients!$R$4:$R$22)),INDEX(Coefficients!$T$4:$T$22,MATCH(K374,Coefficients!$R$4:$R$22)))</f>
        <v>25</v>
      </c>
      <c r="AR374" s="27">
        <f>IF(OR(R374="A",R374="B",R374="C",R374="D"),IF(AN374&gt;=11,IF(AN374&gt;=26,Coefficients!$M$6,Coefficients!$M$5),Coefficients!$M$4),IF(AN374&gt;=11,IF(AN374&gt;=26,Coefficients!$N$6,Coefficients!$N$5),Coefficients!$N$4))</f>
        <v>1</v>
      </c>
      <c r="AS374" s="27">
        <f>INDEX(Coefficients!$X$3:$X$4,MATCH(S374,Coefficients!$W$3:$W$4))</f>
        <v>1</v>
      </c>
      <c r="AT374" s="27">
        <f>INDEX(Coefficients!$X$7:$X$8,MATCH(O374,Coefficients!$W$7:$W$8))</f>
        <v>1</v>
      </c>
      <c r="AU374" s="27">
        <f>INDEX(Coefficients!$X$11:$X$12,MATCH(P374,Coefficients!$W$11:$W$12))</f>
        <v>1</v>
      </c>
      <c r="AV374" s="27">
        <f>INDEX(Coefficients!$X$15:$X$17,MATCH(Q374,Coefficients!$W$15:$W$17))</f>
        <v>1</v>
      </c>
      <c r="AW374" s="27">
        <f t="shared" si="376"/>
        <v>1</v>
      </c>
      <c r="AX374" s="27">
        <f t="shared" si="377"/>
        <v>1</v>
      </c>
      <c r="AY374" s="27">
        <f t="shared" si="378"/>
        <v>1.3</v>
      </c>
      <c r="AZ374" s="35">
        <f t="shared" si="379"/>
        <v>42.038704593740142</v>
      </c>
      <c r="BA374" s="35">
        <f t="shared" si="380"/>
        <v>0</v>
      </c>
      <c r="BB374" s="35">
        <f t="shared" si="381"/>
        <v>2.1860126388744874</v>
      </c>
      <c r="BC374" s="35">
        <f t="shared" si="382"/>
        <v>1.7813987361125512</v>
      </c>
      <c r="BD374" s="35">
        <f t="shared" si="365"/>
        <v>0.47575205262100634</v>
      </c>
      <c r="BE374" s="16">
        <f t="shared" si="366"/>
        <v>0</v>
      </c>
      <c r="BF374" s="16">
        <f t="shared" si="367"/>
        <v>400</v>
      </c>
      <c r="BG374" s="25">
        <f t="shared" si="368"/>
        <v>0</v>
      </c>
      <c r="BH374" s="35">
        <f t="shared" si="369"/>
        <v>0</v>
      </c>
      <c r="BI374" s="35">
        <f t="shared" si="370"/>
        <v>400</v>
      </c>
      <c r="BJ374" s="35">
        <f t="shared" si="371"/>
        <v>38.853462528810965</v>
      </c>
    </row>
    <row r="375" spans="1:62">
      <c r="B375" s="35" t="s">
        <v>133</v>
      </c>
      <c r="C375" s="85" t="str">
        <f>'Hotter&amp;Drier'!$B$1</f>
        <v>CSIRO Mk3.5</v>
      </c>
      <c r="D375" s="89">
        <v>2005</v>
      </c>
      <c r="E375" s="57">
        <f>'Cooler&amp;Wetter'!AA33</f>
        <v>35.512500000000003</v>
      </c>
      <c r="F375" s="90">
        <f>'Hotter&amp;Drier'!AD33</f>
        <v>21.725000000000001</v>
      </c>
      <c r="G375" s="35">
        <f t="shared" si="372"/>
        <v>2005</v>
      </c>
      <c r="H375" s="91" t="str">
        <f t="shared" si="352"/>
        <v>Pile 32 @ Berth 201</v>
      </c>
      <c r="I375" s="35" t="str">
        <f t="shared" si="353"/>
        <v>Turpentine Gum</v>
      </c>
      <c r="J375" s="35" t="str">
        <f t="shared" si="354"/>
        <v>HW1</v>
      </c>
      <c r="K375" s="35" t="str">
        <f t="shared" si="373"/>
        <v>SPHU</v>
      </c>
      <c r="L375" s="35">
        <f t="shared" si="355"/>
        <v>400</v>
      </c>
      <c r="M375" s="35">
        <f t="shared" si="356"/>
        <v>20</v>
      </c>
      <c r="N375" s="35">
        <f t="shared" si="357"/>
        <v>200</v>
      </c>
      <c r="O375" s="35" t="str">
        <f t="shared" si="358"/>
        <v>MTN2</v>
      </c>
      <c r="P375" s="35" t="str">
        <f t="shared" si="359"/>
        <v>CNT2</v>
      </c>
      <c r="Q375" s="35" t="str">
        <f t="shared" si="360"/>
        <v>KNT3</v>
      </c>
      <c r="R375" s="35" t="str">
        <f t="shared" si="361"/>
        <v>E</v>
      </c>
      <c r="S375" s="35" t="str">
        <f t="shared" si="362"/>
        <v>EXP1</v>
      </c>
      <c r="T375" s="58"/>
      <c r="U375" s="58"/>
      <c r="V375" s="58"/>
      <c r="W375" s="58"/>
      <c r="X375" s="58"/>
      <c r="Y375" s="58"/>
      <c r="Z375" s="58"/>
      <c r="AA375" s="95">
        <f t="shared" si="320"/>
        <v>0</v>
      </c>
      <c r="AB375" s="96">
        <f t="shared" si="374"/>
        <v>0</v>
      </c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89">
        <f t="shared" si="375"/>
        <v>0</v>
      </c>
      <c r="AN375" s="36">
        <f t="shared" si="363"/>
        <v>35.512500000000003</v>
      </c>
      <c r="AO375" s="35">
        <f t="shared" si="364"/>
        <v>1.6848304018304932</v>
      </c>
      <c r="AP375" s="35">
        <f>IF((OR(R375="A",R375="B",R375="C")),INDEX(Coefficients!$S$4:$S$22,MATCH(J375,Coefficients!$R$4:$R$22)),INDEX(Coefficients!$T$4:$T$22,MATCH(J375,Coefficients!$R$4:$R$22)))</f>
        <v>1.3</v>
      </c>
      <c r="AQ375" s="27">
        <f>IF((OR(R375="A",R375="B",R375="C")),INDEX(Coefficients!$S$4:$S$22,MATCH(K375,Coefficients!$R$4:$R$22)),INDEX(Coefficients!$T$4:$T$22,MATCH(K375,Coefficients!$R$4:$R$22)))</f>
        <v>25</v>
      </c>
      <c r="AR375" s="27">
        <f>IF(OR(R375="A",R375="B",R375="C",R375="D"),IF(AN375&gt;=11,IF(AN375&gt;=26,Coefficients!$M$6,Coefficients!$M$5),Coefficients!$M$4),IF(AN375&gt;=11,IF(AN375&gt;=26,Coefficients!$N$6,Coefficients!$N$5),Coefficients!$N$4))</f>
        <v>1</v>
      </c>
      <c r="AS375" s="27">
        <f>INDEX(Coefficients!$X$3:$X$4,MATCH(S375,Coefficients!$W$3:$W$4))</f>
        <v>1</v>
      </c>
      <c r="AT375" s="27">
        <f>INDEX(Coefficients!$X$7:$X$8,MATCH(O375,Coefficients!$W$7:$W$8))</f>
        <v>1</v>
      </c>
      <c r="AU375" s="27">
        <f>INDEX(Coefficients!$X$11:$X$12,MATCH(P375,Coefficients!$W$11:$W$12))</f>
        <v>1</v>
      </c>
      <c r="AV375" s="27">
        <f>INDEX(Coefficients!$X$15:$X$17,MATCH(Q375,Coefficients!$W$15:$W$17))</f>
        <v>1</v>
      </c>
      <c r="AW375" s="27">
        <f t="shared" si="376"/>
        <v>1</v>
      </c>
      <c r="AX375" s="27">
        <f t="shared" si="377"/>
        <v>1</v>
      </c>
      <c r="AY375" s="27">
        <f t="shared" si="378"/>
        <v>1.3</v>
      </c>
      <c r="AZ375" s="35">
        <f t="shared" si="379"/>
        <v>42.120760045762331</v>
      </c>
      <c r="BA375" s="35">
        <f t="shared" si="380"/>
        <v>0</v>
      </c>
      <c r="BB375" s="35">
        <f t="shared" si="381"/>
        <v>2.1902795223796412</v>
      </c>
      <c r="BC375" s="35">
        <f t="shared" si="382"/>
        <v>1.7809720477620359</v>
      </c>
      <c r="BD375" s="35">
        <f t="shared" si="365"/>
        <v>0.47482524005433163</v>
      </c>
      <c r="BE375" s="16">
        <f t="shared" si="366"/>
        <v>0</v>
      </c>
      <c r="BF375" s="16">
        <f t="shared" si="367"/>
        <v>400</v>
      </c>
      <c r="BG375" s="25">
        <f t="shared" si="368"/>
        <v>0</v>
      </c>
      <c r="BH375" s="35">
        <f t="shared" si="369"/>
        <v>0</v>
      </c>
      <c r="BI375" s="35">
        <f t="shared" si="370"/>
        <v>400</v>
      </c>
      <c r="BJ375" s="35">
        <f t="shared" si="371"/>
        <v>38.780815753534185</v>
      </c>
    </row>
    <row r="376" spans="1:62">
      <c r="B376" s="35" t="s">
        <v>133</v>
      </c>
      <c r="C376" s="85" t="str">
        <f>'Hotter&amp;Drier'!$B$1</f>
        <v>CSIRO Mk3.5</v>
      </c>
      <c r="D376" s="89">
        <v>2006</v>
      </c>
      <c r="E376" s="57">
        <f>'Cooler&amp;Wetter'!AA34</f>
        <v>35.513333333333335</v>
      </c>
      <c r="F376" s="90">
        <f>'Hotter&amp;Drier'!AD34</f>
        <v>21.74</v>
      </c>
      <c r="G376" s="35">
        <f t="shared" si="372"/>
        <v>2005</v>
      </c>
      <c r="H376" s="91" t="str">
        <f t="shared" si="352"/>
        <v>Pile 32 @ Berth 201</v>
      </c>
      <c r="I376" s="35" t="str">
        <f t="shared" si="353"/>
        <v>Turpentine Gum</v>
      </c>
      <c r="J376" s="35" t="str">
        <f t="shared" si="354"/>
        <v>HW1</v>
      </c>
      <c r="K376" s="35" t="str">
        <f t="shared" si="373"/>
        <v>SPHU</v>
      </c>
      <c r="L376" s="35">
        <f t="shared" si="355"/>
        <v>400</v>
      </c>
      <c r="M376" s="35">
        <f t="shared" si="356"/>
        <v>20</v>
      </c>
      <c r="N376" s="35">
        <f t="shared" si="357"/>
        <v>200</v>
      </c>
      <c r="O376" s="35" t="str">
        <f t="shared" si="358"/>
        <v>MTN2</v>
      </c>
      <c r="P376" s="35" t="str">
        <f t="shared" si="359"/>
        <v>CNT2</v>
      </c>
      <c r="Q376" s="35" t="str">
        <f t="shared" si="360"/>
        <v>KNT3</v>
      </c>
      <c r="R376" s="35" t="str">
        <f t="shared" si="361"/>
        <v>E</v>
      </c>
      <c r="S376" s="35" t="str">
        <f t="shared" si="362"/>
        <v>EXP1</v>
      </c>
      <c r="T376" s="58"/>
      <c r="U376" s="58"/>
      <c r="V376" s="58"/>
      <c r="W376" s="58"/>
      <c r="X376" s="58"/>
      <c r="Y376" s="58"/>
      <c r="Z376" s="58"/>
      <c r="AA376" s="95">
        <f t="shared" si="320"/>
        <v>0.2</v>
      </c>
      <c r="AB376" s="96">
        <f t="shared" si="374"/>
        <v>20</v>
      </c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89">
        <f t="shared" si="375"/>
        <v>1</v>
      </c>
      <c r="AN376" s="36">
        <f t="shared" si="363"/>
        <v>35.513333333333335</v>
      </c>
      <c r="AO376" s="35">
        <f t="shared" si="364"/>
        <v>1.6881190264810138</v>
      </c>
      <c r="AP376" s="35">
        <f>IF((OR(R376="A",R376="B",R376="C")),INDEX(Coefficients!$S$4:$S$22,MATCH(J376,Coefficients!$R$4:$R$22)),INDEX(Coefficients!$T$4:$T$22,MATCH(J376,Coefficients!$R$4:$R$22)))</f>
        <v>1.3</v>
      </c>
      <c r="AQ376" s="27">
        <f>IF((OR(R376="A",R376="B",R376="C")),INDEX(Coefficients!$S$4:$S$22,MATCH(K376,Coefficients!$R$4:$R$22)),INDEX(Coefficients!$T$4:$T$22,MATCH(K376,Coefficients!$R$4:$R$22)))</f>
        <v>25</v>
      </c>
      <c r="AR376" s="27">
        <f>IF(OR(R376="A",R376="B",R376="C",R376="D"),IF(AN376&gt;=11,IF(AN376&gt;=26,Coefficients!$M$6,Coefficients!$M$5),Coefficients!$M$4),IF(AN376&gt;=11,IF(AN376&gt;=26,Coefficients!$N$6,Coefficients!$N$5),Coefficients!$N$4))</f>
        <v>1</v>
      </c>
      <c r="AS376" s="27">
        <f>INDEX(Coefficients!$X$3:$X$4,MATCH(S376,Coefficients!$W$3:$W$4))</f>
        <v>1</v>
      </c>
      <c r="AT376" s="27">
        <f>INDEX(Coefficients!$X$7:$X$8,MATCH(O376,Coefficients!$W$7:$W$8))</f>
        <v>1</v>
      </c>
      <c r="AU376" s="27">
        <f>INDEX(Coefficients!$X$11:$X$12,MATCH(P376,Coefficients!$W$11:$W$12))</f>
        <v>1</v>
      </c>
      <c r="AV376" s="27">
        <f>INDEX(Coefficients!$X$15:$X$17,MATCH(Q376,Coefficients!$W$15:$W$17))</f>
        <v>1</v>
      </c>
      <c r="AW376" s="27">
        <f t="shared" si="376"/>
        <v>1</v>
      </c>
      <c r="AX376" s="27">
        <f t="shared" si="377"/>
        <v>1</v>
      </c>
      <c r="AY376" s="27">
        <f t="shared" si="378"/>
        <v>1.3</v>
      </c>
      <c r="AZ376" s="35">
        <f t="shared" si="379"/>
        <v>42.202975662025345</v>
      </c>
      <c r="BA376" s="35">
        <f t="shared" si="380"/>
        <v>0</v>
      </c>
      <c r="BB376" s="35">
        <f t="shared" si="381"/>
        <v>2.194554734425318</v>
      </c>
      <c r="BC376" s="35">
        <f t="shared" si="382"/>
        <v>1.7805445265574682</v>
      </c>
      <c r="BD376" s="35">
        <f t="shared" si="365"/>
        <v>0.47390023301120443</v>
      </c>
      <c r="BE376" s="16">
        <f t="shared" si="366"/>
        <v>20</v>
      </c>
      <c r="BF376" s="16">
        <f t="shared" si="367"/>
        <v>360</v>
      </c>
      <c r="BG376" s="25">
        <f t="shared" si="368"/>
        <v>0.2</v>
      </c>
      <c r="BH376" s="35">
        <f t="shared" si="369"/>
        <v>44</v>
      </c>
      <c r="BI376" s="35">
        <f t="shared" si="370"/>
        <v>312</v>
      </c>
      <c r="BJ376" s="35">
        <f t="shared" si="371"/>
        <v>38.708308837353634</v>
      </c>
    </row>
    <row r="377" spans="1:62">
      <c r="B377" s="35" t="s">
        <v>133</v>
      </c>
      <c r="C377" s="85" t="str">
        <f>'Hotter&amp;Drier'!$B$1</f>
        <v>CSIRO Mk3.5</v>
      </c>
      <c r="D377" s="89">
        <v>2007</v>
      </c>
      <c r="E377" s="57">
        <f>'Cooler&amp;Wetter'!AA35</f>
        <v>35.514166666666668</v>
      </c>
      <c r="F377" s="90">
        <f>'Hotter&amp;Drier'!AD35</f>
        <v>21.754999999999999</v>
      </c>
      <c r="G377" s="35">
        <f t="shared" si="372"/>
        <v>2005</v>
      </c>
      <c r="H377" s="91" t="str">
        <f t="shared" si="352"/>
        <v>Pile 32 @ Berth 201</v>
      </c>
      <c r="I377" s="35" t="str">
        <f t="shared" si="353"/>
        <v>Turpentine Gum</v>
      </c>
      <c r="J377" s="35" t="str">
        <f t="shared" si="354"/>
        <v>HW1</v>
      </c>
      <c r="K377" s="35" t="str">
        <f t="shared" si="373"/>
        <v>SPHU</v>
      </c>
      <c r="L377" s="35">
        <f t="shared" si="355"/>
        <v>400</v>
      </c>
      <c r="M377" s="35">
        <f t="shared" si="356"/>
        <v>20</v>
      </c>
      <c r="N377" s="35">
        <f t="shared" si="357"/>
        <v>200</v>
      </c>
      <c r="O377" s="35" t="str">
        <f t="shared" si="358"/>
        <v>MTN2</v>
      </c>
      <c r="P377" s="35" t="str">
        <f t="shared" si="359"/>
        <v>CNT2</v>
      </c>
      <c r="Q377" s="35" t="str">
        <f t="shared" si="360"/>
        <v>KNT3</v>
      </c>
      <c r="R377" s="35" t="str">
        <f t="shared" si="361"/>
        <v>E</v>
      </c>
      <c r="S377" s="35" t="str">
        <f t="shared" si="362"/>
        <v>EXP1</v>
      </c>
      <c r="T377" s="58"/>
      <c r="U377" s="58"/>
      <c r="V377" s="58"/>
      <c r="W377" s="58"/>
      <c r="X377" s="58"/>
      <c r="Y377" s="58"/>
      <c r="Z377" s="58"/>
      <c r="AA377" s="95">
        <f t="shared" si="320"/>
        <v>0.2</v>
      </c>
      <c r="AB377" s="96">
        <f t="shared" si="374"/>
        <v>20</v>
      </c>
      <c r="AC377" s="58"/>
      <c r="AD377" s="58"/>
      <c r="AE377" s="58"/>
      <c r="AF377" s="58"/>
      <c r="AG377" s="58"/>
      <c r="AH377" s="58"/>
      <c r="AI377" s="58"/>
      <c r="AJ377" s="58"/>
      <c r="AK377" s="58"/>
      <c r="AL377" s="58"/>
      <c r="AM377" s="89">
        <f t="shared" si="375"/>
        <v>2</v>
      </c>
      <c r="AN377" s="36">
        <f t="shared" si="363"/>
        <v>35.514166666666668</v>
      </c>
      <c r="AO377" s="35">
        <f t="shared" si="364"/>
        <v>1.6914140702061671</v>
      </c>
      <c r="AP377" s="35">
        <f>IF((OR(R377="A",R377="B",R377="C")),INDEX(Coefficients!$S$4:$S$22,MATCH(J377,Coefficients!$R$4:$R$22)),INDEX(Coefficients!$T$4:$T$22,MATCH(J377,Coefficients!$R$4:$R$22)))</f>
        <v>1.3</v>
      </c>
      <c r="AQ377" s="27">
        <f>IF((OR(R377="A",R377="B",R377="C")),INDEX(Coefficients!$S$4:$S$22,MATCH(K377,Coefficients!$R$4:$R$22)),INDEX(Coefficients!$T$4:$T$22,MATCH(K377,Coefficients!$R$4:$R$22)))</f>
        <v>25</v>
      </c>
      <c r="AR377" s="27">
        <f>IF(OR(R377="A",R377="B",R377="C",R377="D"),IF(AN377&gt;=11,IF(AN377&gt;=26,Coefficients!$M$6,Coefficients!$M$5),Coefficients!$M$4),IF(AN377&gt;=11,IF(AN377&gt;=26,Coefficients!$N$6,Coefficients!$N$5),Coefficients!$N$4))</f>
        <v>1</v>
      </c>
      <c r="AS377" s="27">
        <f>INDEX(Coefficients!$X$3:$X$4,MATCH(S377,Coefficients!$W$3:$W$4))</f>
        <v>1</v>
      </c>
      <c r="AT377" s="27">
        <f>INDEX(Coefficients!$X$7:$X$8,MATCH(O377,Coefficients!$W$7:$W$8))</f>
        <v>1</v>
      </c>
      <c r="AU377" s="27">
        <f>INDEX(Coefficients!$X$11:$X$12,MATCH(P377,Coefficients!$W$11:$W$12))</f>
        <v>1</v>
      </c>
      <c r="AV377" s="27">
        <f>INDEX(Coefficients!$X$15:$X$17,MATCH(Q377,Coefficients!$W$15:$W$17))</f>
        <v>1</v>
      </c>
      <c r="AW377" s="27">
        <f t="shared" si="376"/>
        <v>1</v>
      </c>
      <c r="AX377" s="27">
        <f t="shared" si="377"/>
        <v>1</v>
      </c>
      <c r="AY377" s="27">
        <f t="shared" si="378"/>
        <v>1.3</v>
      </c>
      <c r="AZ377" s="35">
        <f t="shared" si="379"/>
        <v>42.285351755154174</v>
      </c>
      <c r="BA377" s="35">
        <f t="shared" si="380"/>
        <v>0</v>
      </c>
      <c r="BB377" s="35">
        <f t="shared" si="381"/>
        <v>2.1988382912680171</v>
      </c>
      <c r="BC377" s="35">
        <f t="shared" si="382"/>
        <v>1.7801161708731983</v>
      </c>
      <c r="BD377" s="35">
        <f t="shared" si="365"/>
        <v>0.47297702797428415</v>
      </c>
      <c r="BE377" s="16">
        <f t="shared" si="366"/>
        <v>20</v>
      </c>
      <c r="BF377" s="16">
        <f t="shared" si="367"/>
        <v>360</v>
      </c>
      <c r="BG377" s="25">
        <f t="shared" si="368"/>
        <v>0.2</v>
      </c>
      <c r="BH377" s="35">
        <f t="shared" si="369"/>
        <v>44</v>
      </c>
      <c r="BI377" s="35">
        <f t="shared" si="370"/>
        <v>312</v>
      </c>
      <c r="BJ377" s="35">
        <f t="shared" si="371"/>
        <v>38.635941504561643</v>
      </c>
    </row>
    <row r="378" spans="1:62">
      <c r="B378" s="35" t="s">
        <v>133</v>
      </c>
      <c r="C378" s="85" t="str">
        <f>'Hotter&amp;Drier'!$B$1</f>
        <v>CSIRO Mk3.5</v>
      </c>
      <c r="D378" s="89">
        <v>2008</v>
      </c>
      <c r="E378" s="57">
        <f>'Cooler&amp;Wetter'!AA36</f>
        <v>35.515000000000001</v>
      </c>
      <c r="F378" s="90">
        <f>'Hotter&amp;Drier'!AD36</f>
        <v>21.77</v>
      </c>
      <c r="G378" s="35">
        <f t="shared" si="372"/>
        <v>2005</v>
      </c>
      <c r="H378" s="91" t="str">
        <f t="shared" si="352"/>
        <v>Pile 32 @ Berth 201</v>
      </c>
      <c r="I378" s="35" t="str">
        <f t="shared" si="353"/>
        <v>Turpentine Gum</v>
      </c>
      <c r="J378" s="35" t="str">
        <f t="shared" si="354"/>
        <v>HW1</v>
      </c>
      <c r="K378" s="35" t="str">
        <f t="shared" si="373"/>
        <v>SPHU</v>
      </c>
      <c r="L378" s="35">
        <f t="shared" si="355"/>
        <v>400</v>
      </c>
      <c r="M378" s="35">
        <f t="shared" si="356"/>
        <v>20</v>
      </c>
      <c r="N378" s="35">
        <f t="shared" si="357"/>
        <v>200</v>
      </c>
      <c r="O378" s="35" t="str">
        <f t="shared" si="358"/>
        <v>MTN2</v>
      </c>
      <c r="P378" s="35" t="str">
        <f t="shared" si="359"/>
        <v>CNT2</v>
      </c>
      <c r="Q378" s="35" t="str">
        <f t="shared" si="360"/>
        <v>KNT3</v>
      </c>
      <c r="R378" s="35" t="str">
        <f t="shared" si="361"/>
        <v>E</v>
      </c>
      <c r="S378" s="35" t="str">
        <f t="shared" si="362"/>
        <v>EXP1</v>
      </c>
      <c r="T378" s="58"/>
      <c r="U378" s="58"/>
      <c r="V378" s="58"/>
      <c r="W378" s="58"/>
      <c r="X378" s="58"/>
      <c r="Y378" s="58"/>
      <c r="Z378" s="58"/>
      <c r="AA378" s="95">
        <f t="shared" si="320"/>
        <v>0.21648508481063153</v>
      </c>
      <c r="AB378" s="96">
        <f t="shared" si="374"/>
        <v>21.648508481063153</v>
      </c>
      <c r="AC378" s="58"/>
      <c r="AD378" s="58"/>
      <c r="AE378" s="58"/>
      <c r="AF378" s="58"/>
      <c r="AG378" s="58"/>
      <c r="AH378" s="58"/>
      <c r="AI378" s="58"/>
      <c r="AJ378" s="58"/>
      <c r="AK378" s="58"/>
      <c r="AL378" s="58"/>
      <c r="AM378" s="89">
        <f t="shared" si="375"/>
        <v>3</v>
      </c>
      <c r="AN378" s="36">
        <f t="shared" si="363"/>
        <v>35.515000000000001</v>
      </c>
      <c r="AO378" s="35">
        <f t="shared" si="364"/>
        <v>1.6947155455353595</v>
      </c>
      <c r="AP378" s="35">
        <f>IF((OR(R378="A",R378="B",R378="C")),INDEX(Coefficients!$S$4:$S$22,MATCH(J378,Coefficients!$R$4:$R$22)),INDEX(Coefficients!$T$4:$T$22,MATCH(J378,Coefficients!$R$4:$R$22)))</f>
        <v>1.3</v>
      </c>
      <c r="AQ378" s="27">
        <f>IF((OR(R378="A",R378="B",R378="C")),INDEX(Coefficients!$S$4:$S$22,MATCH(K378,Coefficients!$R$4:$R$22)),INDEX(Coefficients!$T$4:$T$22,MATCH(K378,Coefficients!$R$4:$R$22)))</f>
        <v>25</v>
      </c>
      <c r="AR378" s="27">
        <f>IF(OR(R378="A",R378="B",R378="C",R378="D"),IF(AN378&gt;=11,IF(AN378&gt;=26,Coefficients!$M$6,Coefficients!$M$5),Coefficients!$M$4),IF(AN378&gt;=11,IF(AN378&gt;=26,Coefficients!$N$6,Coefficients!$N$5),Coefficients!$N$4))</f>
        <v>1</v>
      </c>
      <c r="AS378" s="27">
        <f>INDEX(Coefficients!$X$3:$X$4,MATCH(S378,Coefficients!$W$3:$W$4))</f>
        <v>1</v>
      </c>
      <c r="AT378" s="27">
        <f>INDEX(Coefficients!$X$7:$X$8,MATCH(O378,Coefficients!$W$7:$W$8))</f>
        <v>1</v>
      </c>
      <c r="AU378" s="27">
        <f>INDEX(Coefficients!$X$11:$X$12,MATCH(P378,Coefficients!$W$11:$W$12))</f>
        <v>1</v>
      </c>
      <c r="AV378" s="27">
        <f>INDEX(Coefficients!$X$15:$X$17,MATCH(Q378,Coefficients!$W$15:$W$17))</f>
        <v>1</v>
      </c>
      <c r="AW378" s="27">
        <f t="shared" si="376"/>
        <v>1</v>
      </c>
      <c r="AX378" s="27">
        <f t="shared" si="377"/>
        <v>1</v>
      </c>
      <c r="AY378" s="27">
        <f t="shared" si="378"/>
        <v>1.3</v>
      </c>
      <c r="AZ378" s="35">
        <f t="shared" si="379"/>
        <v>42.367888638383988</v>
      </c>
      <c r="BA378" s="35">
        <f t="shared" si="380"/>
        <v>0</v>
      </c>
      <c r="BB378" s="35">
        <f t="shared" si="381"/>
        <v>2.2031302091959675</v>
      </c>
      <c r="BC378" s="35">
        <f t="shared" si="382"/>
        <v>1.7796869790804033</v>
      </c>
      <c r="BD378" s="35">
        <f t="shared" si="365"/>
        <v>0.47205562143308277</v>
      </c>
      <c r="BE378" s="16">
        <f t="shared" si="366"/>
        <v>21.648508481063153</v>
      </c>
      <c r="BF378" s="16">
        <f t="shared" si="367"/>
        <v>356.70298303787371</v>
      </c>
      <c r="BG378" s="25">
        <f t="shared" si="368"/>
        <v>0.21648508481063153</v>
      </c>
      <c r="BH378" s="35">
        <f t="shared" si="369"/>
        <v>47.626718658338945</v>
      </c>
      <c r="BI378" s="35">
        <f t="shared" si="370"/>
        <v>304.74656268332211</v>
      </c>
      <c r="BJ378" s="35">
        <f t="shared" si="371"/>
        <v>38.563713479981388</v>
      </c>
    </row>
    <row r="379" spans="1:62">
      <c r="B379" s="35" t="s">
        <v>133</v>
      </c>
      <c r="C379" s="85" t="str">
        <f>'Hotter&amp;Drier'!$B$1</f>
        <v>CSIRO Mk3.5</v>
      </c>
      <c r="D379" s="89">
        <v>2009</v>
      </c>
      <c r="E379" s="57">
        <f>'Cooler&amp;Wetter'!AA37</f>
        <v>35.515833333333333</v>
      </c>
      <c r="F379" s="90">
        <f>'Hotter&amp;Drier'!AD37</f>
        <v>21.785</v>
      </c>
      <c r="G379" s="35">
        <f t="shared" si="372"/>
        <v>2005</v>
      </c>
      <c r="H379" s="91" t="str">
        <f t="shared" si="352"/>
        <v>Pile 32 @ Berth 201</v>
      </c>
      <c r="I379" s="35" t="str">
        <f t="shared" si="353"/>
        <v>Turpentine Gum</v>
      </c>
      <c r="J379" s="35" t="str">
        <f t="shared" si="354"/>
        <v>HW1</v>
      </c>
      <c r="K379" s="35" t="str">
        <f t="shared" si="373"/>
        <v>SPHU</v>
      </c>
      <c r="L379" s="35">
        <f t="shared" si="355"/>
        <v>400</v>
      </c>
      <c r="M379" s="35">
        <f t="shared" si="356"/>
        <v>20</v>
      </c>
      <c r="N379" s="35">
        <f t="shared" si="357"/>
        <v>200</v>
      </c>
      <c r="O379" s="35" t="str">
        <f t="shared" si="358"/>
        <v>MTN2</v>
      </c>
      <c r="P379" s="35" t="str">
        <f t="shared" si="359"/>
        <v>CNT2</v>
      </c>
      <c r="Q379" s="35" t="str">
        <f t="shared" si="360"/>
        <v>KNT3</v>
      </c>
      <c r="R379" s="35" t="str">
        <f t="shared" si="361"/>
        <v>E</v>
      </c>
      <c r="S379" s="35" t="str">
        <f t="shared" si="362"/>
        <v>EXP1</v>
      </c>
      <c r="T379" s="58"/>
      <c r="U379" s="58"/>
      <c r="V379" s="58"/>
      <c r="W379" s="58"/>
      <c r="X379" s="58"/>
      <c r="Y379" s="58"/>
      <c r="Z379" s="58"/>
      <c r="AA379" s="95">
        <f t="shared" si="320"/>
        <v>0.23862135952290991</v>
      </c>
      <c r="AB379" s="96">
        <f t="shared" si="374"/>
        <v>23.862135952290991</v>
      </c>
      <c r="AC379" s="58"/>
      <c r="AD379" s="58"/>
      <c r="AE379" s="58"/>
      <c r="AF379" s="58"/>
      <c r="AG379" s="58"/>
      <c r="AH379" s="58"/>
      <c r="AI379" s="58"/>
      <c r="AJ379" s="58"/>
      <c r="AK379" s="58"/>
      <c r="AL379" s="58"/>
      <c r="AM379" s="89">
        <f t="shared" si="375"/>
        <v>4</v>
      </c>
      <c r="AN379" s="36">
        <f t="shared" si="363"/>
        <v>35.515833333333333</v>
      </c>
      <c r="AO379" s="35">
        <f t="shared" si="364"/>
        <v>1.698023465022457</v>
      </c>
      <c r="AP379" s="35">
        <f>IF((OR(R379="A",R379="B",R379="C")),INDEX(Coefficients!$S$4:$S$22,MATCH(J379,Coefficients!$R$4:$R$22)),INDEX(Coefficients!$T$4:$T$22,MATCH(J379,Coefficients!$R$4:$R$22)))</f>
        <v>1.3</v>
      </c>
      <c r="AQ379" s="27">
        <f>IF((OR(R379="A",R379="B",R379="C")),INDEX(Coefficients!$S$4:$S$22,MATCH(K379,Coefficients!$R$4:$R$22)),INDEX(Coefficients!$T$4:$T$22,MATCH(K379,Coefficients!$R$4:$R$22)))</f>
        <v>25</v>
      </c>
      <c r="AR379" s="27">
        <f>IF(OR(R379="A",R379="B",R379="C",R379="D"),IF(AN379&gt;=11,IF(AN379&gt;=26,Coefficients!$M$6,Coefficients!$M$5),Coefficients!$M$4),IF(AN379&gt;=11,IF(AN379&gt;=26,Coefficients!$N$6,Coefficients!$N$5),Coefficients!$N$4))</f>
        <v>1</v>
      </c>
      <c r="AS379" s="27">
        <f>INDEX(Coefficients!$X$3:$X$4,MATCH(S379,Coefficients!$W$3:$W$4))</f>
        <v>1</v>
      </c>
      <c r="AT379" s="27">
        <f>INDEX(Coefficients!$X$7:$X$8,MATCH(O379,Coefficients!$W$7:$W$8))</f>
        <v>1</v>
      </c>
      <c r="AU379" s="27">
        <f>INDEX(Coefficients!$X$11:$X$12,MATCH(P379,Coefficients!$W$11:$W$12))</f>
        <v>1</v>
      </c>
      <c r="AV379" s="27">
        <f>INDEX(Coefficients!$X$15:$X$17,MATCH(Q379,Coefficients!$W$15:$W$17))</f>
        <v>1</v>
      </c>
      <c r="AW379" s="27">
        <f t="shared" si="376"/>
        <v>1</v>
      </c>
      <c r="AX379" s="27">
        <f t="shared" si="377"/>
        <v>1</v>
      </c>
      <c r="AY379" s="27">
        <f t="shared" si="378"/>
        <v>1.3</v>
      </c>
      <c r="AZ379" s="35">
        <f t="shared" si="379"/>
        <v>42.450586625561428</v>
      </c>
      <c r="BA379" s="35">
        <f t="shared" si="380"/>
        <v>0</v>
      </c>
      <c r="BB379" s="35">
        <f t="shared" si="381"/>
        <v>2.2074305045291944</v>
      </c>
      <c r="BC379" s="35">
        <f t="shared" si="382"/>
        <v>1.7792569495470805</v>
      </c>
      <c r="BD379" s="35">
        <f t="shared" si="365"/>
        <v>0.47113600988395038</v>
      </c>
      <c r="BE379" s="16">
        <f t="shared" si="366"/>
        <v>23.862135952290991</v>
      </c>
      <c r="BF379" s="16">
        <f t="shared" si="367"/>
        <v>352.275728095418</v>
      </c>
      <c r="BG379" s="25">
        <f t="shared" si="368"/>
        <v>0.23862135952290991</v>
      </c>
      <c r="BH379" s="35">
        <f t="shared" si="369"/>
        <v>52.496699095040185</v>
      </c>
      <c r="BI379" s="35">
        <f t="shared" si="370"/>
        <v>295.00660180991963</v>
      </c>
      <c r="BJ379" s="35">
        <f t="shared" si="371"/>
        <v>38.49162448896567</v>
      </c>
    </row>
    <row r="380" spans="1:62">
      <c r="B380" s="35" t="s">
        <v>133</v>
      </c>
      <c r="C380" s="85" t="str">
        <f>'Hotter&amp;Drier'!$B$1</f>
        <v>CSIRO Mk3.5</v>
      </c>
      <c r="D380" s="89">
        <v>2010</v>
      </c>
      <c r="E380" s="57">
        <f>'Cooler&amp;Wetter'!AA38</f>
        <v>35.516666666666666</v>
      </c>
      <c r="F380" s="90">
        <f>'Hotter&amp;Drier'!AD38</f>
        <v>21.8</v>
      </c>
      <c r="G380" s="35">
        <f t="shared" si="372"/>
        <v>2005</v>
      </c>
      <c r="H380" s="91" t="str">
        <f t="shared" si="352"/>
        <v>Pile 32 @ Berth 201</v>
      </c>
      <c r="I380" s="35" t="str">
        <f t="shared" si="353"/>
        <v>Turpentine Gum</v>
      </c>
      <c r="J380" s="35" t="str">
        <f t="shared" si="354"/>
        <v>HW1</v>
      </c>
      <c r="K380" s="35" t="str">
        <f t="shared" si="373"/>
        <v>SPHU</v>
      </c>
      <c r="L380" s="35">
        <f t="shared" si="355"/>
        <v>400</v>
      </c>
      <c r="M380" s="35">
        <f t="shared" si="356"/>
        <v>20</v>
      </c>
      <c r="N380" s="35">
        <f t="shared" si="357"/>
        <v>200</v>
      </c>
      <c r="O380" s="35" t="str">
        <f t="shared" si="358"/>
        <v>MTN2</v>
      </c>
      <c r="P380" s="35" t="str">
        <f t="shared" si="359"/>
        <v>CNT2</v>
      </c>
      <c r="Q380" s="35" t="str">
        <f t="shared" si="360"/>
        <v>KNT3</v>
      </c>
      <c r="R380" s="35" t="str">
        <f t="shared" si="361"/>
        <v>E</v>
      </c>
      <c r="S380" s="35" t="str">
        <f t="shared" si="362"/>
        <v>EXP1</v>
      </c>
      <c r="T380" s="58"/>
      <c r="U380" s="58"/>
      <c r="V380" s="58"/>
      <c r="W380" s="58"/>
      <c r="X380" s="58"/>
      <c r="Y380" s="58"/>
      <c r="Z380" s="58"/>
      <c r="AA380" s="95">
        <f t="shared" si="320"/>
        <v>0.26084396606918014</v>
      </c>
      <c r="AB380" s="96">
        <f t="shared" si="374"/>
        <v>26.084396606918016</v>
      </c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89">
        <f t="shared" si="375"/>
        <v>5</v>
      </c>
      <c r="AN380" s="36">
        <f t="shared" si="363"/>
        <v>35.516666666666666</v>
      </c>
      <c r="AO380" s="35">
        <f t="shared" si="364"/>
        <v>1.7013378412458255</v>
      </c>
      <c r="AP380" s="35">
        <f>IF((OR(R380="A",R380="B",R380="C")),INDEX(Coefficients!$S$4:$S$22,MATCH(J380,Coefficients!$R$4:$R$22)),INDEX(Coefficients!$T$4:$T$22,MATCH(J380,Coefficients!$R$4:$R$22)))</f>
        <v>1.3</v>
      </c>
      <c r="AQ380" s="27">
        <f>IF((OR(R380="A",R380="B",R380="C")),INDEX(Coefficients!$S$4:$S$22,MATCH(K380,Coefficients!$R$4:$R$22)),INDEX(Coefficients!$T$4:$T$22,MATCH(K380,Coefficients!$R$4:$R$22)))</f>
        <v>25</v>
      </c>
      <c r="AR380" s="27">
        <f>IF(OR(R380="A",R380="B",R380="C",R380="D"),IF(AN380&gt;=11,IF(AN380&gt;=26,Coefficients!$M$6,Coefficients!$M$5),Coefficients!$M$4),IF(AN380&gt;=11,IF(AN380&gt;=26,Coefficients!$N$6,Coefficients!$N$5),Coefficients!$N$4))</f>
        <v>1</v>
      </c>
      <c r="AS380" s="27">
        <f>INDEX(Coefficients!$X$3:$X$4,MATCH(S380,Coefficients!$W$3:$W$4))</f>
        <v>1</v>
      </c>
      <c r="AT380" s="27">
        <f>INDEX(Coefficients!$X$7:$X$8,MATCH(O380,Coefficients!$W$7:$W$8))</f>
        <v>1</v>
      </c>
      <c r="AU380" s="27">
        <f>INDEX(Coefficients!$X$11:$X$12,MATCH(P380,Coefficients!$W$11:$W$12))</f>
        <v>1</v>
      </c>
      <c r="AV380" s="27">
        <f>INDEX(Coefficients!$X$15:$X$17,MATCH(Q380,Coefficients!$W$15:$W$17))</f>
        <v>1</v>
      </c>
      <c r="AW380" s="27">
        <f t="shared" si="376"/>
        <v>1</v>
      </c>
      <c r="AX380" s="27">
        <f t="shared" si="377"/>
        <v>1</v>
      </c>
      <c r="AY380" s="27">
        <f t="shared" si="378"/>
        <v>1.3</v>
      </c>
      <c r="AZ380" s="35">
        <f t="shared" si="379"/>
        <v>42.533446031145637</v>
      </c>
      <c r="BA380" s="35">
        <f t="shared" si="380"/>
        <v>0</v>
      </c>
      <c r="BB380" s="35">
        <f t="shared" si="381"/>
        <v>2.2117391936195734</v>
      </c>
      <c r="BC380" s="35">
        <f t="shared" si="382"/>
        <v>1.7788260806380427</v>
      </c>
      <c r="BD380" s="35">
        <f t="shared" si="365"/>
        <v>0.47021818983006353</v>
      </c>
      <c r="BE380" s="16">
        <f t="shared" si="366"/>
        <v>26.084396606918016</v>
      </c>
      <c r="BF380" s="16">
        <f t="shared" si="367"/>
        <v>347.83120678616399</v>
      </c>
      <c r="BG380" s="25">
        <f t="shared" si="368"/>
        <v>0.26084396606918014</v>
      </c>
      <c r="BH380" s="35">
        <f t="shared" si="369"/>
        <v>57.385672535219641</v>
      </c>
      <c r="BI380" s="35">
        <f t="shared" si="370"/>
        <v>285.22865492956072</v>
      </c>
      <c r="BJ380" s="35">
        <f t="shared" si="371"/>
        <v>38.419674257396061</v>
      </c>
    </row>
    <row r="381" spans="1:62">
      <c r="B381" s="35" t="s">
        <v>133</v>
      </c>
      <c r="C381" s="85" t="str">
        <f>'Hotter&amp;Drier'!$B$1</f>
        <v>CSIRO Mk3.5</v>
      </c>
      <c r="D381" s="89">
        <v>2011</v>
      </c>
      <c r="E381" s="57">
        <f>'Cooler&amp;Wetter'!AA39</f>
        <v>35.518333333333331</v>
      </c>
      <c r="F381" s="90">
        <f>'Hotter&amp;Drier'!AD39</f>
        <v>21.83</v>
      </c>
      <c r="G381" s="35">
        <f t="shared" si="372"/>
        <v>2005</v>
      </c>
      <c r="H381" s="91" t="str">
        <f t="shared" si="352"/>
        <v>Pile 32 @ Berth 201</v>
      </c>
      <c r="I381" s="35" t="str">
        <f t="shared" si="353"/>
        <v>Turpentine Gum</v>
      </c>
      <c r="J381" s="35" t="str">
        <f t="shared" si="354"/>
        <v>HW1</v>
      </c>
      <c r="K381" s="35" t="str">
        <f t="shared" si="373"/>
        <v>SPHU</v>
      </c>
      <c r="L381" s="35">
        <f t="shared" si="355"/>
        <v>400</v>
      </c>
      <c r="M381" s="35">
        <f t="shared" si="356"/>
        <v>20</v>
      </c>
      <c r="N381" s="35">
        <f t="shared" si="357"/>
        <v>200</v>
      </c>
      <c r="O381" s="35" t="str">
        <f t="shared" si="358"/>
        <v>MTN2</v>
      </c>
      <c r="P381" s="35" t="str">
        <f t="shared" si="359"/>
        <v>CNT2</v>
      </c>
      <c r="Q381" s="35" t="str">
        <f t="shared" si="360"/>
        <v>KNT3</v>
      </c>
      <c r="R381" s="35" t="str">
        <f t="shared" si="361"/>
        <v>E</v>
      </c>
      <c r="S381" s="35" t="str">
        <f t="shared" si="362"/>
        <v>EXP1</v>
      </c>
      <c r="T381" s="58"/>
      <c r="U381" s="58"/>
      <c r="V381" s="58"/>
      <c r="W381" s="58"/>
      <c r="X381" s="58"/>
      <c r="Y381" s="58"/>
      <c r="Z381" s="58"/>
      <c r="AA381" s="95">
        <f t="shared" si="320"/>
        <v>0.28334536816610051</v>
      </c>
      <c r="AB381" s="96">
        <f t="shared" si="374"/>
        <v>28.334536816610051</v>
      </c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89">
        <f t="shared" si="375"/>
        <v>6</v>
      </c>
      <c r="AN381" s="36">
        <f t="shared" si="363"/>
        <v>35.518333333333331</v>
      </c>
      <c r="AO381" s="35">
        <f t="shared" si="364"/>
        <v>1.7079860143376557</v>
      </c>
      <c r="AP381" s="35">
        <f>IF((OR(R381="A",R381="B",R381="C")),INDEX(Coefficients!$S$4:$S$22,MATCH(J381,Coefficients!$R$4:$R$22)),INDEX(Coefficients!$T$4:$T$22,MATCH(J381,Coefficients!$R$4:$R$22)))</f>
        <v>1.3</v>
      </c>
      <c r="AQ381" s="27">
        <f>IF((OR(R381="A",R381="B",R381="C")),INDEX(Coefficients!$S$4:$S$22,MATCH(K381,Coefficients!$R$4:$R$22)),INDEX(Coefficients!$T$4:$T$22,MATCH(K381,Coefficients!$R$4:$R$22)))</f>
        <v>25</v>
      </c>
      <c r="AR381" s="27">
        <f>IF(OR(R381="A",R381="B",R381="C",R381="D"),IF(AN381&gt;=11,IF(AN381&gt;=26,Coefficients!$M$6,Coefficients!$M$5),Coefficients!$M$4),IF(AN381&gt;=11,IF(AN381&gt;=26,Coefficients!$N$6,Coefficients!$N$5),Coefficients!$N$4))</f>
        <v>1</v>
      </c>
      <c r="AS381" s="27">
        <f>INDEX(Coefficients!$X$3:$X$4,MATCH(S381,Coefficients!$W$3:$W$4))</f>
        <v>1</v>
      </c>
      <c r="AT381" s="27">
        <f>INDEX(Coefficients!$X$7:$X$8,MATCH(O381,Coefficients!$W$7:$W$8))</f>
        <v>1</v>
      </c>
      <c r="AU381" s="27">
        <f>INDEX(Coefficients!$X$11:$X$12,MATCH(P381,Coefficients!$W$11:$W$12))</f>
        <v>1</v>
      </c>
      <c r="AV381" s="27">
        <f>INDEX(Coefficients!$X$15:$X$17,MATCH(Q381,Coefficients!$W$15:$W$17))</f>
        <v>1</v>
      </c>
      <c r="AW381" s="27">
        <f t="shared" si="376"/>
        <v>1</v>
      </c>
      <c r="AX381" s="27">
        <f t="shared" si="377"/>
        <v>1</v>
      </c>
      <c r="AY381" s="27">
        <f t="shared" si="378"/>
        <v>1.3</v>
      </c>
      <c r="AZ381" s="35">
        <f t="shared" si="379"/>
        <v>42.699650358441396</v>
      </c>
      <c r="BA381" s="35">
        <f t="shared" si="380"/>
        <v>0</v>
      </c>
      <c r="BB381" s="35">
        <f t="shared" si="381"/>
        <v>2.2203818186389523</v>
      </c>
      <c r="BC381" s="35">
        <f t="shared" si="382"/>
        <v>1.7779618181361048</v>
      </c>
      <c r="BD381" s="35">
        <f t="shared" si="365"/>
        <v>0.46838791025477688</v>
      </c>
      <c r="BE381" s="16">
        <f t="shared" si="366"/>
        <v>28.334536816610051</v>
      </c>
      <c r="BF381" s="16">
        <f t="shared" si="367"/>
        <v>343.33092636677992</v>
      </c>
      <c r="BG381" s="25">
        <f t="shared" si="368"/>
        <v>0.28334536816610051</v>
      </c>
      <c r="BH381" s="35">
        <f t="shared" si="369"/>
        <v>62.335980996542119</v>
      </c>
      <c r="BI381" s="35">
        <f t="shared" si="370"/>
        <v>275.32803800691579</v>
      </c>
      <c r="BJ381" s="35">
        <f t="shared" si="371"/>
        <v>38.276188978758341</v>
      </c>
    </row>
    <row r="382" spans="1:62">
      <c r="B382" s="35" t="s">
        <v>133</v>
      </c>
      <c r="C382" s="85" t="str">
        <f>'Hotter&amp;Drier'!$B$1</f>
        <v>CSIRO Mk3.5</v>
      </c>
      <c r="D382" s="89">
        <v>2012</v>
      </c>
      <c r="E382" s="57">
        <f>'Cooler&amp;Wetter'!AA40</f>
        <v>35.520000000000003</v>
      </c>
      <c r="F382" s="90">
        <f>'Hotter&amp;Drier'!AD40</f>
        <v>21.86</v>
      </c>
      <c r="G382" s="35">
        <f t="shared" si="372"/>
        <v>2005</v>
      </c>
      <c r="H382" s="91" t="str">
        <f t="shared" si="352"/>
        <v>Pile 32 @ Berth 201</v>
      </c>
      <c r="I382" s="35" t="str">
        <f t="shared" si="353"/>
        <v>Turpentine Gum</v>
      </c>
      <c r="J382" s="35" t="str">
        <f t="shared" si="354"/>
        <v>HW1</v>
      </c>
      <c r="K382" s="35" t="str">
        <f t="shared" si="373"/>
        <v>SPHU</v>
      </c>
      <c r="L382" s="35">
        <f t="shared" si="355"/>
        <v>400</v>
      </c>
      <c r="M382" s="35">
        <f t="shared" si="356"/>
        <v>20</v>
      </c>
      <c r="N382" s="35">
        <f t="shared" si="357"/>
        <v>200</v>
      </c>
      <c r="O382" s="35" t="str">
        <f t="shared" si="358"/>
        <v>MTN2</v>
      </c>
      <c r="P382" s="35" t="str">
        <f t="shared" si="359"/>
        <v>CNT2</v>
      </c>
      <c r="Q382" s="35" t="str">
        <f t="shared" si="360"/>
        <v>KNT3</v>
      </c>
      <c r="R382" s="35" t="str">
        <f t="shared" si="361"/>
        <v>E</v>
      </c>
      <c r="S382" s="35" t="str">
        <f t="shared" si="362"/>
        <v>EXP1</v>
      </c>
      <c r="T382" s="58"/>
      <c r="U382" s="58"/>
      <c r="V382" s="58"/>
      <c r="W382" s="58"/>
      <c r="X382" s="58"/>
      <c r="Y382" s="58"/>
      <c r="Z382" s="58"/>
      <c r="AA382" s="95">
        <f t="shared" si="320"/>
        <v>0.30602161131444805</v>
      </c>
      <c r="AB382" s="96">
        <f t="shared" si="374"/>
        <v>30.602161131444802</v>
      </c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89">
        <f t="shared" si="375"/>
        <v>7</v>
      </c>
      <c r="AN382" s="36">
        <f t="shared" si="363"/>
        <v>35.520000000000003</v>
      </c>
      <c r="AO382" s="35">
        <f t="shared" si="364"/>
        <v>1.7146601659296927</v>
      </c>
      <c r="AP382" s="35">
        <f>IF((OR(R382="A",R382="B",R382="C")),INDEX(Coefficients!$S$4:$S$22,MATCH(J382,Coefficients!$R$4:$R$22)),INDEX(Coefficients!$T$4:$T$22,MATCH(J382,Coefficients!$R$4:$R$22)))</f>
        <v>1.3</v>
      </c>
      <c r="AQ382" s="27">
        <f>IF((OR(R382="A",R382="B",R382="C")),INDEX(Coefficients!$S$4:$S$22,MATCH(K382,Coefficients!$R$4:$R$22)),INDEX(Coefficients!$T$4:$T$22,MATCH(K382,Coefficients!$R$4:$R$22)))</f>
        <v>25</v>
      </c>
      <c r="AR382" s="27">
        <f>IF(OR(R382="A",R382="B",R382="C",R382="D"),IF(AN382&gt;=11,IF(AN382&gt;=26,Coefficients!$M$6,Coefficients!$M$5),Coefficients!$M$4),IF(AN382&gt;=11,IF(AN382&gt;=26,Coefficients!$N$6,Coefficients!$N$5),Coefficients!$N$4))</f>
        <v>1</v>
      </c>
      <c r="AS382" s="27">
        <f>INDEX(Coefficients!$X$3:$X$4,MATCH(S382,Coefficients!$W$3:$W$4))</f>
        <v>1</v>
      </c>
      <c r="AT382" s="27">
        <f>INDEX(Coefficients!$X$7:$X$8,MATCH(O382,Coefficients!$W$7:$W$8))</f>
        <v>1</v>
      </c>
      <c r="AU382" s="27">
        <f>INDEX(Coefficients!$X$11:$X$12,MATCH(P382,Coefficients!$W$11:$W$12))</f>
        <v>1</v>
      </c>
      <c r="AV382" s="27">
        <f>INDEX(Coefficients!$X$15:$X$17,MATCH(Q382,Coefficients!$W$15:$W$17))</f>
        <v>1</v>
      </c>
      <c r="AW382" s="27">
        <f t="shared" si="376"/>
        <v>1</v>
      </c>
      <c r="AX382" s="27">
        <f t="shared" si="377"/>
        <v>1</v>
      </c>
      <c r="AY382" s="27">
        <f t="shared" si="378"/>
        <v>1.3</v>
      </c>
      <c r="AZ382" s="35">
        <f t="shared" si="379"/>
        <v>42.866504148242321</v>
      </c>
      <c r="BA382" s="35">
        <f t="shared" si="380"/>
        <v>0</v>
      </c>
      <c r="BB382" s="35">
        <f t="shared" si="381"/>
        <v>2.2290582157086005</v>
      </c>
      <c r="BC382" s="35">
        <f t="shared" si="382"/>
        <v>1.7770941784291399</v>
      </c>
      <c r="BD382" s="35">
        <f t="shared" si="365"/>
        <v>0.46656475486863491</v>
      </c>
      <c r="BE382" s="16">
        <f t="shared" si="366"/>
        <v>30.602161131444802</v>
      </c>
      <c r="BF382" s="16">
        <f t="shared" si="367"/>
        <v>338.7956777371104</v>
      </c>
      <c r="BG382" s="25">
        <f t="shared" si="368"/>
        <v>0.30602161131444805</v>
      </c>
      <c r="BH382" s="35">
        <f t="shared" si="369"/>
        <v>67.324754489178574</v>
      </c>
      <c r="BI382" s="35">
        <f t="shared" si="370"/>
        <v>265.35049102164282</v>
      </c>
      <c r="BJ382" s="35">
        <f t="shared" si="371"/>
        <v>38.133255461654308</v>
      </c>
    </row>
    <row r="383" spans="1:62">
      <c r="B383" s="35" t="s">
        <v>133</v>
      </c>
      <c r="C383" s="85" t="str">
        <f>'Hotter&amp;Drier'!$B$1</f>
        <v>CSIRO Mk3.5</v>
      </c>
      <c r="D383" s="89">
        <v>2013</v>
      </c>
      <c r="E383" s="57">
        <f>'Cooler&amp;Wetter'!AA41</f>
        <v>35.521666666666668</v>
      </c>
      <c r="F383" s="90">
        <f>'Hotter&amp;Drier'!AD41</f>
        <v>21.89</v>
      </c>
      <c r="G383" s="35">
        <f t="shared" si="372"/>
        <v>2005</v>
      </c>
      <c r="H383" s="91" t="str">
        <f t="shared" si="352"/>
        <v>Pile 32 @ Berth 201</v>
      </c>
      <c r="I383" s="35" t="str">
        <f t="shared" si="353"/>
        <v>Turpentine Gum</v>
      </c>
      <c r="J383" s="35" t="str">
        <f t="shared" si="354"/>
        <v>HW1</v>
      </c>
      <c r="K383" s="35" t="str">
        <f t="shared" si="373"/>
        <v>SPHU</v>
      </c>
      <c r="L383" s="35">
        <f t="shared" si="355"/>
        <v>400</v>
      </c>
      <c r="M383" s="35">
        <f t="shared" si="356"/>
        <v>20</v>
      </c>
      <c r="N383" s="35">
        <f t="shared" si="357"/>
        <v>200</v>
      </c>
      <c r="O383" s="35" t="str">
        <f t="shared" si="358"/>
        <v>MTN2</v>
      </c>
      <c r="P383" s="35" t="str">
        <f t="shared" si="359"/>
        <v>CNT2</v>
      </c>
      <c r="Q383" s="35" t="str">
        <f t="shared" si="360"/>
        <v>KNT3</v>
      </c>
      <c r="R383" s="35" t="str">
        <f t="shared" si="361"/>
        <v>E</v>
      </c>
      <c r="S383" s="35" t="str">
        <f t="shared" si="362"/>
        <v>EXP1</v>
      </c>
      <c r="T383" s="58"/>
      <c r="U383" s="58"/>
      <c r="V383" s="58"/>
      <c r="W383" s="58"/>
      <c r="X383" s="58"/>
      <c r="Y383" s="58"/>
      <c r="Z383" s="58"/>
      <c r="AA383" s="95">
        <f t="shared" si="320"/>
        <v>0.32887371894256739</v>
      </c>
      <c r="AB383" s="96">
        <f t="shared" si="374"/>
        <v>32.887371894256738</v>
      </c>
      <c r="AC383" s="58"/>
      <c r="AD383" s="58"/>
      <c r="AE383" s="58"/>
      <c r="AF383" s="58"/>
      <c r="AG383" s="58"/>
      <c r="AH383" s="58"/>
      <c r="AI383" s="58"/>
      <c r="AJ383" s="58"/>
      <c r="AK383" s="58"/>
      <c r="AL383" s="58"/>
      <c r="AM383" s="89">
        <f t="shared" si="375"/>
        <v>8</v>
      </c>
      <c r="AN383" s="36">
        <f t="shared" si="363"/>
        <v>35.521666666666668</v>
      </c>
      <c r="AO383" s="35">
        <f t="shared" si="364"/>
        <v>1.7213603975359097</v>
      </c>
      <c r="AP383" s="35">
        <f>IF((OR(R383="A",R383="B",R383="C")),INDEX(Coefficients!$S$4:$S$22,MATCH(J383,Coefficients!$R$4:$R$22)),INDEX(Coefficients!$T$4:$T$22,MATCH(J383,Coefficients!$R$4:$R$22)))</f>
        <v>1.3</v>
      </c>
      <c r="AQ383" s="27">
        <f>IF((OR(R383="A",R383="B",R383="C")),INDEX(Coefficients!$S$4:$S$22,MATCH(K383,Coefficients!$R$4:$R$22)),INDEX(Coefficients!$T$4:$T$22,MATCH(K383,Coefficients!$R$4:$R$22)))</f>
        <v>25</v>
      </c>
      <c r="AR383" s="27">
        <f>IF(OR(R383="A",R383="B",R383="C",R383="D"),IF(AN383&gt;=11,IF(AN383&gt;=26,Coefficients!$M$6,Coefficients!$M$5),Coefficients!$M$4),IF(AN383&gt;=11,IF(AN383&gt;=26,Coefficients!$N$6,Coefficients!$N$5),Coefficients!$N$4))</f>
        <v>1</v>
      </c>
      <c r="AS383" s="27">
        <f>INDEX(Coefficients!$X$3:$X$4,MATCH(S383,Coefficients!$W$3:$W$4))</f>
        <v>1</v>
      </c>
      <c r="AT383" s="27">
        <f>INDEX(Coefficients!$X$7:$X$8,MATCH(O383,Coefficients!$W$7:$W$8))</f>
        <v>1</v>
      </c>
      <c r="AU383" s="27">
        <f>INDEX(Coefficients!$X$11:$X$12,MATCH(P383,Coefficients!$W$11:$W$12))</f>
        <v>1</v>
      </c>
      <c r="AV383" s="27">
        <f>INDEX(Coefficients!$X$15:$X$17,MATCH(Q383,Coefficients!$W$15:$W$17))</f>
        <v>1</v>
      </c>
      <c r="AW383" s="27">
        <f t="shared" si="376"/>
        <v>1</v>
      </c>
      <c r="AX383" s="27">
        <f t="shared" si="377"/>
        <v>1</v>
      </c>
      <c r="AY383" s="27">
        <f t="shared" si="378"/>
        <v>1.3</v>
      </c>
      <c r="AZ383" s="35">
        <f t="shared" si="379"/>
        <v>43.034009938397745</v>
      </c>
      <c r="BA383" s="35">
        <f t="shared" si="380"/>
        <v>0</v>
      </c>
      <c r="BB383" s="35">
        <f t="shared" si="381"/>
        <v>2.2377685167966828</v>
      </c>
      <c r="BC383" s="35">
        <f t="shared" si="382"/>
        <v>1.7762231483203317</v>
      </c>
      <c r="BD383" s="35">
        <f t="shared" si="365"/>
        <v>0.46474869594140933</v>
      </c>
      <c r="BE383" s="16">
        <f t="shared" si="366"/>
        <v>32.887371894256738</v>
      </c>
      <c r="BF383" s="16">
        <f t="shared" si="367"/>
        <v>334.22525621148651</v>
      </c>
      <c r="BG383" s="25">
        <f t="shared" si="368"/>
        <v>0.32887371894256739</v>
      </c>
      <c r="BH383" s="35">
        <f t="shared" si="369"/>
        <v>72.352218167364825</v>
      </c>
      <c r="BI383" s="35">
        <f t="shared" si="370"/>
        <v>255.29556366527035</v>
      </c>
      <c r="BJ383" s="35">
        <f t="shared" si="371"/>
        <v>37.990871532062457</v>
      </c>
    </row>
    <row r="384" spans="1:62">
      <c r="B384" s="35" t="s">
        <v>133</v>
      </c>
      <c r="C384" s="85" t="str">
        <f>'Hotter&amp;Drier'!$B$1</f>
        <v>CSIRO Mk3.5</v>
      </c>
      <c r="D384" s="89">
        <v>2014</v>
      </c>
      <c r="E384" s="57">
        <f>'Cooler&amp;Wetter'!AA42</f>
        <v>35.523333333333333</v>
      </c>
      <c r="F384" s="90">
        <f>'Hotter&amp;Drier'!AD42</f>
        <v>21.92</v>
      </c>
      <c r="G384" s="35">
        <f t="shared" si="372"/>
        <v>2005</v>
      </c>
      <c r="H384" s="91" t="str">
        <f t="shared" si="352"/>
        <v>Pile 32 @ Berth 201</v>
      </c>
      <c r="I384" s="35" t="str">
        <f t="shared" si="353"/>
        <v>Turpentine Gum</v>
      </c>
      <c r="J384" s="35" t="str">
        <f t="shared" si="354"/>
        <v>HW1</v>
      </c>
      <c r="K384" s="35" t="str">
        <f t="shared" si="373"/>
        <v>SPHU</v>
      </c>
      <c r="L384" s="35">
        <f t="shared" si="355"/>
        <v>400</v>
      </c>
      <c r="M384" s="35">
        <f t="shared" si="356"/>
        <v>20</v>
      </c>
      <c r="N384" s="35">
        <f t="shared" si="357"/>
        <v>200</v>
      </c>
      <c r="O384" s="35" t="str">
        <f t="shared" si="358"/>
        <v>MTN2</v>
      </c>
      <c r="P384" s="35" t="str">
        <f t="shared" si="359"/>
        <v>CNT2</v>
      </c>
      <c r="Q384" s="35" t="str">
        <f t="shared" si="360"/>
        <v>KNT3</v>
      </c>
      <c r="R384" s="35" t="str">
        <f t="shared" si="361"/>
        <v>E</v>
      </c>
      <c r="S384" s="35" t="str">
        <f t="shared" si="362"/>
        <v>EXP1</v>
      </c>
      <c r="T384" s="58"/>
      <c r="U384" s="58"/>
      <c r="V384" s="58"/>
      <c r="W384" s="58"/>
      <c r="X384" s="58"/>
      <c r="Y384" s="58"/>
      <c r="Z384" s="58"/>
      <c r="AA384" s="95">
        <f t="shared" si="320"/>
        <v>0.35190271981201937</v>
      </c>
      <c r="AB384" s="96">
        <f t="shared" si="374"/>
        <v>35.190271981201938</v>
      </c>
      <c r="AC384" s="58"/>
      <c r="AD384" s="58"/>
      <c r="AE384" s="58"/>
      <c r="AF384" s="58"/>
      <c r="AG384" s="58"/>
      <c r="AH384" s="58"/>
      <c r="AI384" s="58"/>
      <c r="AJ384" s="58"/>
      <c r="AK384" s="58"/>
      <c r="AL384" s="58"/>
      <c r="AM384" s="89">
        <f t="shared" si="375"/>
        <v>9</v>
      </c>
      <c r="AN384" s="36">
        <f t="shared" si="363"/>
        <v>35.523333333333333</v>
      </c>
      <c r="AO384" s="35">
        <f t="shared" si="364"/>
        <v>1.7280868110669578</v>
      </c>
      <c r="AP384" s="35">
        <f>IF((OR(R384="A",R384="B",R384="C")),INDEX(Coefficients!$S$4:$S$22,MATCH(J384,Coefficients!$R$4:$R$22)),INDEX(Coefficients!$T$4:$T$22,MATCH(J384,Coefficients!$R$4:$R$22)))</f>
        <v>1.3</v>
      </c>
      <c r="AQ384" s="27">
        <f>IF((OR(R384="A",R384="B",R384="C")),INDEX(Coefficients!$S$4:$S$22,MATCH(K384,Coefficients!$R$4:$R$22)),INDEX(Coefficients!$T$4:$T$22,MATCH(K384,Coefficients!$R$4:$R$22)))</f>
        <v>25</v>
      </c>
      <c r="AR384" s="27">
        <f>IF(OR(R384="A",R384="B",R384="C",R384="D"),IF(AN384&gt;=11,IF(AN384&gt;=26,Coefficients!$M$6,Coefficients!$M$5),Coefficients!$M$4),IF(AN384&gt;=11,IF(AN384&gt;=26,Coefficients!$N$6,Coefficients!$N$5),Coefficients!$N$4))</f>
        <v>1</v>
      </c>
      <c r="AS384" s="27">
        <f>INDEX(Coefficients!$X$3:$X$4,MATCH(S384,Coefficients!$W$3:$W$4))</f>
        <v>1</v>
      </c>
      <c r="AT384" s="27">
        <f>INDEX(Coefficients!$X$7:$X$8,MATCH(O384,Coefficients!$W$7:$W$8))</f>
        <v>1</v>
      </c>
      <c r="AU384" s="27">
        <f>INDEX(Coefficients!$X$11:$X$12,MATCH(P384,Coefficients!$W$11:$W$12))</f>
        <v>1</v>
      </c>
      <c r="AV384" s="27">
        <f>INDEX(Coefficients!$X$15:$X$17,MATCH(Q384,Coefficients!$W$15:$W$17))</f>
        <v>1</v>
      </c>
      <c r="AW384" s="27">
        <f t="shared" si="376"/>
        <v>1</v>
      </c>
      <c r="AX384" s="27">
        <f t="shared" si="377"/>
        <v>1</v>
      </c>
      <c r="AY384" s="27">
        <f t="shared" si="378"/>
        <v>1.3</v>
      </c>
      <c r="AZ384" s="35">
        <f t="shared" si="379"/>
        <v>43.202170276673947</v>
      </c>
      <c r="BA384" s="35">
        <f t="shared" si="380"/>
        <v>0</v>
      </c>
      <c r="BB384" s="35">
        <f t="shared" si="381"/>
        <v>2.2465128543870452</v>
      </c>
      <c r="BC384" s="35">
        <f t="shared" si="382"/>
        <v>1.7753487145612954</v>
      </c>
      <c r="BD384" s="35">
        <f t="shared" si="365"/>
        <v>0.46293970585080901</v>
      </c>
      <c r="BE384" s="16">
        <f t="shared" si="366"/>
        <v>35.190271981201938</v>
      </c>
      <c r="BF384" s="16">
        <f t="shared" si="367"/>
        <v>329.61945603759614</v>
      </c>
      <c r="BG384" s="25">
        <f t="shared" si="368"/>
        <v>0.35190271981201937</v>
      </c>
      <c r="BH384" s="35">
        <f t="shared" si="369"/>
        <v>77.418598358644275</v>
      </c>
      <c r="BI384" s="35">
        <f t="shared" si="370"/>
        <v>245.16280328271145</v>
      </c>
      <c r="BJ384" s="35">
        <f t="shared" si="371"/>
        <v>37.849035024320486</v>
      </c>
    </row>
    <row r="385" spans="2:62">
      <c r="B385" s="35" t="s">
        <v>133</v>
      </c>
      <c r="C385" s="85" t="str">
        <f>'Hotter&amp;Drier'!$B$1</f>
        <v>CSIRO Mk3.5</v>
      </c>
      <c r="D385" s="89">
        <v>2015</v>
      </c>
      <c r="E385" s="57">
        <f>'Cooler&amp;Wetter'!AA43</f>
        <v>35.524999999999999</v>
      </c>
      <c r="F385" s="90">
        <f>'Hotter&amp;Drier'!AD43</f>
        <v>21.95</v>
      </c>
      <c r="G385" s="35">
        <f t="shared" si="372"/>
        <v>2005</v>
      </c>
      <c r="H385" s="91" t="str">
        <f t="shared" si="352"/>
        <v>Pile 32 @ Berth 201</v>
      </c>
      <c r="I385" s="35" t="str">
        <f t="shared" si="353"/>
        <v>Turpentine Gum</v>
      </c>
      <c r="J385" s="35" t="str">
        <f t="shared" si="354"/>
        <v>HW1</v>
      </c>
      <c r="K385" s="35" t="str">
        <f t="shared" si="373"/>
        <v>SPHU</v>
      </c>
      <c r="L385" s="35">
        <f t="shared" si="355"/>
        <v>400</v>
      </c>
      <c r="M385" s="35">
        <f t="shared" si="356"/>
        <v>20</v>
      </c>
      <c r="N385" s="35">
        <f t="shared" si="357"/>
        <v>200</v>
      </c>
      <c r="O385" s="35" t="str">
        <f t="shared" si="358"/>
        <v>MTN2</v>
      </c>
      <c r="P385" s="35" t="str">
        <f t="shared" si="359"/>
        <v>CNT2</v>
      </c>
      <c r="Q385" s="35" t="str">
        <f t="shared" si="360"/>
        <v>KNT3</v>
      </c>
      <c r="R385" s="35" t="str">
        <f t="shared" si="361"/>
        <v>E</v>
      </c>
      <c r="S385" s="35" t="str">
        <f t="shared" si="362"/>
        <v>EXP1</v>
      </c>
      <c r="T385" s="58"/>
      <c r="U385" s="58"/>
      <c r="V385" s="58"/>
      <c r="W385" s="58"/>
      <c r="X385" s="58"/>
      <c r="Y385" s="58"/>
      <c r="Z385" s="58"/>
      <c r="AA385" s="95">
        <f t="shared" si="320"/>
        <v>0.37510964804367047</v>
      </c>
      <c r="AB385" s="96">
        <f t="shared" si="374"/>
        <v>37.510964804367049</v>
      </c>
      <c r="AC385" s="58"/>
      <c r="AD385" s="58"/>
      <c r="AE385" s="58"/>
      <c r="AF385" s="58"/>
      <c r="AG385" s="58"/>
      <c r="AH385" s="58"/>
      <c r="AI385" s="58"/>
      <c r="AJ385" s="58"/>
      <c r="AK385" s="58"/>
      <c r="AL385" s="58"/>
      <c r="AM385" s="89">
        <f t="shared" si="375"/>
        <v>10</v>
      </c>
      <c r="AN385" s="36">
        <f t="shared" si="363"/>
        <v>35.524999999999999</v>
      </c>
      <c r="AO385" s="35">
        <f t="shared" si="364"/>
        <v>1.7348395088317177</v>
      </c>
      <c r="AP385" s="35">
        <f>IF((OR(R385="A",R385="B",R385="C")),INDEX(Coefficients!$S$4:$S$22,MATCH(J385,Coefficients!$R$4:$R$22)),INDEX(Coefficients!$T$4:$T$22,MATCH(J385,Coefficients!$R$4:$R$22)))</f>
        <v>1.3</v>
      </c>
      <c r="AQ385" s="27">
        <f>IF((OR(R385="A",R385="B",R385="C")),INDEX(Coefficients!$S$4:$S$22,MATCH(K385,Coefficients!$R$4:$R$22)),INDEX(Coefficients!$T$4:$T$22,MATCH(K385,Coefficients!$R$4:$R$22)))</f>
        <v>25</v>
      </c>
      <c r="AR385" s="27">
        <f>IF(OR(R385="A",R385="B",R385="C",R385="D"),IF(AN385&gt;=11,IF(AN385&gt;=26,Coefficients!$M$6,Coefficients!$M$5),Coefficients!$M$4),IF(AN385&gt;=11,IF(AN385&gt;=26,Coefficients!$N$6,Coefficients!$N$5),Coefficients!$N$4))</f>
        <v>1</v>
      </c>
      <c r="AS385" s="27">
        <f>INDEX(Coefficients!$X$3:$X$4,MATCH(S385,Coefficients!$W$3:$W$4))</f>
        <v>1</v>
      </c>
      <c r="AT385" s="27">
        <f>INDEX(Coefficients!$X$7:$X$8,MATCH(O385,Coefficients!$W$7:$W$8))</f>
        <v>1</v>
      </c>
      <c r="AU385" s="27">
        <f>INDEX(Coefficients!$X$11:$X$12,MATCH(P385,Coefficients!$W$11:$W$12))</f>
        <v>1</v>
      </c>
      <c r="AV385" s="27">
        <f>INDEX(Coefficients!$X$15:$X$17,MATCH(Q385,Coefficients!$W$15:$W$17))</f>
        <v>1</v>
      </c>
      <c r="AW385" s="27">
        <f t="shared" si="376"/>
        <v>1</v>
      </c>
      <c r="AX385" s="27">
        <f t="shared" si="377"/>
        <v>1</v>
      </c>
      <c r="AY385" s="27">
        <f t="shared" si="378"/>
        <v>1.3</v>
      </c>
      <c r="AZ385" s="35">
        <f t="shared" si="379"/>
        <v>43.37098772079294</v>
      </c>
      <c r="BA385" s="35">
        <f t="shared" si="380"/>
        <v>0</v>
      </c>
      <c r="BB385" s="35">
        <f t="shared" si="381"/>
        <v>2.2552913614812331</v>
      </c>
      <c r="BC385" s="35">
        <f t="shared" si="382"/>
        <v>1.7744708638518767</v>
      </c>
      <c r="BD385" s="35">
        <f t="shared" si="365"/>
        <v>0.46113775708205951</v>
      </c>
      <c r="BE385" s="16">
        <f t="shared" si="366"/>
        <v>37.510964804367049</v>
      </c>
      <c r="BF385" s="16">
        <f t="shared" si="367"/>
        <v>324.97807039126587</v>
      </c>
      <c r="BG385" s="25">
        <f t="shared" si="368"/>
        <v>0.37510964804367047</v>
      </c>
      <c r="BH385" s="35">
        <f t="shared" si="369"/>
        <v>82.524122569607513</v>
      </c>
      <c r="BI385" s="35">
        <f t="shared" si="370"/>
        <v>234.95175486078497</v>
      </c>
      <c r="BJ385" s="35">
        <f t="shared" si="371"/>
        <v>37.707743781092347</v>
      </c>
    </row>
    <row r="386" spans="2:62">
      <c r="B386" s="35" t="s">
        <v>133</v>
      </c>
      <c r="C386" s="85" t="str">
        <f>'Hotter&amp;Drier'!$B$1</f>
        <v>CSIRO Mk3.5</v>
      </c>
      <c r="D386" s="89">
        <v>2016</v>
      </c>
      <c r="E386" s="57">
        <f>'Cooler&amp;Wetter'!AA44</f>
        <v>35.526666666666664</v>
      </c>
      <c r="F386" s="90">
        <f>'Hotter&amp;Drier'!AD44</f>
        <v>21.98</v>
      </c>
      <c r="G386" s="35">
        <f t="shared" si="372"/>
        <v>2005</v>
      </c>
      <c r="H386" s="91" t="str">
        <f t="shared" si="352"/>
        <v>Pile 32 @ Berth 201</v>
      </c>
      <c r="I386" s="35" t="str">
        <f t="shared" si="353"/>
        <v>Turpentine Gum</v>
      </c>
      <c r="J386" s="35" t="str">
        <f t="shared" si="354"/>
        <v>HW1</v>
      </c>
      <c r="K386" s="35" t="str">
        <f t="shared" si="373"/>
        <v>SPHU</v>
      </c>
      <c r="L386" s="35">
        <f t="shared" si="355"/>
        <v>400</v>
      </c>
      <c r="M386" s="35">
        <f t="shared" si="356"/>
        <v>20</v>
      </c>
      <c r="N386" s="35">
        <f t="shared" si="357"/>
        <v>200</v>
      </c>
      <c r="O386" s="35" t="str">
        <f t="shared" si="358"/>
        <v>MTN2</v>
      </c>
      <c r="P386" s="35" t="str">
        <f t="shared" si="359"/>
        <v>CNT2</v>
      </c>
      <c r="Q386" s="35" t="str">
        <f t="shared" si="360"/>
        <v>KNT3</v>
      </c>
      <c r="R386" s="35" t="str">
        <f t="shared" si="361"/>
        <v>E</v>
      </c>
      <c r="S386" s="35" t="str">
        <f t="shared" si="362"/>
        <v>EXP1</v>
      </c>
      <c r="T386" s="58"/>
      <c r="U386" s="58"/>
      <c r="V386" s="58"/>
      <c r="W386" s="58"/>
      <c r="X386" s="58"/>
      <c r="Y386" s="58"/>
      <c r="Z386" s="58"/>
      <c r="AA386" s="95">
        <f t="shared" si="320"/>
        <v>0.39849554314390462</v>
      </c>
      <c r="AB386" s="96">
        <f t="shared" si="374"/>
        <v>39.84955431439046</v>
      </c>
      <c r="AC386" s="58"/>
      <c r="AD386" s="58"/>
      <c r="AE386" s="58"/>
      <c r="AF386" s="58"/>
      <c r="AG386" s="58"/>
      <c r="AH386" s="58"/>
      <c r="AI386" s="58"/>
      <c r="AJ386" s="58"/>
      <c r="AK386" s="58"/>
      <c r="AL386" s="58"/>
      <c r="AM386" s="89">
        <f t="shared" si="375"/>
        <v>11</v>
      </c>
      <c r="AN386" s="36">
        <f t="shared" si="363"/>
        <v>35.526666666666664</v>
      </c>
      <c r="AO386" s="35">
        <f t="shared" si="364"/>
        <v>1.7416185935388531</v>
      </c>
      <c r="AP386" s="35">
        <f>IF((OR(R386="A",R386="B",R386="C")),INDEX(Coefficients!$S$4:$S$22,MATCH(J386,Coefficients!$R$4:$R$22)),INDEX(Coefficients!$T$4:$T$22,MATCH(J386,Coefficients!$R$4:$R$22)))</f>
        <v>1.3</v>
      </c>
      <c r="AQ386" s="27">
        <f>IF((OR(R386="A",R386="B",R386="C")),INDEX(Coefficients!$S$4:$S$22,MATCH(K386,Coefficients!$R$4:$R$22)),INDEX(Coefficients!$T$4:$T$22,MATCH(K386,Coefficients!$R$4:$R$22)))</f>
        <v>25</v>
      </c>
      <c r="AR386" s="27">
        <f>IF(OR(R386="A",R386="B",R386="C",R386="D"),IF(AN386&gt;=11,IF(AN386&gt;=26,Coefficients!$M$6,Coefficients!$M$5),Coefficients!$M$4),IF(AN386&gt;=11,IF(AN386&gt;=26,Coefficients!$N$6,Coefficients!$N$5),Coefficients!$N$4))</f>
        <v>1</v>
      </c>
      <c r="AS386" s="27">
        <f>INDEX(Coefficients!$X$3:$X$4,MATCH(S386,Coefficients!$W$3:$W$4))</f>
        <v>1</v>
      </c>
      <c r="AT386" s="27">
        <f>INDEX(Coefficients!$X$7:$X$8,MATCH(O386,Coefficients!$W$7:$W$8))</f>
        <v>1</v>
      </c>
      <c r="AU386" s="27">
        <f>INDEX(Coefficients!$X$11:$X$12,MATCH(P386,Coefficients!$W$11:$W$12))</f>
        <v>1</v>
      </c>
      <c r="AV386" s="27">
        <f>INDEX(Coefficients!$X$15:$X$17,MATCH(Q386,Coefficients!$W$15:$W$17))</f>
        <v>1</v>
      </c>
      <c r="AW386" s="27">
        <f t="shared" si="376"/>
        <v>1</v>
      </c>
      <c r="AX386" s="27">
        <f t="shared" si="377"/>
        <v>1</v>
      </c>
      <c r="AY386" s="27">
        <f t="shared" si="378"/>
        <v>1.3</v>
      </c>
      <c r="AZ386" s="35">
        <f t="shared" si="379"/>
        <v>43.54046483847133</v>
      </c>
      <c r="BA386" s="35">
        <f t="shared" si="380"/>
        <v>0</v>
      </c>
      <c r="BB386" s="35">
        <f t="shared" si="381"/>
        <v>2.264104171600509</v>
      </c>
      <c r="BC386" s="35">
        <f t="shared" si="382"/>
        <v>1.7735895828399491</v>
      </c>
      <c r="BD386" s="35">
        <f t="shared" si="365"/>
        <v>0.45934282222748507</v>
      </c>
      <c r="BE386" s="16">
        <f t="shared" si="366"/>
        <v>39.84955431439046</v>
      </c>
      <c r="BF386" s="16">
        <f t="shared" si="367"/>
        <v>320.30089137121911</v>
      </c>
      <c r="BG386" s="25">
        <f t="shared" si="368"/>
        <v>0.39849554314390462</v>
      </c>
      <c r="BH386" s="35">
        <f t="shared" si="369"/>
        <v>87.669019491659014</v>
      </c>
      <c r="BI386" s="35">
        <f t="shared" si="370"/>
        <v>224.66196101668197</v>
      </c>
      <c r="BJ386" s="35">
        <f t="shared" si="371"/>
        <v>37.56699565333551</v>
      </c>
    </row>
    <row r="387" spans="2:62">
      <c r="B387" s="35" t="s">
        <v>133</v>
      </c>
      <c r="C387" s="85" t="str">
        <f>'Hotter&amp;Drier'!$B$1</f>
        <v>CSIRO Mk3.5</v>
      </c>
      <c r="D387" s="89">
        <v>2017</v>
      </c>
      <c r="E387" s="57">
        <f>'Cooler&amp;Wetter'!AA45</f>
        <v>35.528333333333336</v>
      </c>
      <c r="F387" s="90">
        <f>'Hotter&amp;Drier'!AD45</f>
        <v>22.01</v>
      </c>
      <c r="G387" s="35">
        <f t="shared" si="372"/>
        <v>2005</v>
      </c>
      <c r="H387" s="91" t="str">
        <f t="shared" si="352"/>
        <v>Pile 32 @ Berth 201</v>
      </c>
      <c r="I387" s="35" t="str">
        <f t="shared" si="353"/>
        <v>Turpentine Gum</v>
      </c>
      <c r="J387" s="35" t="str">
        <f t="shared" si="354"/>
        <v>HW1</v>
      </c>
      <c r="K387" s="35" t="str">
        <f t="shared" si="373"/>
        <v>SPHU</v>
      </c>
      <c r="L387" s="35">
        <f t="shared" si="355"/>
        <v>400</v>
      </c>
      <c r="M387" s="35">
        <f t="shared" si="356"/>
        <v>20</v>
      </c>
      <c r="N387" s="35">
        <f t="shared" si="357"/>
        <v>200</v>
      </c>
      <c r="O387" s="35" t="str">
        <f t="shared" si="358"/>
        <v>MTN2</v>
      </c>
      <c r="P387" s="35" t="str">
        <f t="shared" si="359"/>
        <v>CNT2</v>
      </c>
      <c r="Q387" s="35" t="str">
        <f t="shared" si="360"/>
        <v>KNT3</v>
      </c>
      <c r="R387" s="35" t="str">
        <f t="shared" si="361"/>
        <v>E</v>
      </c>
      <c r="S387" s="35" t="str">
        <f t="shared" si="362"/>
        <v>EXP1</v>
      </c>
      <c r="T387" s="58"/>
      <c r="U387" s="58"/>
      <c r="V387" s="58"/>
      <c r="W387" s="58"/>
      <c r="X387" s="58"/>
      <c r="Y387" s="58"/>
      <c r="Z387" s="58"/>
      <c r="AA387" s="95">
        <f t="shared" si="320"/>
        <v>0.4220614500309583</v>
      </c>
      <c r="AB387" s="96">
        <f t="shared" si="374"/>
        <v>42.206145003095827</v>
      </c>
      <c r="AC387" s="58"/>
      <c r="AD387" s="58"/>
      <c r="AE387" s="58"/>
      <c r="AF387" s="58"/>
      <c r="AG387" s="58"/>
      <c r="AH387" s="58"/>
      <c r="AI387" s="58"/>
      <c r="AJ387" s="58"/>
      <c r="AK387" s="58"/>
      <c r="AL387" s="58"/>
      <c r="AM387" s="89">
        <f t="shared" si="375"/>
        <v>12</v>
      </c>
      <c r="AN387" s="36">
        <f t="shared" si="363"/>
        <v>35.528333333333336</v>
      </c>
      <c r="AO387" s="35">
        <f t="shared" si="364"/>
        <v>1.7484241682983723</v>
      </c>
      <c r="AP387" s="35">
        <f>IF((OR(R387="A",R387="B",R387="C")),INDEX(Coefficients!$S$4:$S$22,MATCH(J387,Coefficients!$R$4:$R$22)),INDEX(Coefficients!$T$4:$T$22,MATCH(J387,Coefficients!$R$4:$R$22)))</f>
        <v>1.3</v>
      </c>
      <c r="AQ387" s="27">
        <f>IF((OR(R387="A",R387="B",R387="C")),INDEX(Coefficients!$S$4:$S$22,MATCH(K387,Coefficients!$R$4:$R$22)),INDEX(Coefficients!$T$4:$T$22,MATCH(K387,Coefficients!$R$4:$R$22)))</f>
        <v>25</v>
      </c>
      <c r="AR387" s="27">
        <f>IF(OR(R387="A",R387="B",R387="C",R387="D"),IF(AN387&gt;=11,IF(AN387&gt;=26,Coefficients!$M$6,Coefficients!$M$5),Coefficients!$M$4),IF(AN387&gt;=11,IF(AN387&gt;=26,Coefficients!$N$6,Coefficients!$N$5),Coefficients!$N$4))</f>
        <v>1</v>
      </c>
      <c r="AS387" s="27">
        <f>INDEX(Coefficients!$X$3:$X$4,MATCH(S387,Coefficients!$W$3:$W$4))</f>
        <v>1</v>
      </c>
      <c r="AT387" s="27">
        <f>INDEX(Coefficients!$X$7:$X$8,MATCH(O387,Coefficients!$W$7:$W$8))</f>
        <v>1</v>
      </c>
      <c r="AU387" s="27">
        <f>INDEX(Coefficients!$X$11:$X$12,MATCH(P387,Coefficients!$W$11:$W$12))</f>
        <v>1</v>
      </c>
      <c r="AV387" s="27">
        <f>INDEX(Coefficients!$X$15:$X$17,MATCH(Q387,Coefficients!$W$15:$W$17))</f>
        <v>1</v>
      </c>
      <c r="AW387" s="27">
        <f t="shared" si="376"/>
        <v>1</v>
      </c>
      <c r="AX387" s="27">
        <f t="shared" si="377"/>
        <v>1</v>
      </c>
      <c r="AY387" s="27">
        <f t="shared" si="378"/>
        <v>1.3</v>
      </c>
      <c r="AZ387" s="35">
        <f t="shared" si="379"/>
        <v>43.710604207459305</v>
      </c>
      <c r="BA387" s="35">
        <f t="shared" si="380"/>
        <v>0</v>
      </c>
      <c r="BB387" s="35">
        <f t="shared" si="381"/>
        <v>2.2729514187878843</v>
      </c>
      <c r="BC387" s="35">
        <f t="shared" si="382"/>
        <v>1.7727048581212115</v>
      </c>
      <c r="BD387" s="35">
        <f t="shared" si="365"/>
        <v>0.45755487398609235</v>
      </c>
      <c r="BE387" s="16">
        <f t="shared" si="366"/>
        <v>42.206145003095827</v>
      </c>
      <c r="BF387" s="16">
        <f t="shared" si="367"/>
        <v>315.58770999380835</v>
      </c>
      <c r="BG387" s="25">
        <f t="shared" si="368"/>
        <v>0.4220614500309583</v>
      </c>
      <c r="BH387" s="35">
        <f t="shared" si="369"/>
        <v>92.853519006810828</v>
      </c>
      <c r="BI387" s="35">
        <f t="shared" si="370"/>
        <v>214.29296198637834</v>
      </c>
      <c r="BJ387" s="35">
        <f t="shared" si="371"/>
        <v>37.426788500268245</v>
      </c>
    </row>
    <row r="388" spans="2:62">
      <c r="B388" s="35" t="s">
        <v>133</v>
      </c>
      <c r="C388" s="85" t="str">
        <f>'Hotter&amp;Drier'!$B$1</f>
        <v>CSIRO Mk3.5</v>
      </c>
      <c r="D388" s="89">
        <v>2018</v>
      </c>
      <c r="E388" s="57">
        <f>'Cooler&amp;Wetter'!AA46</f>
        <v>35.53</v>
      </c>
      <c r="F388" s="90">
        <f>'Hotter&amp;Drier'!AD46</f>
        <v>22.04</v>
      </c>
      <c r="G388" s="35">
        <f t="shared" si="372"/>
        <v>2005</v>
      </c>
      <c r="H388" s="91" t="str">
        <f t="shared" si="352"/>
        <v>Pile 32 @ Berth 201</v>
      </c>
      <c r="I388" s="35" t="str">
        <f t="shared" si="353"/>
        <v>Turpentine Gum</v>
      </c>
      <c r="J388" s="35" t="str">
        <f t="shared" si="354"/>
        <v>HW1</v>
      </c>
      <c r="K388" s="35" t="str">
        <f t="shared" si="373"/>
        <v>SPHU</v>
      </c>
      <c r="L388" s="35">
        <f t="shared" si="355"/>
        <v>400</v>
      </c>
      <c r="M388" s="35">
        <f t="shared" si="356"/>
        <v>20</v>
      </c>
      <c r="N388" s="35">
        <f t="shared" si="357"/>
        <v>200</v>
      </c>
      <c r="O388" s="35" t="str">
        <f t="shared" si="358"/>
        <v>MTN2</v>
      </c>
      <c r="P388" s="35" t="str">
        <f t="shared" si="359"/>
        <v>CNT2</v>
      </c>
      <c r="Q388" s="35" t="str">
        <f t="shared" si="360"/>
        <v>KNT3</v>
      </c>
      <c r="R388" s="35" t="str">
        <f t="shared" si="361"/>
        <v>E</v>
      </c>
      <c r="S388" s="35" t="str">
        <f t="shared" si="362"/>
        <v>EXP1</v>
      </c>
      <c r="T388" s="58"/>
      <c r="U388" s="58"/>
      <c r="V388" s="58"/>
      <c r="W388" s="58"/>
      <c r="X388" s="58"/>
      <c r="Y388" s="58"/>
      <c r="Z388" s="58"/>
      <c r="AA388" s="95">
        <f t="shared" si="320"/>
        <v>0.44580841906137975</v>
      </c>
      <c r="AB388" s="96">
        <f t="shared" si="374"/>
        <v>44.580841906137977</v>
      </c>
      <c r="AC388" s="58"/>
      <c r="AD388" s="58"/>
      <c r="AE388" s="58"/>
      <c r="AF388" s="58"/>
      <c r="AG388" s="58"/>
      <c r="AH388" s="58"/>
      <c r="AI388" s="58"/>
      <c r="AJ388" s="58"/>
      <c r="AK388" s="58"/>
      <c r="AL388" s="58"/>
      <c r="AM388" s="89">
        <f t="shared" si="375"/>
        <v>13</v>
      </c>
      <c r="AN388" s="36">
        <f t="shared" si="363"/>
        <v>35.53</v>
      </c>
      <c r="AO388" s="35">
        <f t="shared" si="364"/>
        <v>1.7552563366231977</v>
      </c>
      <c r="AP388" s="35">
        <f>IF((OR(R388="A",R388="B",R388="C")),INDEX(Coefficients!$S$4:$S$22,MATCH(J388,Coefficients!$R$4:$R$22)),INDEX(Coefficients!$T$4:$T$22,MATCH(J388,Coefficients!$R$4:$R$22)))</f>
        <v>1.3</v>
      </c>
      <c r="AQ388" s="27">
        <f>IF((OR(R388="A",R388="B",R388="C")),INDEX(Coefficients!$S$4:$S$22,MATCH(K388,Coefficients!$R$4:$R$22)),INDEX(Coefficients!$T$4:$T$22,MATCH(K388,Coefficients!$R$4:$R$22)))</f>
        <v>25</v>
      </c>
      <c r="AR388" s="27">
        <f>IF(OR(R388="A",R388="B",R388="C",R388="D"),IF(AN388&gt;=11,IF(AN388&gt;=26,Coefficients!$M$6,Coefficients!$M$5),Coefficients!$M$4),IF(AN388&gt;=11,IF(AN388&gt;=26,Coefficients!$N$6,Coefficients!$N$5),Coefficients!$N$4))</f>
        <v>1</v>
      </c>
      <c r="AS388" s="27">
        <f>INDEX(Coefficients!$X$3:$X$4,MATCH(S388,Coefficients!$W$3:$W$4))</f>
        <v>1</v>
      </c>
      <c r="AT388" s="27">
        <f>INDEX(Coefficients!$X$7:$X$8,MATCH(O388,Coefficients!$W$7:$W$8))</f>
        <v>1</v>
      </c>
      <c r="AU388" s="27">
        <f>INDEX(Coefficients!$X$11:$X$12,MATCH(P388,Coefficients!$W$11:$W$12))</f>
        <v>1</v>
      </c>
      <c r="AV388" s="27">
        <f>INDEX(Coefficients!$X$15:$X$17,MATCH(Q388,Coefficients!$W$15:$W$17))</f>
        <v>1</v>
      </c>
      <c r="AW388" s="27">
        <f t="shared" si="376"/>
        <v>1</v>
      </c>
      <c r="AX388" s="27">
        <f t="shared" si="377"/>
        <v>1</v>
      </c>
      <c r="AY388" s="27">
        <f t="shared" si="378"/>
        <v>1.3</v>
      </c>
      <c r="AZ388" s="35">
        <f t="shared" si="379"/>
        <v>43.881408415579941</v>
      </c>
      <c r="BA388" s="35">
        <f t="shared" si="380"/>
        <v>0</v>
      </c>
      <c r="BB388" s="35">
        <f t="shared" si="381"/>
        <v>2.2818332376101571</v>
      </c>
      <c r="BC388" s="35">
        <f t="shared" si="382"/>
        <v>1.7718166762389842</v>
      </c>
      <c r="BD388" s="35">
        <f t="shared" si="365"/>
        <v>0.4557738851631542</v>
      </c>
      <c r="BE388" s="16">
        <f t="shared" si="366"/>
        <v>44.580841906137977</v>
      </c>
      <c r="BF388" s="16">
        <f t="shared" si="367"/>
        <v>310.83831618772405</v>
      </c>
      <c r="BG388" s="25">
        <f t="shared" si="368"/>
        <v>0.44580841906137975</v>
      </c>
      <c r="BH388" s="35">
        <f t="shared" si="369"/>
        <v>98.07785219350356</v>
      </c>
      <c r="BI388" s="35">
        <f t="shared" si="370"/>
        <v>203.84429561299288</v>
      </c>
      <c r="BJ388" s="35">
        <f t="shared" si="371"/>
        <v>37.287120189337074</v>
      </c>
    </row>
    <row r="389" spans="2:62">
      <c r="B389" s="35" t="s">
        <v>133</v>
      </c>
      <c r="C389" s="85" t="str">
        <f>'Hotter&amp;Drier'!$B$1</f>
        <v>CSIRO Mk3.5</v>
      </c>
      <c r="D389" s="89">
        <v>2019</v>
      </c>
      <c r="E389" s="57">
        <f>'Cooler&amp;Wetter'!AA47</f>
        <v>35.531666666666666</v>
      </c>
      <c r="F389" s="90">
        <f>'Hotter&amp;Drier'!AD47</f>
        <v>22.07</v>
      </c>
      <c r="G389" s="35">
        <f t="shared" si="372"/>
        <v>2005</v>
      </c>
      <c r="H389" s="91" t="str">
        <f t="shared" si="352"/>
        <v>Pile 32 @ Berth 201</v>
      </c>
      <c r="I389" s="35" t="str">
        <f t="shared" si="353"/>
        <v>Turpentine Gum</v>
      </c>
      <c r="J389" s="35" t="str">
        <f t="shared" si="354"/>
        <v>HW1</v>
      </c>
      <c r="K389" s="35" t="str">
        <f t="shared" si="373"/>
        <v>SPHU</v>
      </c>
      <c r="L389" s="35">
        <f t="shared" si="355"/>
        <v>400</v>
      </c>
      <c r="M389" s="35">
        <f t="shared" si="356"/>
        <v>20</v>
      </c>
      <c r="N389" s="35">
        <f t="shared" si="357"/>
        <v>200</v>
      </c>
      <c r="O389" s="35" t="str">
        <f t="shared" si="358"/>
        <v>MTN2</v>
      </c>
      <c r="P389" s="35" t="str">
        <f t="shared" si="359"/>
        <v>CNT2</v>
      </c>
      <c r="Q389" s="35" t="str">
        <f t="shared" si="360"/>
        <v>KNT3</v>
      </c>
      <c r="R389" s="35" t="str">
        <f t="shared" si="361"/>
        <v>E</v>
      </c>
      <c r="S389" s="35" t="str">
        <f t="shared" si="362"/>
        <v>EXP1</v>
      </c>
      <c r="T389" s="58"/>
      <c r="U389" s="58"/>
      <c r="V389" s="58"/>
      <c r="W389" s="58"/>
      <c r="X389" s="58"/>
      <c r="Y389" s="58"/>
      <c r="Z389" s="58"/>
      <c r="AA389" s="95">
        <f t="shared" si="320"/>
        <v>0.46973750605661324</v>
      </c>
      <c r="AB389" s="96">
        <f t="shared" si="374"/>
        <v>46.973750605661323</v>
      </c>
      <c r="AC389" s="58"/>
      <c r="AD389" s="58"/>
      <c r="AE389" s="58"/>
      <c r="AF389" s="58"/>
      <c r="AG389" s="58"/>
      <c r="AH389" s="58"/>
      <c r="AI389" s="58"/>
      <c r="AJ389" s="58"/>
      <c r="AK389" s="58"/>
      <c r="AL389" s="58"/>
      <c r="AM389" s="89">
        <f t="shared" si="375"/>
        <v>14</v>
      </c>
      <c r="AN389" s="36">
        <f t="shared" si="363"/>
        <v>35.531666666666666</v>
      </c>
      <c r="AO389" s="35">
        <f t="shared" si="364"/>
        <v>1.762115202430742</v>
      </c>
      <c r="AP389" s="35">
        <f>IF((OR(R389="A",R389="B",R389="C")),INDEX(Coefficients!$S$4:$S$22,MATCH(J389,Coefficients!$R$4:$R$22)),INDEX(Coefficients!$T$4:$T$22,MATCH(J389,Coefficients!$R$4:$R$22)))</f>
        <v>1.3</v>
      </c>
      <c r="AQ389" s="27">
        <f>IF((OR(R389="A",R389="B",R389="C")),INDEX(Coefficients!$S$4:$S$22,MATCH(K389,Coefficients!$R$4:$R$22)),INDEX(Coefficients!$T$4:$T$22,MATCH(K389,Coefficients!$R$4:$R$22)))</f>
        <v>25</v>
      </c>
      <c r="AR389" s="27">
        <f>IF(OR(R389="A",R389="B",R389="C",R389="D"),IF(AN389&gt;=11,IF(AN389&gt;=26,Coefficients!$M$6,Coefficients!$M$5),Coefficients!$M$4),IF(AN389&gt;=11,IF(AN389&gt;=26,Coefficients!$N$6,Coefficients!$N$5),Coefficients!$N$4))</f>
        <v>1</v>
      </c>
      <c r="AS389" s="27">
        <f>INDEX(Coefficients!$X$3:$X$4,MATCH(S389,Coefficients!$W$3:$W$4))</f>
        <v>1</v>
      </c>
      <c r="AT389" s="27">
        <f>INDEX(Coefficients!$X$7:$X$8,MATCH(O389,Coefficients!$W$7:$W$8))</f>
        <v>1</v>
      </c>
      <c r="AU389" s="27">
        <f>INDEX(Coefficients!$X$11:$X$12,MATCH(P389,Coefficients!$W$11:$W$12))</f>
        <v>1</v>
      </c>
      <c r="AV389" s="27">
        <f>INDEX(Coefficients!$X$15:$X$17,MATCH(Q389,Coefficients!$W$15:$W$17))</f>
        <v>1</v>
      </c>
      <c r="AW389" s="27">
        <f t="shared" si="376"/>
        <v>1</v>
      </c>
      <c r="AX389" s="27">
        <f t="shared" si="377"/>
        <v>1</v>
      </c>
      <c r="AY389" s="27">
        <f t="shared" si="378"/>
        <v>1.3</v>
      </c>
      <c r="AZ389" s="35">
        <f t="shared" si="379"/>
        <v>44.052880060768551</v>
      </c>
      <c r="BA389" s="35">
        <f t="shared" si="380"/>
        <v>0</v>
      </c>
      <c r="BB389" s="35">
        <f t="shared" si="381"/>
        <v>2.2907497631599649</v>
      </c>
      <c r="BC389" s="35">
        <f t="shared" si="382"/>
        <v>1.7709250236840035</v>
      </c>
      <c r="BD389" s="35">
        <f t="shared" si="365"/>
        <v>0.4539998286697961</v>
      </c>
      <c r="BE389" s="16">
        <f t="shared" si="366"/>
        <v>46.973750605661323</v>
      </c>
      <c r="BF389" s="16">
        <f t="shared" si="367"/>
        <v>306.05249878867733</v>
      </c>
      <c r="BG389" s="25">
        <f t="shared" si="368"/>
        <v>0.46973750605661324</v>
      </c>
      <c r="BH389" s="35">
        <f t="shared" si="369"/>
        <v>103.34225133245492</v>
      </c>
      <c r="BI389" s="35">
        <f t="shared" si="370"/>
        <v>193.31549733509016</v>
      </c>
      <c r="BJ389" s="35">
        <f t="shared" si="371"/>
        <v>37.147988596184263</v>
      </c>
    </row>
    <row r="390" spans="2:62">
      <c r="B390" s="35" t="s">
        <v>133</v>
      </c>
      <c r="C390" s="85" t="str">
        <f>'Hotter&amp;Drier'!$B$1</f>
        <v>CSIRO Mk3.5</v>
      </c>
      <c r="D390" s="89">
        <v>2020</v>
      </c>
      <c r="E390" s="57">
        <f>'Cooler&amp;Wetter'!AA48</f>
        <v>35.533333333333331</v>
      </c>
      <c r="F390" s="90">
        <f>'Hotter&amp;Drier'!AD48</f>
        <v>22.1</v>
      </c>
      <c r="G390" s="35">
        <f t="shared" si="372"/>
        <v>2005</v>
      </c>
      <c r="H390" s="91" t="str">
        <f t="shared" si="352"/>
        <v>Pile 32 @ Berth 201</v>
      </c>
      <c r="I390" s="35" t="str">
        <f t="shared" si="353"/>
        <v>Turpentine Gum</v>
      </c>
      <c r="J390" s="35" t="str">
        <f t="shared" si="354"/>
        <v>HW1</v>
      </c>
      <c r="K390" s="35" t="str">
        <f t="shared" si="373"/>
        <v>SPHU</v>
      </c>
      <c r="L390" s="35">
        <f t="shared" si="355"/>
        <v>400</v>
      </c>
      <c r="M390" s="35">
        <f t="shared" si="356"/>
        <v>20</v>
      </c>
      <c r="N390" s="35">
        <f t="shared" si="357"/>
        <v>200</v>
      </c>
      <c r="O390" s="35" t="str">
        <f t="shared" si="358"/>
        <v>MTN2</v>
      </c>
      <c r="P390" s="35" t="str">
        <f t="shared" si="359"/>
        <v>CNT2</v>
      </c>
      <c r="Q390" s="35" t="str">
        <f t="shared" si="360"/>
        <v>KNT3</v>
      </c>
      <c r="R390" s="35" t="str">
        <f t="shared" si="361"/>
        <v>E</v>
      </c>
      <c r="S390" s="35" t="str">
        <f t="shared" si="362"/>
        <v>EXP1</v>
      </c>
      <c r="T390" s="58"/>
      <c r="U390" s="58"/>
      <c r="V390" s="58"/>
      <c r="W390" s="58"/>
      <c r="X390" s="58"/>
      <c r="Y390" s="58"/>
      <c r="Z390" s="58"/>
      <c r="AA390" s="95">
        <f t="shared" si="320"/>
        <v>0.49384977232970717</v>
      </c>
      <c r="AB390" s="96">
        <f t="shared" si="374"/>
        <v>49.384977232970719</v>
      </c>
      <c r="AC390" s="58"/>
      <c r="AD390" s="58"/>
      <c r="AE390" s="58"/>
      <c r="AF390" s="58"/>
      <c r="AG390" s="58"/>
      <c r="AH390" s="58"/>
      <c r="AI390" s="58"/>
      <c r="AJ390" s="58"/>
      <c r="AK390" s="58"/>
      <c r="AL390" s="58"/>
      <c r="AM390" s="89">
        <f t="shared" si="375"/>
        <v>15</v>
      </c>
      <c r="AN390" s="36">
        <f t="shared" si="363"/>
        <v>35.533333333333331</v>
      </c>
      <c r="AO390" s="35">
        <f t="shared" si="364"/>
        <v>1.7690008700444879</v>
      </c>
      <c r="AP390" s="35">
        <f>IF((OR(R390="A",R390="B",R390="C")),INDEX(Coefficients!$S$4:$S$22,MATCH(J390,Coefficients!$R$4:$R$22)),INDEX(Coefficients!$T$4:$T$22,MATCH(J390,Coefficients!$R$4:$R$22)))</f>
        <v>1.3</v>
      </c>
      <c r="AQ390" s="27">
        <f>IF((OR(R390="A",R390="B",R390="C")),INDEX(Coefficients!$S$4:$S$22,MATCH(K390,Coefficients!$R$4:$R$22)),INDEX(Coefficients!$T$4:$T$22,MATCH(K390,Coefficients!$R$4:$R$22)))</f>
        <v>25</v>
      </c>
      <c r="AR390" s="27">
        <f>IF(OR(R390="A",R390="B",R390="C",R390="D"),IF(AN390&gt;=11,IF(AN390&gt;=26,Coefficients!$M$6,Coefficients!$M$5),Coefficients!$M$4),IF(AN390&gt;=11,IF(AN390&gt;=26,Coefficients!$N$6,Coefficients!$N$5),Coefficients!$N$4))</f>
        <v>1</v>
      </c>
      <c r="AS390" s="27">
        <f>INDEX(Coefficients!$X$3:$X$4,MATCH(S390,Coefficients!$W$3:$W$4))</f>
        <v>1</v>
      </c>
      <c r="AT390" s="27">
        <f>INDEX(Coefficients!$X$7:$X$8,MATCH(O390,Coefficients!$W$7:$W$8))</f>
        <v>1</v>
      </c>
      <c r="AU390" s="27">
        <f>INDEX(Coefficients!$X$11:$X$12,MATCH(P390,Coefficients!$W$11:$W$12))</f>
        <v>1</v>
      </c>
      <c r="AV390" s="27">
        <f>INDEX(Coefficients!$X$15:$X$17,MATCH(Q390,Coefficients!$W$15:$W$17))</f>
        <v>1</v>
      </c>
      <c r="AW390" s="27">
        <f t="shared" si="376"/>
        <v>1</v>
      </c>
      <c r="AX390" s="27">
        <f t="shared" si="377"/>
        <v>1</v>
      </c>
      <c r="AY390" s="27">
        <f t="shared" si="378"/>
        <v>1.3</v>
      </c>
      <c r="AZ390" s="35">
        <f t="shared" si="379"/>
        <v>44.225021751112195</v>
      </c>
      <c r="BA390" s="35">
        <f t="shared" si="380"/>
        <v>0</v>
      </c>
      <c r="BB390" s="35">
        <f t="shared" si="381"/>
        <v>2.2997011310578346</v>
      </c>
      <c r="BC390" s="35">
        <f t="shared" si="382"/>
        <v>1.7700298868942166</v>
      </c>
      <c r="BD390" s="35">
        <f t="shared" si="365"/>
        <v>0.45223267752258434</v>
      </c>
      <c r="BE390" s="16">
        <f t="shared" si="366"/>
        <v>49.384977232970719</v>
      </c>
      <c r="BF390" s="16">
        <f t="shared" si="367"/>
        <v>301.23004553405855</v>
      </c>
      <c r="BG390" s="25">
        <f t="shared" si="368"/>
        <v>0.49384977232970717</v>
      </c>
      <c r="BH390" s="35">
        <f t="shared" si="369"/>
        <v>108.64694991253559</v>
      </c>
      <c r="BI390" s="35">
        <f t="shared" si="370"/>
        <v>182.70610017492882</v>
      </c>
      <c r="BJ390" s="35">
        <f t="shared" si="371"/>
        <v>37.009391604615594</v>
      </c>
    </row>
    <row r="391" spans="2:62">
      <c r="B391" s="35" t="s">
        <v>133</v>
      </c>
      <c r="C391" s="85" t="str">
        <f>'Hotter&amp;Drier'!$B$1</f>
        <v>CSIRO Mk3.5</v>
      </c>
      <c r="D391" s="89">
        <v>2021</v>
      </c>
      <c r="E391" s="57">
        <f>'Cooler&amp;Wetter'!AA49</f>
        <v>35.534999999999997</v>
      </c>
      <c r="F391" s="90">
        <f>'Hotter&amp;Drier'!AD49</f>
        <v>22.13</v>
      </c>
      <c r="G391" s="35">
        <f t="shared" si="372"/>
        <v>2005</v>
      </c>
      <c r="H391" s="91" t="str">
        <f t="shared" si="352"/>
        <v>Pile 32 @ Berth 201</v>
      </c>
      <c r="I391" s="35" t="str">
        <f t="shared" si="353"/>
        <v>Turpentine Gum</v>
      </c>
      <c r="J391" s="35" t="str">
        <f t="shared" si="354"/>
        <v>HW1</v>
      </c>
      <c r="K391" s="35" t="str">
        <f t="shared" si="373"/>
        <v>SPHU</v>
      </c>
      <c r="L391" s="35">
        <f t="shared" si="355"/>
        <v>400</v>
      </c>
      <c r="M391" s="35">
        <f t="shared" si="356"/>
        <v>20</v>
      </c>
      <c r="N391" s="35">
        <f t="shared" si="357"/>
        <v>200</v>
      </c>
      <c r="O391" s="35" t="str">
        <f t="shared" si="358"/>
        <v>MTN2</v>
      </c>
      <c r="P391" s="35" t="str">
        <f t="shared" si="359"/>
        <v>CNT2</v>
      </c>
      <c r="Q391" s="35" t="str">
        <f t="shared" si="360"/>
        <v>KNT3</v>
      </c>
      <c r="R391" s="35" t="str">
        <f t="shared" si="361"/>
        <v>E</v>
      </c>
      <c r="S391" s="35" t="str">
        <f t="shared" si="362"/>
        <v>EXP1</v>
      </c>
      <c r="T391" s="58"/>
      <c r="U391" s="58"/>
      <c r="V391" s="58"/>
      <c r="W391" s="58"/>
      <c r="X391" s="58"/>
      <c r="Y391" s="58"/>
      <c r="Z391" s="58"/>
      <c r="AA391" s="95">
        <f t="shared" si="320"/>
        <v>0.51814628471214785</v>
      </c>
      <c r="AB391" s="96">
        <f t="shared" si="374"/>
        <v>51.814628471214782</v>
      </c>
      <c r="AC391" s="58"/>
      <c r="AD391" s="58"/>
      <c r="AE391" s="58"/>
      <c r="AF391" s="58"/>
      <c r="AG391" s="58"/>
      <c r="AH391" s="58"/>
      <c r="AI391" s="58"/>
      <c r="AJ391" s="58"/>
      <c r="AK391" s="58"/>
      <c r="AL391" s="58"/>
      <c r="AM391" s="89">
        <f t="shared" si="375"/>
        <v>16</v>
      </c>
      <c r="AN391" s="36">
        <f t="shared" si="363"/>
        <v>35.534999999999997</v>
      </c>
      <c r="AO391" s="35">
        <f t="shared" si="364"/>
        <v>1.7759134441955702</v>
      </c>
      <c r="AP391" s="35">
        <f>IF((OR(R391="A",R391="B",R391="C")),INDEX(Coefficients!$S$4:$S$22,MATCH(J391,Coefficients!$R$4:$R$22)),INDEX(Coefficients!$T$4:$T$22,MATCH(J391,Coefficients!$R$4:$R$22)))</f>
        <v>1.3</v>
      </c>
      <c r="AQ391" s="27">
        <f>IF((OR(R391="A",R391="B",R391="C")),INDEX(Coefficients!$S$4:$S$22,MATCH(K391,Coefficients!$R$4:$R$22)),INDEX(Coefficients!$T$4:$T$22,MATCH(K391,Coefficients!$R$4:$R$22)))</f>
        <v>25</v>
      </c>
      <c r="AR391" s="27">
        <f>IF(OR(R391="A",R391="B",R391="C",R391="D"),IF(AN391&gt;=11,IF(AN391&gt;=26,Coefficients!$M$6,Coefficients!$M$5),Coefficients!$M$4),IF(AN391&gt;=11,IF(AN391&gt;=26,Coefficients!$N$6,Coefficients!$N$5),Coefficients!$N$4))</f>
        <v>1</v>
      </c>
      <c r="AS391" s="27">
        <f>INDEX(Coefficients!$X$3:$X$4,MATCH(S391,Coefficients!$W$3:$W$4))</f>
        <v>1</v>
      </c>
      <c r="AT391" s="27">
        <f>INDEX(Coefficients!$X$7:$X$8,MATCH(O391,Coefficients!$W$7:$W$8))</f>
        <v>1</v>
      </c>
      <c r="AU391" s="27">
        <f>INDEX(Coefficients!$X$11:$X$12,MATCH(P391,Coefficients!$W$11:$W$12))</f>
        <v>1</v>
      </c>
      <c r="AV391" s="27">
        <f>INDEX(Coefficients!$X$15:$X$17,MATCH(Q391,Coefficients!$W$15:$W$17))</f>
        <v>1</v>
      </c>
      <c r="AW391" s="27">
        <f t="shared" si="376"/>
        <v>1</v>
      </c>
      <c r="AX391" s="27">
        <f t="shared" si="377"/>
        <v>1</v>
      </c>
      <c r="AY391" s="27">
        <f t="shared" si="378"/>
        <v>1.3</v>
      </c>
      <c r="AZ391" s="35">
        <f t="shared" si="379"/>
        <v>44.397836104889251</v>
      </c>
      <c r="BA391" s="35">
        <f t="shared" si="380"/>
        <v>0</v>
      </c>
      <c r="BB391" s="35">
        <f t="shared" si="381"/>
        <v>2.3086874774542414</v>
      </c>
      <c r="BC391" s="35">
        <f t="shared" si="382"/>
        <v>1.7691312522545759</v>
      </c>
      <c r="BD391" s="35">
        <f t="shared" si="365"/>
        <v>0.4504724048431164</v>
      </c>
      <c r="BE391" s="16">
        <f t="shared" si="366"/>
        <v>51.814628471214782</v>
      </c>
      <c r="BF391" s="16">
        <f t="shared" si="367"/>
        <v>296.37074305757045</v>
      </c>
      <c r="BG391" s="25">
        <f t="shared" si="368"/>
        <v>0.51814628471214785</v>
      </c>
      <c r="BH391" s="35">
        <f t="shared" si="369"/>
        <v>113.99218263667252</v>
      </c>
      <c r="BI391" s="35">
        <f t="shared" si="370"/>
        <v>172.01563472665495</v>
      </c>
      <c r="BJ391" s="35">
        <f t="shared" si="371"/>
        <v>36.871327106568181</v>
      </c>
    </row>
    <row r="392" spans="2:62">
      <c r="B392" s="35" t="s">
        <v>133</v>
      </c>
      <c r="C392" s="85" t="str">
        <f>'Hotter&amp;Drier'!$B$1</f>
        <v>CSIRO Mk3.5</v>
      </c>
      <c r="D392" s="89">
        <v>2022</v>
      </c>
      <c r="E392" s="57">
        <f>'Cooler&amp;Wetter'!AA50</f>
        <v>35.536666666666669</v>
      </c>
      <c r="F392" s="90">
        <f>'Hotter&amp;Drier'!AD50</f>
        <v>22.16</v>
      </c>
      <c r="G392" s="35">
        <f t="shared" si="372"/>
        <v>2005</v>
      </c>
      <c r="H392" s="91" t="str">
        <f t="shared" si="352"/>
        <v>Pile 32 @ Berth 201</v>
      </c>
      <c r="I392" s="35" t="str">
        <f t="shared" si="353"/>
        <v>Turpentine Gum</v>
      </c>
      <c r="J392" s="35" t="str">
        <f t="shared" si="354"/>
        <v>HW1</v>
      </c>
      <c r="K392" s="35" t="str">
        <f t="shared" si="373"/>
        <v>SPHU</v>
      </c>
      <c r="L392" s="35">
        <f t="shared" si="355"/>
        <v>400</v>
      </c>
      <c r="M392" s="35">
        <f t="shared" si="356"/>
        <v>20</v>
      </c>
      <c r="N392" s="35">
        <f t="shared" si="357"/>
        <v>200</v>
      </c>
      <c r="O392" s="35" t="str">
        <f t="shared" si="358"/>
        <v>MTN2</v>
      </c>
      <c r="P392" s="35" t="str">
        <f t="shared" si="359"/>
        <v>CNT2</v>
      </c>
      <c r="Q392" s="35" t="str">
        <f t="shared" si="360"/>
        <v>KNT3</v>
      </c>
      <c r="R392" s="35" t="str">
        <f t="shared" si="361"/>
        <v>E</v>
      </c>
      <c r="S392" s="35" t="str">
        <f t="shared" si="362"/>
        <v>EXP1</v>
      </c>
      <c r="T392" s="58"/>
      <c r="U392" s="58"/>
      <c r="V392" s="58"/>
      <c r="W392" s="58"/>
      <c r="X392" s="58"/>
      <c r="Y392" s="58"/>
      <c r="Z392" s="58"/>
      <c r="AA392" s="95">
        <f t="shared" si="320"/>
        <v>0.54262811558082091</v>
      </c>
      <c r="AB392" s="96">
        <f t="shared" si="374"/>
        <v>54.262811558082092</v>
      </c>
      <c r="AC392" s="58"/>
      <c r="AD392" s="58"/>
      <c r="AE392" s="58"/>
      <c r="AF392" s="58"/>
      <c r="AG392" s="58"/>
      <c r="AH392" s="58"/>
      <c r="AI392" s="58"/>
      <c r="AJ392" s="58"/>
      <c r="AK392" s="58"/>
      <c r="AL392" s="58"/>
      <c r="AM392" s="89">
        <f t="shared" si="375"/>
        <v>17</v>
      </c>
      <c r="AN392" s="36">
        <f t="shared" si="363"/>
        <v>35.536666666666669</v>
      </c>
      <c r="AO392" s="35">
        <f t="shared" si="364"/>
        <v>1.7828530300243768</v>
      </c>
      <c r="AP392" s="35">
        <f>IF((OR(R392="A",R392="B",R392="C")),INDEX(Coefficients!$S$4:$S$22,MATCH(J392,Coefficients!$R$4:$R$22)),INDEX(Coefficients!$T$4:$T$22,MATCH(J392,Coefficients!$R$4:$R$22)))</f>
        <v>1.3</v>
      </c>
      <c r="AQ392" s="27">
        <f>IF((OR(R392="A",R392="B",R392="C")),INDEX(Coefficients!$S$4:$S$22,MATCH(K392,Coefficients!$R$4:$R$22)),INDEX(Coefficients!$T$4:$T$22,MATCH(K392,Coefficients!$R$4:$R$22)))</f>
        <v>25</v>
      </c>
      <c r="AR392" s="27">
        <f>IF(OR(R392="A",R392="B",R392="C",R392="D"),IF(AN392&gt;=11,IF(AN392&gt;=26,Coefficients!$M$6,Coefficients!$M$5),Coefficients!$M$4),IF(AN392&gt;=11,IF(AN392&gt;=26,Coefficients!$N$6,Coefficients!$N$5),Coefficients!$N$4))</f>
        <v>1</v>
      </c>
      <c r="AS392" s="27">
        <f>INDEX(Coefficients!$X$3:$X$4,MATCH(S392,Coefficients!$W$3:$W$4))</f>
        <v>1</v>
      </c>
      <c r="AT392" s="27">
        <f>INDEX(Coefficients!$X$7:$X$8,MATCH(O392,Coefficients!$W$7:$W$8))</f>
        <v>1</v>
      </c>
      <c r="AU392" s="27">
        <f>INDEX(Coefficients!$X$11:$X$12,MATCH(P392,Coefficients!$W$11:$W$12))</f>
        <v>1</v>
      </c>
      <c r="AV392" s="27">
        <f>INDEX(Coefficients!$X$15:$X$17,MATCH(Q392,Coefficients!$W$15:$W$17))</f>
        <v>1</v>
      </c>
      <c r="AW392" s="27">
        <f t="shared" si="376"/>
        <v>1</v>
      </c>
      <c r="AX392" s="27">
        <f t="shared" si="377"/>
        <v>1</v>
      </c>
      <c r="AY392" s="27">
        <f t="shared" si="378"/>
        <v>1.3</v>
      </c>
      <c r="AZ392" s="35">
        <f t="shared" si="379"/>
        <v>44.571325750609418</v>
      </c>
      <c r="BA392" s="35">
        <f t="shared" si="380"/>
        <v>0</v>
      </c>
      <c r="BB392" s="35">
        <f t="shared" si="381"/>
        <v>2.3177089390316898</v>
      </c>
      <c r="BC392" s="35">
        <f t="shared" si="382"/>
        <v>1.7682291060968309</v>
      </c>
      <c r="BD392" s="35">
        <f t="shared" si="365"/>
        <v>0.44871898385761033</v>
      </c>
      <c r="BE392" s="16">
        <f t="shared" si="366"/>
        <v>54.262811558082092</v>
      </c>
      <c r="BF392" s="16">
        <f t="shared" si="367"/>
        <v>291.47437688383582</v>
      </c>
      <c r="BG392" s="25">
        <f t="shared" si="368"/>
        <v>0.54262811558082091</v>
      </c>
      <c r="BH392" s="35">
        <f t="shared" si="369"/>
        <v>119.37818542778061</v>
      </c>
      <c r="BI392" s="35">
        <f t="shared" si="370"/>
        <v>161.24362914443878</v>
      </c>
      <c r="BJ392" s="35">
        <f t="shared" si="371"/>
        <v>36.733793002078315</v>
      </c>
    </row>
    <row r="393" spans="2:62">
      <c r="B393" s="35" t="s">
        <v>133</v>
      </c>
      <c r="C393" s="85" t="str">
        <f>'Hotter&amp;Drier'!$B$1</f>
        <v>CSIRO Mk3.5</v>
      </c>
      <c r="D393" s="89">
        <v>2023</v>
      </c>
      <c r="E393" s="57">
        <f>'Cooler&amp;Wetter'!AA51</f>
        <v>35.538333333333334</v>
      </c>
      <c r="F393" s="90">
        <f>'Hotter&amp;Drier'!AD51</f>
        <v>22.19</v>
      </c>
      <c r="G393" s="35">
        <f t="shared" si="372"/>
        <v>2005</v>
      </c>
      <c r="H393" s="91" t="str">
        <f t="shared" si="352"/>
        <v>Pile 32 @ Berth 201</v>
      </c>
      <c r="I393" s="35" t="str">
        <f t="shared" si="353"/>
        <v>Turpentine Gum</v>
      </c>
      <c r="J393" s="35" t="str">
        <f t="shared" si="354"/>
        <v>HW1</v>
      </c>
      <c r="K393" s="35" t="str">
        <f t="shared" si="373"/>
        <v>SPHU</v>
      </c>
      <c r="L393" s="35">
        <f t="shared" si="355"/>
        <v>400</v>
      </c>
      <c r="M393" s="35">
        <f t="shared" si="356"/>
        <v>20</v>
      </c>
      <c r="N393" s="35">
        <f t="shared" si="357"/>
        <v>200</v>
      </c>
      <c r="O393" s="35" t="str">
        <f t="shared" si="358"/>
        <v>MTN2</v>
      </c>
      <c r="P393" s="35" t="str">
        <f t="shared" si="359"/>
        <v>CNT2</v>
      </c>
      <c r="Q393" s="35" t="str">
        <f t="shared" si="360"/>
        <v>KNT3</v>
      </c>
      <c r="R393" s="35" t="str">
        <f t="shared" si="361"/>
        <v>E</v>
      </c>
      <c r="S393" s="35" t="str">
        <f t="shared" si="362"/>
        <v>EXP1</v>
      </c>
      <c r="T393" s="58"/>
      <c r="U393" s="58"/>
      <c r="V393" s="58"/>
      <c r="W393" s="58"/>
      <c r="X393" s="58"/>
      <c r="Y393" s="58"/>
      <c r="Z393" s="58"/>
      <c r="AA393" s="95">
        <f t="shared" si="320"/>
        <v>0.56729634288509734</v>
      </c>
      <c r="AB393" s="96">
        <f t="shared" si="374"/>
        <v>56.729634288509736</v>
      </c>
      <c r="AC393" s="58"/>
      <c r="AD393" s="58"/>
      <c r="AE393" s="58"/>
      <c r="AF393" s="58"/>
      <c r="AG393" s="58"/>
      <c r="AH393" s="58"/>
      <c r="AI393" s="58"/>
      <c r="AJ393" s="58"/>
      <c r="AK393" s="58"/>
      <c r="AL393" s="58"/>
      <c r="AM393" s="89">
        <f t="shared" si="375"/>
        <v>18</v>
      </c>
      <c r="AN393" s="36">
        <f t="shared" si="363"/>
        <v>35.538333333333334</v>
      </c>
      <c r="AO393" s="35">
        <f t="shared" si="364"/>
        <v>1.7898197330821408</v>
      </c>
      <c r="AP393" s="35">
        <f>IF((OR(R393="A",R393="B",R393="C")),INDEX(Coefficients!$S$4:$S$22,MATCH(J393,Coefficients!$R$4:$R$22)),INDEX(Coefficients!$T$4:$T$22,MATCH(J393,Coefficients!$R$4:$R$22)))</f>
        <v>1.3</v>
      </c>
      <c r="AQ393" s="27">
        <f>IF((OR(R393="A",R393="B",R393="C")),INDEX(Coefficients!$S$4:$S$22,MATCH(K393,Coefficients!$R$4:$R$22)),INDEX(Coefficients!$T$4:$T$22,MATCH(K393,Coefficients!$R$4:$R$22)))</f>
        <v>25</v>
      </c>
      <c r="AR393" s="27">
        <f>IF(OR(R393="A",R393="B",R393="C",R393="D"),IF(AN393&gt;=11,IF(AN393&gt;=26,Coefficients!$M$6,Coefficients!$M$5),Coefficients!$M$4),IF(AN393&gt;=11,IF(AN393&gt;=26,Coefficients!$N$6,Coefficients!$N$5),Coefficients!$N$4))</f>
        <v>1</v>
      </c>
      <c r="AS393" s="27">
        <f>INDEX(Coefficients!$X$3:$X$4,MATCH(S393,Coefficients!$W$3:$W$4))</f>
        <v>1</v>
      </c>
      <c r="AT393" s="27">
        <f>INDEX(Coefficients!$X$7:$X$8,MATCH(O393,Coefficients!$W$7:$W$8))</f>
        <v>1</v>
      </c>
      <c r="AU393" s="27">
        <f>INDEX(Coefficients!$X$11:$X$12,MATCH(P393,Coefficients!$W$11:$W$12))</f>
        <v>1</v>
      </c>
      <c r="AV393" s="27">
        <f>INDEX(Coefficients!$X$15:$X$17,MATCH(Q393,Coefficients!$W$15:$W$17))</f>
        <v>1</v>
      </c>
      <c r="AW393" s="27">
        <f t="shared" si="376"/>
        <v>1</v>
      </c>
      <c r="AX393" s="27">
        <f t="shared" si="377"/>
        <v>1</v>
      </c>
      <c r="AY393" s="27">
        <f t="shared" si="378"/>
        <v>1.3</v>
      </c>
      <c r="AZ393" s="35">
        <f t="shared" si="379"/>
        <v>44.745493327053524</v>
      </c>
      <c r="BA393" s="35">
        <f t="shared" si="380"/>
        <v>0</v>
      </c>
      <c r="BB393" s="35">
        <f t="shared" si="381"/>
        <v>2.3267656530067833</v>
      </c>
      <c r="BC393" s="35">
        <f t="shared" si="382"/>
        <v>1.7673234346993216</v>
      </c>
      <c r="BD393" s="35">
        <f t="shared" si="365"/>
        <v>0.44697238789649957</v>
      </c>
      <c r="BE393" s="16">
        <f t="shared" si="366"/>
        <v>56.729634288509736</v>
      </c>
      <c r="BF393" s="16">
        <f t="shared" si="367"/>
        <v>286.54073142298051</v>
      </c>
      <c r="BG393" s="25">
        <f t="shared" si="368"/>
        <v>0.56729634288509734</v>
      </c>
      <c r="BH393" s="35">
        <f t="shared" si="369"/>
        <v>124.80519543472143</v>
      </c>
      <c r="BI393" s="35">
        <f t="shared" si="370"/>
        <v>150.38960913055715</v>
      </c>
      <c r="BJ393" s="35">
        <f t="shared" si="371"/>
        <v>36.596787199249633</v>
      </c>
    </row>
    <row r="394" spans="2:62">
      <c r="B394" s="35" t="s">
        <v>133</v>
      </c>
      <c r="C394" s="85" t="str">
        <f>'Hotter&amp;Drier'!$B$1</f>
        <v>CSIRO Mk3.5</v>
      </c>
      <c r="D394" s="89">
        <v>2024</v>
      </c>
      <c r="E394" s="57">
        <f>'Cooler&amp;Wetter'!AA52</f>
        <v>35.54</v>
      </c>
      <c r="F394" s="90">
        <f>'Hotter&amp;Drier'!AD52</f>
        <v>22.22</v>
      </c>
      <c r="G394" s="35">
        <f t="shared" si="372"/>
        <v>2005</v>
      </c>
      <c r="H394" s="91" t="str">
        <f t="shared" si="352"/>
        <v>Pile 32 @ Berth 201</v>
      </c>
      <c r="I394" s="35" t="str">
        <f t="shared" si="353"/>
        <v>Turpentine Gum</v>
      </c>
      <c r="J394" s="35" t="str">
        <f t="shared" si="354"/>
        <v>HW1</v>
      </c>
      <c r="K394" s="35" t="str">
        <f t="shared" si="373"/>
        <v>SPHU</v>
      </c>
      <c r="L394" s="35">
        <f t="shared" si="355"/>
        <v>400</v>
      </c>
      <c r="M394" s="35">
        <f t="shared" si="356"/>
        <v>20</v>
      </c>
      <c r="N394" s="35">
        <f t="shared" si="357"/>
        <v>200</v>
      </c>
      <c r="O394" s="35" t="str">
        <f t="shared" si="358"/>
        <v>MTN2</v>
      </c>
      <c r="P394" s="35" t="str">
        <f t="shared" si="359"/>
        <v>CNT2</v>
      </c>
      <c r="Q394" s="35" t="str">
        <f t="shared" si="360"/>
        <v>KNT3</v>
      </c>
      <c r="R394" s="35" t="str">
        <f t="shared" si="361"/>
        <v>E</v>
      </c>
      <c r="S394" s="35" t="str">
        <f t="shared" si="362"/>
        <v>EXP1</v>
      </c>
      <c r="T394" s="58"/>
      <c r="U394" s="58"/>
      <c r="V394" s="58"/>
      <c r="W394" s="58"/>
      <c r="X394" s="58"/>
      <c r="Y394" s="58"/>
      <c r="Z394" s="58"/>
      <c r="AA394" s="95">
        <f t="shared" si="320"/>
        <v>0.59215205017404848</v>
      </c>
      <c r="AB394" s="96">
        <f t="shared" si="374"/>
        <v>59.215205017404848</v>
      </c>
      <c r="AC394" s="58"/>
      <c r="AD394" s="58"/>
      <c r="AE394" s="58"/>
      <c r="AF394" s="58"/>
      <c r="AG394" s="58"/>
      <c r="AH394" s="58"/>
      <c r="AI394" s="58"/>
      <c r="AJ394" s="58"/>
      <c r="AK394" s="58"/>
      <c r="AL394" s="58"/>
      <c r="AM394" s="89">
        <f t="shared" si="375"/>
        <v>19</v>
      </c>
      <c r="AN394" s="36">
        <f t="shared" si="363"/>
        <v>35.54</v>
      </c>
      <c r="AO394" s="35">
        <f t="shared" si="364"/>
        <v>1.796813659332549</v>
      </c>
      <c r="AP394" s="35">
        <f>IF((OR(R394="A",R394="B",R394="C")),INDEX(Coefficients!$S$4:$S$22,MATCH(J394,Coefficients!$R$4:$R$22)),INDEX(Coefficients!$T$4:$T$22,MATCH(J394,Coefficients!$R$4:$R$22)))</f>
        <v>1.3</v>
      </c>
      <c r="AQ394" s="27">
        <f>IF((OR(R394="A",R394="B",R394="C")),INDEX(Coefficients!$S$4:$S$22,MATCH(K394,Coefficients!$R$4:$R$22)),INDEX(Coefficients!$T$4:$T$22,MATCH(K394,Coefficients!$R$4:$R$22)))</f>
        <v>25</v>
      </c>
      <c r="AR394" s="27">
        <f>IF(OR(R394="A",R394="B",R394="C",R394="D"),IF(AN394&gt;=11,IF(AN394&gt;=26,Coefficients!$M$6,Coefficients!$M$5),Coefficients!$M$4),IF(AN394&gt;=11,IF(AN394&gt;=26,Coefficients!$N$6,Coefficients!$N$5),Coefficients!$N$4))</f>
        <v>1</v>
      </c>
      <c r="AS394" s="27">
        <f>INDEX(Coefficients!$X$3:$X$4,MATCH(S394,Coefficients!$W$3:$W$4))</f>
        <v>1</v>
      </c>
      <c r="AT394" s="27">
        <f>INDEX(Coefficients!$X$7:$X$8,MATCH(O394,Coefficients!$W$7:$W$8))</f>
        <v>1</v>
      </c>
      <c r="AU394" s="27">
        <f>INDEX(Coefficients!$X$11:$X$12,MATCH(P394,Coefficients!$W$11:$W$12))</f>
        <v>1</v>
      </c>
      <c r="AV394" s="27">
        <f>INDEX(Coefficients!$X$15:$X$17,MATCH(Q394,Coefficients!$W$15:$W$17))</f>
        <v>1</v>
      </c>
      <c r="AW394" s="27">
        <f t="shared" si="376"/>
        <v>1</v>
      </c>
      <c r="AX394" s="27">
        <f t="shared" si="377"/>
        <v>1</v>
      </c>
      <c r="AY394" s="27">
        <f t="shared" si="378"/>
        <v>1.3</v>
      </c>
      <c r="AZ394" s="35">
        <f t="shared" si="379"/>
        <v>44.920341483313727</v>
      </c>
      <c r="BA394" s="35">
        <f t="shared" si="380"/>
        <v>0</v>
      </c>
      <c r="BB394" s="35">
        <f t="shared" si="381"/>
        <v>2.3358577571323136</v>
      </c>
      <c r="BC394" s="35">
        <f t="shared" si="382"/>
        <v>1.7664142242867686</v>
      </c>
      <c r="BD394" s="35">
        <f t="shared" si="365"/>
        <v>0.44523259039402613</v>
      </c>
      <c r="BE394" s="16">
        <f t="shared" si="366"/>
        <v>59.215205017404848</v>
      </c>
      <c r="BF394" s="16">
        <f t="shared" si="367"/>
        <v>281.56958996519029</v>
      </c>
      <c r="BG394" s="25">
        <f t="shared" si="368"/>
        <v>0.59215205017404848</v>
      </c>
      <c r="BH394" s="35">
        <f t="shared" si="369"/>
        <v>130.27345103829069</v>
      </c>
      <c r="BI394" s="35">
        <f t="shared" si="370"/>
        <v>139.45309792341862</v>
      </c>
      <c r="BJ394" s="35">
        <f t="shared" si="371"/>
        <v>36.460307614221271</v>
      </c>
    </row>
    <row r="395" spans="2:62">
      <c r="B395" s="35" t="s">
        <v>133</v>
      </c>
      <c r="C395" s="85" t="str">
        <f>'Hotter&amp;Drier'!$B$1</f>
        <v>CSIRO Mk3.5</v>
      </c>
      <c r="D395" s="89">
        <v>2025</v>
      </c>
      <c r="E395" s="57">
        <f>'Cooler&amp;Wetter'!AA53</f>
        <v>35.541666666666664</v>
      </c>
      <c r="F395" s="90">
        <f>'Hotter&amp;Drier'!AD53</f>
        <v>22.25</v>
      </c>
      <c r="G395" s="35">
        <f t="shared" si="372"/>
        <v>2005</v>
      </c>
      <c r="H395" s="91" t="str">
        <f t="shared" si="352"/>
        <v>Pile 32 @ Berth 201</v>
      </c>
      <c r="I395" s="35" t="str">
        <f t="shared" si="353"/>
        <v>Turpentine Gum</v>
      </c>
      <c r="J395" s="35" t="str">
        <f t="shared" si="354"/>
        <v>HW1</v>
      </c>
      <c r="K395" s="35" t="str">
        <f t="shared" si="373"/>
        <v>SPHU</v>
      </c>
      <c r="L395" s="35">
        <f t="shared" si="355"/>
        <v>400</v>
      </c>
      <c r="M395" s="35">
        <f t="shared" si="356"/>
        <v>20</v>
      </c>
      <c r="N395" s="35">
        <f t="shared" si="357"/>
        <v>200</v>
      </c>
      <c r="O395" s="35" t="str">
        <f t="shared" si="358"/>
        <v>MTN2</v>
      </c>
      <c r="P395" s="35" t="str">
        <f t="shared" si="359"/>
        <v>CNT2</v>
      </c>
      <c r="Q395" s="35" t="str">
        <f t="shared" si="360"/>
        <v>KNT3</v>
      </c>
      <c r="R395" s="35" t="str">
        <f t="shared" si="361"/>
        <v>E</v>
      </c>
      <c r="S395" s="35" t="str">
        <f t="shared" si="362"/>
        <v>EXP1</v>
      </c>
      <c r="T395" s="58"/>
      <c r="U395" s="58"/>
      <c r="V395" s="58"/>
      <c r="W395" s="58"/>
      <c r="X395" s="58"/>
      <c r="Y395" s="58"/>
      <c r="Z395" s="58"/>
      <c r="AA395" s="95">
        <f t="shared" ref="AA395:AA458" si="383">BG395</f>
        <v>0.61719632662378909</v>
      </c>
      <c r="AB395" s="96">
        <f t="shared" si="374"/>
        <v>61.719632662378913</v>
      </c>
      <c r="AC395" s="58"/>
      <c r="AD395" s="58"/>
      <c r="AE395" s="58"/>
      <c r="AF395" s="58"/>
      <c r="AG395" s="58"/>
      <c r="AH395" s="58"/>
      <c r="AI395" s="58"/>
      <c r="AJ395" s="58"/>
      <c r="AK395" s="58"/>
      <c r="AL395" s="58"/>
      <c r="AM395" s="89">
        <f t="shared" si="375"/>
        <v>20</v>
      </c>
      <c r="AN395" s="36">
        <f t="shared" si="363"/>
        <v>35.541666666666664</v>
      </c>
      <c r="AO395" s="35">
        <f t="shared" si="364"/>
        <v>1.8038349151533575</v>
      </c>
      <c r="AP395" s="35">
        <f>IF((OR(R395="A",R395="B",R395="C")),INDEX(Coefficients!$S$4:$S$22,MATCH(J395,Coefficients!$R$4:$R$22)),INDEX(Coefficients!$T$4:$T$22,MATCH(J395,Coefficients!$R$4:$R$22)))</f>
        <v>1.3</v>
      </c>
      <c r="AQ395" s="27">
        <f>IF((OR(R395="A",R395="B",R395="C")),INDEX(Coefficients!$S$4:$S$22,MATCH(K395,Coefficients!$R$4:$R$22)),INDEX(Coefficients!$T$4:$T$22,MATCH(K395,Coefficients!$R$4:$R$22)))</f>
        <v>25</v>
      </c>
      <c r="AR395" s="27">
        <f>IF(OR(R395="A",R395="B",R395="C",R395="D"),IF(AN395&gt;=11,IF(AN395&gt;=26,Coefficients!$M$6,Coefficients!$M$5),Coefficients!$M$4),IF(AN395&gt;=11,IF(AN395&gt;=26,Coefficients!$N$6,Coefficients!$N$5),Coefficients!$N$4))</f>
        <v>1</v>
      </c>
      <c r="AS395" s="27">
        <f>INDEX(Coefficients!$X$3:$X$4,MATCH(S395,Coefficients!$W$3:$W$4))</f>
        <v>1</v>
      </c>
      <c r="AT395" s="27">
        <f>INDEX(Coefficients!$X$7:$X$8,MATCH(O395,Coefficients!$W$7:$W$8))</f>
        <v>1</v>
      </c>
      <c r="AU395" s="27">
        <f>INDEX(Coefficients!$X$11:$X$12,MATCH(P395,Coefficients!$W$11:$W$12))</f>
        <v>1</v>
      </c>
      <c r="AV395" s="27">
        <f>INDEX(Coefficients!$X$15:$X$17,MATCH(Q395,Coefficients!$W$15:$W$17))</f>
        <v>1</v>
      </c>
      <c r="AW395" s="27">
        <f t="shared" si="376"/>
        <v>1</v>
      </c>
      <c r="AX395" s="27">
        <f t="shared" si="377"/>
        <v>1</v>
      </c>
      <c r="AY395" s="27">
        <f t="shared" si="378"/>
        <v>1.3</v>
      </c>
      <c r="AZ395" s="35">
        <f t="shared" si="379"/>
        <v>45.095872878833937</v>
      </c>
      <c r="BA395" s="35">
        <f t="shared" si="380"/>
        <v>0</v>
      </c>
      <c r="BB395" s="35">
        <f t="shared" si="381"/>
        <v>2.3449853896993647</v>
      </c>
      <c r="BC395" s="35">
        <f t="shared" si="382"/>
        <v>1.7655014610300634</v>
      </c>
      <c r="BD395" s="35">
        <f t="shared" si="365"/>
        <v>0.44349956488783565</v>
      </c>
      <c r="BE395" s="16">
        <f t="shared" si="366"/>
        <v>61.719632662378913</v>
      </c>
      <c r="BF395" s="16">
        <f t="shared" si="367"/>
        <v>276.5607346752422</v>
      </c>
      <c r="BG395" s="25">
        <f t="shared" si="368"/>
        <v>0.61719632662378909</v>
      </c>
      <c r="BH395" s="35">
        <f t="shared" si="369"/>
        <v>135.78319185723362</v>
      </c>
      <c r="BI395" s="35">
        <f t="shared" si="370"/>
        <v>128.43361628553276</v>
      </c>
      <c r="BJ395" s="35">
        <f t="shared" si="371"/>
        <v>36.324352171136027</v>
      </c>
    </row>
    <row r="396" spans="2:62">
      <c r="B396" s="35" t="s">
        <v>133</v>
      </c>
      <c r="C396" s="85" t="str">
        <f>'Hotter&amp;Drier'!$B$1</f>
        <v>CSIRO Mk3.5</v>
      </c>
      <c r="D396" s="89">
        <v>2026</v>
      </c>
      <c r="E396" s="57">
        <f>'Cooler&amp;Wetter'!AA54</f>
        <v>35.543333333333337</v>
      </c>
      <c r="F396" s="90">
        <f>'Hotter&amp;Drier'!AD54</f>
        <v>22.28</v>
      </c>
      <c r="G396" s="35">
        <f t="shared" si="372"/>
        <v>2005</v>
      </c>
      <c r="H396" s="91" t="str">
        <f t="shared" si="352"/>
        <v>Pile 32 @ Berth 201</v>
      </c>
      <c r="I396" s="35" t="str">
        <f t="shared" si="353"/>
        <v>Turpentine Gum</v>
      </c>
      <c r="J396" s="35" t="str">
        <f t="shared" si="354"/>
        <v>HW1</v>
      </c>
      <c r="K396" s="35" t="str">
        <f t="shared" si="373"/>
        <v>SPHU</v>
      </c>
      <c r="L396" s="35">
        <f t="shared" si="355"/>
        <v>400</v>
      </c>
      <c r="M396" s="35">
        <f t="shared" si="356"/>
        <v>20</v>
      </c>
      <c r="N396" s="35">
        <f t="shared" si="357"/>
        <v>200</v>
      </c>
      <c r="O396" s="35" t="str">
        <f t="shared" si="358"/>
        <v>MTN2</v>
      </c>
      <c r="P396" s="35" t="str">
        <f t="shared" si="359"/>
        <v>CNT2</v>
      </c>
      <c r="Q396" s="35" t="str">
        <f t="shared" si="360"/>
        <v>KNT3</v>
      </c>
      <c r="R396" s="35" t="str">
        <f t="shared" si="361"/>
        <v>E</v>
      </c>
      <c r="S396" s="35" t="str">
        <f t="shared" si="362"/>
        <v>EXP1</v>
      </c>
      <c r="T396" s="58"/>
      <c r="U396" s="58"/>
      <c r="V396" s="58"/>
      <c r="W396" s="58"/>
      <c r="X396" s="58"/>
      <c r="Y396" s="58"/>
      <c r="Z396" s="58"/>
      <c r="AA396" s="95">
        <f t="shared" si="383"/>
        <v>0.64243026706494621</v>
      </c>
      <c r="AB396" s="96">
        <f t="shared" si="374"/>
        <v>64.243026706494618</v>
      </c>
      <c r="AC396" s="58"/>
      <c r="AD396" s="58"/>
      <c r="AE396" s="58"/>
      <c r="AF396" s="58"/>
      <c r="AG396" s="58"/>
      <c r="AH396" s="58"/>
      <c r="AI396" s="58"/>
      <c r="AJ396" s="58"/>
      <c r="AK396" s="58"/>
      <c r="AL396" s="58"/>
      <c r="AM396" s="89">
        <f t="shared" si="375"/>
        <v>21</v>
      </c>
      <c r="AN396" s="36">
        <f t="shared" si="363"/>
        <v>35.543333333333337</v>
      </c>
      <c r="AO396" s="35">
        <f t="shared" si="364"/>
        <v>1.8108836073380008</v>
      </c>
      <c r="AP396" s="35">
        <f>IF((OR(R396="A",R396="B",R396="C")),INDEX(Coefficients!$S$4:$S$22,MATCH(J396,Coefficients!$R$4:$R$22)),INDEX(Coefficients!$T$4:$T$22,MATCH(J396,Coefficients!$R$4:$R$22)))</f>
        <v>1.3</v>
      </c>
      <c r="AQ396" s="27">
        <f>IF((OR(R396="A",R396="B",R396="C")),INDEX(Coefficients!$S$4:$S$22,MATCH(K396,Coefficients!$R$4:$R$22)),INDEX(Coefficients!$T$4:$T$22,MATCH(K396,Coefficients!$R$4:$R$22)))</f>
        <v>25</v>
      </c>
      <c r="AR396" s="27">
        <f>IF(OR(R396="A",R396="B",R396="C",R396="D"),IF(AN396&gt;=11,IF(AN396&gt;=26,Coefficients!$M$6,Coefficients!$M$5),Coefficients!$M$4),IF(AN396&gt;=11,IF(AN396&gt;=26,Coefficients!$N$6,Coefficients!$N$5),Coefficients!$N$4))</f>
        <v>1</v>
      </c>
      <c r="AS396" s="27">
        <f>INDEX(Coefficients!$X$3:$X$4,MATCH(S396,Coefficients!$W$3:$W$4))</f>
        <v>1</v>
      </c>
      <c r="AT396" s="27">
        <f>INDEX(Coefficients!$X$7:$X$8,MATCH(O396,Coefficients!$W$7:$W$8))</f>
        <v>1</v>
      </c>
      <c r="AU396" s="27">
        <f>INDEX(Coefficients!$X$11:$X$12,MATCH(P396,Coefficients!$W$11:$W$12))</f>
        <v>1</v>
      </c>
      <c r="AV396" s="27">
        <f>INDEX(Coefficients!$X$15:$X$17,MATCH(Q396,Coefficients!$W$15:$W$17))</f>
        <v>1</v>
      </c>
      <c r="AW396" s="27">
        <f t="shared" si="376"/>
        <v>1</v>
      </c>
      <c r="AX396" s="27">
        <f t="shared" si="377"/>
        <v>1</v>
      </c>
      <c r="AY396" s="27">
        <f t="shared" si="378"/>
        <v>1.3</v>
      </c>
      <c r="AZ396" s="35">
        <f t="shared" si="379"/>
        <v>45.272090183450018</v>
      </c>
      <c r="BA396" s="35">
        <f t="shared" si="380"/>
        <v>0</v>
      </c>
      <c r="BB396" s="35">
        <f t="shared" si="381"/>
        <v>2.354148689539401</v>
      </c>
      <c r="BC396" s="35">
        <f t="shared" si="382"/>
        <v>1.7645851310460599</v>
      </c>
      <c r="BD396" s="35">
        <f t="shared" si="365"/>
        <v>0.44177328501857727</v>
      </c>
      <c r="BE396" s="16">
        <f t="shared" si="366"/>
        <v>64.243026706494618</v>
      </c>
      <c r="BF396" s="16">
        <f t="shared" si="367"/>
        <v>271.51394658701076</v>
      </c>
      <c r="BG396" s="25">
        <f t="shared" si="368"/>
        <v>0.64243026706494621</v>
      </c>
      <c r="BH396" s="35">
        <f t="shared" si="369"/>
        <v>141.33465875428817</v>
      </c>
      <c r="BI396" s="35">
        <f t="shared" si="370"/>
        <v>117.33068249142366</v>
      </c>
      <c r="BJ396" s="35">
        <f t="shared" si="371"/>
        <v>36.188918802109043</v>
      </c>
    </row>
    <row r="397" spans="2:62">
      <c r="B397" s="35" t="s">
        <v>133</v>
      </c>
      <c r="C397" s="85" t="str">
        <f>'Hotter&amp;Drier'!$B$1</f>
        <v>CSIRO Mk3.5</v>
      </c>
      <c r="D397" s="89">
        <v>2027</v>
      </c>
      <c r="E397" s="57">
        <f>'Cooler&amp;Wetter'!AA55</f>
        <v>35.545000000000002</v>
      </c>
      <c r="F397" s="90">
        <f>'Hotter&amp;Drier'!AD55</f>
        <v>22.31</v>
      </c>
      <c r="G397" s="35">
        <f t="shared" si="372"/>
        <v>2005</v>
      </c>
      <c r="H397" s="91" t="str">
        <f t="shared" si="352"/>
        <v>Pile 32 @ Berth 201</v>
      </c>
      <c r="I397" s="35" t="str">
        <f t="shared" si="353"/>
        <v>Turpentine Gum</v>
      </c>
      <c r="J397" s="35" t="str">
        <f t="shared" si="354"/>
        <v>HW1</v>
      </c>
      <c r="K397" s="35" t="str">
        <f t="shared" si="373"/>
        <v>SPHU</v>
      </c>
      <c r="L397" s="35">
        <f t="shared" si="355"/>
        <v>400</v>
      </c>
      <c r="M397" s="35">
        <f t="shared" si="356"/>
        <v>20</v>
      </c>
      <c r="N397" s="35">
        <f t="shared" si="357"/>
        <v>200</v>
      </c>
      <c r="O397" s="35" t="str">
        <f t="shared" si="358"/>
        <v>MTN2</v>
      </c>
      <c r="P397" s="35" t="str">
        <f t="shared" si="359"/>
        <v>CNT2</v>
      </c>
      <c r="Q397" s="35" t="str">
        <f t="shared" si="360"/>
        <v>KNT3</v>
      </c>
      <c r="R397" s="35" t="str">
        <f t="shared" si="361"/>
        <v>E</v>
      </c>
      <c r="S397" s="35" t="str">
        <f t="shared" si="362"/>
        <v>EXP1</v>
      </c>
      <c r="T397" s="58"/>
      <c r="U397" s="58"/>
      <c r="V397" s="58"/>
      <c r="W397" s="58"/>
      <c r="X397" s="58"/>
      <c r="Y397" s="58"/>
      <c r="Z397" s="58"/>
      <c r="AA397" s="95">
        <f t="shared" si="383"/>
        <v>0.66785497201026078</v>
      </c>
      <c r="AB397" s="96">
        <f t="shared" si="374"/>
        <v>66.785497201026075</v>
      </c>
      <c r="AC397" s="58"/>
      <c r="AD397" s="58"/>
      <c r="AE397" s="58"/>
      <c r="AF397" s="58"/>
      <c r="AG397" s="58"/>
      <c r="AH397" s="58"/>
      <c r="AI397" s="58"/>
      <c r="AJ397" s="58"/>
      <c r="AK397" s="58"/>
      <c r="AL397" s="58"/>
      <c r="AM397" s="89">
        <f t="shared" si="375"/>
        <v>22</v>
      </c>
      <c r="AN397" s="36">
        <f t="shared" si="363"/>
        <v>35.545000000000002</v>
      </c>
      <c r="AO397" s="35">
        <f t="shared" si="364"/>
        <v>1.8179598430972228</v>
      </c>
      <c r="AP397" s="35">
        <f>IF((OR(R397="A",R397="B",R397="C")),INDEX(Coefficients!$S$4:$S$22,MATCH(J397,Coefficients!$R$4:$R$22)),INDEX(Coefficients!$T$4:$T$22,MATCH(J397,Coefficients!$R$4:$R$22)))</f>
        <v>1.3</v>
      </c>
      <c r="AQ397" s="27">
        <f>IF((OR(R397="A",R397="B",R397="C")),INDEX(Coefficients!$S$4:$S$22,MATCH(K397,Coefficients!$R$4:$R$22)),INDEX(Coefficients!$T$4:$T$22,MATCH(K397,Coefficients!$R$4:$R$22)))</f>
        <v>25</v>
      </c>
      <c r="AR397" s="27">
        <f>IF(OR(R397="A",R397="B",R397="C",R397="D"),IF(AN397&gt;=11,IF(AN397&gt;=26,Coefficients!$M$6,Coefficients!$M$5),Coefficients!$M$4),IF(AN397&gt;=11,IF(AN397&gt;=26,Coefficients!$N$6,Coefficients!$N$5),Coefficients!$N$4))</f>
        <v>1</v>
      </c>
      <c r="AS397" s="27">
        <f>INDEX(Coefficients!$X$3:$X$4,MATCH(S397,Coefficients!$W$3:$W$4))</f>
        <v>1</v>
      </c>
      <c r="AT397" s="27">
        <f>INDEX(Coefficients!$X$7:$X$8,MATCH(O397,Coefficients!$W$7:$W$8))</f>
        <v>1</v>
      </c>
      <c r="AU397" s="27">
        <f>INDEX(Coefficients!$X$11:$X$12,MATCH(P397,Coefficients!$W$11:$W$12))</f>
        <v>1</v>
      </c>
      <c r="AV397" s="27">
        <f>INDEX(Coefficients!$X$15:$X$17,MATCH(Q397,Coefficients!$W$15:$W$17))</f>
        <v>1</v>
      </c>
      <c r="AW397" s="27">
        <f t="shared" si="376"/>
        <v>1</v>
      </c>
      <c r="AX397" s="27">
        <f t="shared" si="377"/>
        <v>1</v>
      </c>
      <c r="AY397" s="27">
        <f t="shared" si="378"/>
        <v>1.3</v>
      </c>
      <c r="AZ397" s="35">
        <f t="shared" si="379"/>
        <v>45.448996077430571</v>
      </c>
      <c r="BA397" s="35">
        <f t="shared" si="380"/>
        <v>0</v>
      </c>
      <c r="BB397" s="35">
        <f t="shared" si="381"/>
        <v>2.3633477960263898</v>
      </c>
      <c r="BC397" s="35">
        <f t="shared" si="382"/>
        <v>1.7636652203973611</v>
      </c>
      <c r="BD397" s="35">
        <f t="shared" si="365"/>
        <v>0.44005372452950092</v>
      </c>
      <c r="BE397" s="16">
        <f t="shared" si="366"/>
        <v>66.785497201026075</v>
      </c>
      <c r="BF397" s="16">
        <f t="shared" si="367"/>
        <v>266.42900559794782</v>
      </c>
      <c r="BG397" s="25">
        <f t="shared" si="368"/>
        <v>0.66785497201026078</v>
      </c>
      <c r="BH397" s="35">
        <f t="shared" si="369"/>
        <v>146.92809384225737</v>
      </c>
      <c r="BI397" s="35">
        <f t="shared" si="370"/>
        <v>106.14381231548526</v>
      </c>
      <c r="BJ397" s="35">
        <f t="shared" si="371"/>
        <v>36.054005447196161</v>
      </c>
    </row>
    <row r="398" spans="2:62">
      <c r="B398" s="35" t="s">
        <v>133</v>
      </c>
      <c r="C398" s="85" t="str">
        <f>'Hotter&amp;Drier'!$B$1</f>
        <v>CSIRO Mk3.5</v>
      </c>
      <c r="D398" s="89">
        <v>2028</v>
      </c>
      <c r="E398" s="57">
        <f>'Cooler&amp;Wetter'!AA56</f>
        <v>35.546666666666667</v>
      </c>
      <c r="F398" s="90">
        <f>'Hotter&amp;Drier'!AD56</f>
        <v>22.34</v>
      </c>
      <c r="G398" s="35">
        <f t="shared" si="372"/>
        <v>2005</v>
      </c>
      <c r="H398" s="91" t="str">
        <f t="shared" si="352"/>
        <v>Pile 32 @ Berth 201</v>
      </c>
      <c r="I398" s="35" t="str">
        <f t="shared" si="353"/>
        <v>Turpentine Gum</v>
      </c>
      <c r="J398" s="35" t="str">
        <f t="shared" si="354"/>
        <v>HW1</v>
      </c>
      <c r="K398" s="35" t="str">
        <f t="shared" si="373"/>
        <v>SPHU</v>
      </c>
      <c r="L398" s="35">
        <f t="shared" si="355"/>
        <v>400</v>
      </c>
      <c r="M398" s="35">
        <f t="shared" si="356"/>
        <v>20</v>
      </c>
      <c r="N398" s="35">
        <f t="shared" si="357"/>
        <v>200</v>
      </c>
      <c r="O398" s="35" t="str">
        <f t="shared" si="358"/>
        <v>MTN2</v>
      </c>
      <c r="P398" s="35" t="str">
        <f t="shared" si="359"/>
        <v>CNT2</v>
      </c>
      <c r="Q398" s="35" t="str">
        <f t="shared" si="360"/>
        <v>KNT3</v>
      </c>
      <c r="R398" s="35" t="str">
        <f t="shared" si="361"/>
        <v>E</v>
      </c>
      <c r="S398" s="35" t="str">
        <f t="shared" si="362"/>
        <v>EXP1</v>
      </c>
      <c r="T398" s="58"/>
      <c r="U398" s="58"/>
      <c r="V398" s="58"/>
      <c r="W398" s="58"/>
      <c r="X398" s="58"/>
      <c r="Y398" s="58"/>
      <c r="Z398" s="58"/>
      <c r="AA398" s="95">
        <f t="shared" si="383"/>
        <v>0.693471547682316</v>
      </c>
      <c r="AB398" s="96">
        <f t="shared" si="374"/>
        <v>69.347154768231604</v>
      </c>
      <c r="AC398" s="58"/>
      <c r="AD398" s="58"/>
      <c r="AE398" s="58"/>
      <c r="AF398" s="58"/>
      <c r="AG398" s="58"/>
      <c r="AH398" s="58"/>
      <c r="AI398" s="58"/>
      <c r="AJ398" s="58"/>
      <c r="AK398" s="58"/>
      <c r="AL398" s="58"/>
      <c r="AM398" s="89">
        <f t="shared" si="375"/>
        <v>23</v>
      </c>
      <c r="AN398" s="36">
        <f t="shared" si="363"/>
        <v>35.546666666666667</v>
      </c>
      <c r="AO398" s="35">
        <f t="shared" si="364"/>
        <v>1.8250637300607058</v>
      </c>
      <c r="AP398" s="35">
        <f>IF((OR(R398="A",R398="B",R398="C")),INDEX(Coefficients!$S$4:$S$22,MATCH(J398,Coefficients!$R$4:$R$22)),INDEX(Coefficients!$T$4:$T$22,MATCH(J398,Coefficients!$R$4:$R$22)))</f>
        <v>1.3</v>
      </c>
      <c r="AQ398" s="27">
        <f>IF((OR(R398="A",R398="B",R398="C")),INDEX(Coefficients!$S$4:$S$22,MATCH(K398,Coefficients!$R$4:$R$22)),INDEX(Coefficients!$T$4:$T$22,MATCH(K398,Coefficients!$R$4:$R$22)))</f>
        <v>25</v>
      </c>
      <c r="AR398" s="27">
        <f>IF(OR(R398="A",R398="B",R398="C",R398="D"),IF(AN398&gt;=11,IF(AN398&gt;=26,Coefficients!$M$6,Coefficients!$M$5),Coefficients!$M$4),IF(AN398&gt;=11,IF(AN398&gt;=26,Coefficients!$N$6,Coefficients!$N$5),Coefficients!$N$4))</f>
        <v>1</v>
      </c>
      <c r="AS398" s="27">
        <f>INDEX(Coefficients!$X$3:$X$4,MATCH(S398,Coefficients!$W$3:$W$4))</f>
        <v>1</v>
      </c>
      <c r="AT398" s="27">
        <f>INDEX(Coefficients!$X$7:$X$8,MATCH(O398,Coefficients!$W$7:$W$8))</f>
        <v>1</v>
      </c>
      <c r="AU398" s="27">
        <f>INDEX(Coefficients!$X$11:$X$12,MATCH(P398,Coefficients!$W$11:$W$12))</f>
        <v>1</v>
      </c>
      <c r="AV398" s="27">
        <f>INDEX(Coefficients!$X$15:$X$17,MATCH(Q398,Coefficients!$W$15:$W$17))</f>
        <v>1</v>
      </c>
      <c r="AW398" s="27">
        <f t="shared" si="376"/>
        <v>1</v>
      </c>
      <c r="AX398" s="27">
        <f t="shared" si="377"/>
        <v>1</v>
      </c>
      <c r="AY398" s="27">
        <f t="shared" si="378"/>
        <v>1.3</v>
      </c>
      <c r="AZ398" s="35">
        <f t="shared" si="379"/>
        <v>45.626593251517647</v>
      </c>
      <c r="BA398" s="35">
        <f t="shared" si="380"/>
        <v>0</v>
      </c>
      <c r="BB398" s="35">
        <f t="shared" si="381"/>
        <v>2.3725828490789174</v>
      </c>
      <c r="BC398" s="35">
        <f t="shared" si="382"/>
        <v>1.7627417150921083</v>
      </c>
      <c r="BD398" s="35">
        <f t="shared" si="365"/>
        <v>0.43834085726605837</v>
      </c>
      <c r="BE398" s="16">
        <f t="shared" si="366"/>
        <v>69.347154768231604</v>
      </c>
      <c r="BF398" s="16">
        <f t="shared" si="367"/>
        <v>261.30569046353679</v>
      </c>
      <c r="BG398" s="25">
        <f t="shared" si="368"/>
        <v>0.693471547682316</v>
      </c>
      <c r="BH398" s="35">
        <f t="shared" si="369"/>
        <v>152.56374049010955</v>
      </c>
      <c r="BI398" s="35">
        <f t="shared" si="370"/>
        <v>94.872519019780896</v>
      </c>
      <c r="BJ398" s="35">
        <f t="shared" si="371"/>
        <v>35.919610054362664</v>
      </c>
    </row>
    <row r="399" spans="2:62">
      <c r="B399" s="35" t="s">
        <v>133</v>
      </c>
      <c r="C399" s="85" t="str">
        <f>'Hotter&amp;Drier'!$B$1</f>
        <v>CSIRO Mk3.5</v>
      </c>
      <c r="D399" s="89">
        <v>2029</v>
      </c>
      <c r="E399" s="57">
        <f>'Cooler&amp;Wetter'!AA57</f>
        <v>35.548333333333332</v>
      </c>
      <c r="F399" s="90">
        <f>'Hotter&amp;Drier'!AD57</f>
        <v>22.37</v>
      </c>
      <c r="G399" s="35">
        <f t="shared" si="372"/>
        <v>2005</v>
      </c>
      <c r="H399" s="91" t="str">
        <f t="shared" si="352"/>
        <v>Pile 32 @ Berth 201</v>
      </c>
      <c r="I399" s="35" t="str">
        <f t="shared" si="353"/>
        <v>Turpentine Gum</v>
      </c>
      <c r="J399" s="35" t="str">
        <f t="shared" si="354"/>
        <v>HW1</v>
      </c>
      <c r="K399" s="35" t="str">
        <f t="shared" si="373"/>
        <v>SPHU</v>
      </c>
      <c r="L399" s="35">
        <f t="shared" si="355"/>
        <v>400</v>
      </c>
      <c r="M399" s="35">
        <f t="shared" si="356"/>
        <v>20</v>
      </c>
      <c r="N399" s="35">
        <f t="shared" si="357"/>
        <v>200</v>
      </c>
      <c r="O399" s="35" t="str">
        <f t="shared" si="358"/>
        <v>MTN2</v>
      </c>
      <c r="P399" s="35" t="str">
        <f t="shared" si="359"/>
        <v>CNT2</v>
      </c>
      <c r="Q399" s="35" t="str">
        <f t="shared" si="360"/>
        <v>KNT3</v>
      </c>
      <c r="R399" s="35" t="str">
        <f t="shared" si="361"/>
        <v>E</v>
      </c>
      <c r="S399" s="35" t="str">
        <f t="shared" si="362"/>
        <v>EXP1</v>
      </c>
      <c r="T399" s="58"/>
      <c r="U399" s="58"/>
      <c r="V399" s="58"/>
      <c r="W399" s="58"/>
      <c r="X399" s="58"/>
      <c r="Y399" s="58"/>
      <c r="Z399" s="58"/>
      <c r="AA399" s="95">
        <f t="shared" si="383"/>
        <v>0.71928110604139928</v>
      </c>
      <c r="AB399" s="96">
        <f t="shared" si="374"/>
        <v>71.928110604139931</v>
      </c>
      <c r="AC399" s="58"/>
      <c r="AD399" s="58"/>
      <c r="AE399" s="58"/>
      <c r="AF399" s="58"/>
      <c r="AG399" s="58"/>
      <c r="AH399" s="58"/>
      <c r="AI399" s="58"/>
      <c r="AJ399" s="58"/>
      <c r="AK399" s="58"/>
      <c r="AL399" s="58"/>
      <c r="AM399" s="89">
        <f t="shared" si="375"/>
        <v>24</v>
      </c>
      <c r="AN399" s="36">
        <f t="shared" si="363"/>
        <v>35.548333333333332</v>
      </c>
      <c r="AO399" s="35">
        <f t="shared" si="364"/>
        <v>1.8321953762787091</v>
      </c>
      <c r="AP399" s="35">
        <f>IF((OR(R399="A",R399="B",R399="C")),INDEX(Coefficients!$S$4:$S$22,MATCH(J399,Coefficients!$R$4:$R$22)),INDEX(Coefficients!$T$4:$T$22,MATCH(J399,Coefficients!$R$4:$R$22)))</f>
        <v>1.3</v>
      </c>
      <c r="AQ399" s="27">
        <f>IF((OR(R399="A",R399="B",R399="C")),INDEX(Coefficients!$S$4:$S$22,MATCH(K399,Coefficients!$R$4:$R$22)),INDEX(Coefficients!$T$4:$T$22,MATCH(K399,Coefficients!$R$4:$R$22)))</f>
        <v>25</v>
      </c>
      <c r="AR399" s="27">
        <f>IF(OR(R399="A",R399="B",R399="C",R399="D"),IF(AN399&gt;=11,IF(AN399&gt;=26,Coefficients!$M$6,Coefficients!$M$5),Coefficients!$M$4),IF(AN399&gt;=11,IF(AN399&gt;=26,Coefficients!$N$6,Coefficients!$N$5),Coefficients!$N$4))</f>
        <v>1</v>
      </c>
      <c r="AS399" s="27">
        <f>INDEX(Coefficients!$X$3:$X$4,MATCH(S399,Coefficients!$W$3:$W$4))</f>
        <v>1</v>
      </c>
      <c r="AT399" s="27">
        <f>INDEX(Coefficients!$X$7:$X$8,MATCH(O399,Coefficients!$W$7:$W$8))</f>
        <v>1</v>
      </c>
      <c r="AU399" s="27">
        <f>INDEX(Coefficients!$X$11:$X$12,MATCH(P399,Coefficients!$W$11:$W$12))</f>
        <v>1</v>
      </c>
      <c r="AV399" s="27">
        <f>INDEX(Coefficients!$X$15:$X$17,MATCH(Q399,Coefficients!$W$15:$W$17))</f>
        <v>1</v>
      </c>
      <c r="AW399" s="27">
        <f t="shared" si="376"/>
        <v>1</v>
      </c>
      <c r="AX399" s="27">
        <f t="shared" si="377"/>
        <v>1</v>
      </c>
      <c r="AY399" s="27">
        <f t="shared" si="378"/>
        <v>1.3</v>
      </c>
      <c r="AZ399" s="35">
        <f t="shared" si="379"/>
        <v>45.80488440696773</v>
      </c>
      <c r="BA399" s="35">
        <f t="shared" si="380"/>
        <v>0</v>
      </c>
      <c r="BB399" s="35">
        <f t="shared" si="381"/>
        <v>2.3818539891623218</v>
      </c>
      <c r="BC399" s="35">
        <f t="shared" si="382"/>
        <v>1.7618146010837679</v>
      </c>
      <c r="BD399" s="35">
        <f t="shared" si="365"/>
        <v>0.4366346571755052</v>
      </c>
      <c r="BE399" s="16">
        <f t="shared" si="366"/>
        <v>71.928110604139931</v>
      </c>
      <c r="BF399" s="16">
        <f t="shared" si="367"/>
        <v>256.14377879172014</v>
      </c>
      <c r="BG399" s="25">
        <f t="shared" si="368"/>
        <v>0.71928110604139928</v>
      </c>
      <c r="BH399" s="35">
        <f t="shared" si="369"/>
        <v>158.24184332910787</v>
      </c>
      <c r="BI399" s="35">
        <f t="shared" si="370"/>
        <v>83.516313341784269</v>
      </c>
      <c r="BJ399" s="35">
        <f t="shared" si="371"/>
        <v>35.785730579451986</v>
      </c>
    </row>
    <row r="400" spans="2:62">
      <c r="B400" s="35" t="s">
        <v>133</v>
      </c>
      <c r="C400" s="85" t="str">
        <f>'Hotter&amp;Drier'!$B$1</f>
        <v>CSIRO Mk3.5</v>
      </c>
      <c r="D400" s="89">
        <v>2030</v>
      </c>
      <c r="E400" s="57">
        <f>'Cooler&amp;Wetter'!AA58</f>
        <v>35.549999999999997</v>
      </c>
      <c r="F400" s="90">
        <f>'Hotter&amp;Drier'!AD58</f>
        <v>22.4</v>
      </c>
      <c r="G400" s="35">
        <f t="shared" si="372"/>
        <v>2005</v>
      </c>
      <c r="H400" s="91" t="str">
        <f t="shared" si="352"/>
        <v>Pile 32 @ Berth 201</v>
      </c>
      <c r="I400" s="35" t="str">
        <f t="shared" si="353"/>
        <v>Turpentine Gum</v>
      </c>
      <c r="J400" s="35" t="str">
        <f t="shared" si="354"/>
        <v>HW1</v>
      </c>
      <c r="K400" s="35" t="str">
        <f t="shared" si="373"/>
        <v>SPHU</v>
      </c>
      <c r="L400" s="35">
        <f t="shared" si="355"/>
        <v>400</v>
      </c>
      <c r="M400" s="35">
        <f t="shared" si="356"/>
        <v>20</v>
      </c>
      <c r="N400" s="35">
        <f t="shared" si="357"/>
        <v>200</v>
      </c>
      <c r="O400" s="35" t="str">
        <f t="shared" si="358"/>
        <v>MTN2</v>
      </c>
      <c r="P400" s="35" t="str">
        <f t="shared" si="359"/>
        <v>CNT2</v>
      </c>
      <c r="Q400" s="35" t="str">
        <f t="shared" si="360"/>
        <v>KNT3</v>
      </c>
      <c r="R400" s="35" t="str">
        <f t="shared" si="361"/>
        <v>E</v>
      </c>
      <c r="S400" s="35" t="str">
        <f t="shared" si="362"/>
        <v>EXP1</v>
      </c>
      <c r="T400" s="58"/>
      <c r="U400" s="58"/>
      <c r="V400" s="58"/>
      <c r="W400" s="58"/>
      <c r="X400" s="58"/>
      <c r="Y400" s="58"/>
      <c r="Z400" s="58"/>
      <c r="AA400" s="95">
        <f t="shared" si="383"/>
        <v>0.74528476481348915</v>
      </c>
      <c r="AB400" s="96">
        <f t="shared" si="374"/>
        <v>74.528476481348918</v>
      </c>
      <c r="AC400" s="58"/>
      <c r="AD400" s="58"/>
      <c r="AE400" s="58"/>
      <c r="AF400" s="58"/>
      <c r="AG400" s="58"/>
      <c r="AH400" s="58"/>
      <c r="AI400" s="58"/>
      <c r="AJ400" s="58"/>
      <c r="AK400" s="58"/>
      <c r="AL400" s="58"/>
      <c r="AM400" s="89">
        <f t="shared" si="375"/>
        <v>25</v>
      </c>
      <c r="AN400" s="36">
        <f t="shared" si="363"/>
        <v>35.549999999999997</v>
      </c>
      <c r="AO400" s="35">
        <f t="shared" si="364"/>
        <v>1.8393548902237065</v>
      </c>
      <c r="AP400" s="35">
        <f>IF((OR(R400="A",R400="B",R400="C")),INDEX(Coefficients!$S$4:$S$22,MATCH(J400,Coefficients!$R$4:$R$22)),INDEX(Coefficients!$T$4:$T$22,MATCH(J400,Coefficients!$R$4:$R$22)))</f>
        <v>1.3</v>
      </c>
      <c r="AQ400" s="27">
        <f>IF((OR(R400="A",R400="B",R400="C")),INDEX(Coefficients!$S$4:$S$22,MATCH(K400,Coefficients!$R$4:$R$22)),INDEX(Coefficients!$T$4:$T$22,MATCH(K400,Coefficients!$R$4:$R$22)))</f>
        <v>25</v>
      </c>
      <c r="AR400" s="27">
        <f>IF(OR(R400="A",R400="B",R400="C",R400="D"),IF(AN400&gt;=11,IF(AN400&gt;=26,Coefficients!$M$6,Coefficients!$M$5),Coefficients!$M$4),IF(AN400&gt;=11,IF(AN400&gt;=26,Coefficients!$N$6,Coefficients!$N$5),Coefficients!$N$4))</f>
        <v>1</v>
      </c>
      <c r="AS400" s="27">
        <f>INDEX(Coefficients!$X$3:$X$4,MATCH(S400,Coefficients!$W$3:$W$4))</f>
        <v>1</v>
      </c>
      <c r="AT400" s="27">
        <f>INDEX(Coefficients!$X$7:$X$8,MATCH(O400,Coefficients!$W$7:$W$8))</f>
        <v>1</v>
      </c>
      <c r="AU400" s="27">
        <f>INDEX(Coefficients!$X$11:$X$12,MATCH(P400,Coefficients!$W$11:$W$12))</f>
        <v>1</v>
      </c>
      <c r="AV400" s="27">
        <f>INDEX(Coefficients!$X$15:$X$17,MATCH(Q400,Coefficients!$W$15:$W$17))</f>
        <v>1</v>
      </c>
      <c r="AW400" s="27">
        <f t="shared" si="376"/>
        <v>1</v>
      </c>
      <c r="AX400" s="27">
        <f t="shared" si="377"/>
        <v>1</v>
      </c>
      <c r="AY400" s="27">
        <f t="shared" si="378"/>
        <v>1.3</v>
      </c>
      <c r="AZ400" s="35">
        <f t="shared" si="379"/>
        <v>45.983872255592658</v>
      </c>
      <c r="BA400" s="35">
        <f t="shared" si="380"/>
        <v>0</v>
      </c>
      <c r="BB400" s="35">
        <f t="shared" si="381"/>
        <v>2.3911613572908186</v>
      </c>
      <c r="BC400" s="35">
        <f t="shared" si="382"/>
        <v>1.7608838642709181</v>
      </c>
      <c r="BD400" s="35">
        <f t="shared" si="365"/>
        <v>0.43493509830650584</v>
      </c>
      <c r="BE400" s="16">
        <f t="shared" si="366"/>
        <v>74.528476481348918</v>
      </c>
      <c r="BF400" s="16">
        <f t="shared" si="367"/>
        <v>250.94304703730216</v>
      </c>
      <c r="BG400" s="25">
        <f t="shared" si="368"/>
        <v>0.74528476481348915</v>
      </c>
      <c r="BH400" s="35">
        <f t="shared" si="369"/>
        <v>163.96264825896762</v>
      </c>
      <c r="BI400" s="35">
        <f t="shared" si="370"/>
        <v>72.074703482064763</v>
      </c>
      <c r="BJ400" s="35">
        <f t="shared" si="371"/>
        <v>35.652364986154787</v>
      </c>
    </row>
    <row r="401" spans="2:62">
      <c r="B401" s="35" t="s">
        <v>133</v>
      </c>
      <c r="C401" s="85" t="str">
        <f>'Hotter&amp;Drier'!$B$1</f>
        <v>CSIRO Mk3.5</v>
      </c>
      <c r="D401" s="89">
        <v>2031</v>
      </c>
      <c r="E401" s="57">
        <f>'Cooler&amp;Wetter'!AA59</f>
        <v>35.552500000000002</v>
      </c>
      <c r="F401" s="90">
        <f>'Hotter&amp;Drier'!AD59</f>
        <v>22.4315</v>
      </c>
      <c r="G401" s="35">
        <f t="shared" si="372"/>
        <v>2005</v>
      </c>
      <c r="H401" s="91" t="str">
        <f t="shared" si="352"/>
        <v>Pile 32 @ Berth 201</v>
      </c>
      <c r="I401" s="35" t="str">
        <f t="shared" si="353"/>
        <v>Turpentine Gum</v>
      </c>
      <c r="J401" s="35" t="str">
        <f t="shared" si="354"/>
        <v>HW1</v>
      </c>
      <c r="K401" s="35" t="str">
        <f t="shared" si="373"/>
        <v>SPHU</v>
      </c>
      <c r="L401" s="35">
        <f t="shared" si="355"/>
        <v>400</v>
      </c>
      <c r="M401" s="35">
        <f t="shared" si="356"/>
        <v>20</v>
      </c>
      <c r="N401" s="35">
        <f t="shared" si="357"/>
        <v>200</v>
      </c>
      <c r="O401" s="35" t="str">
        <f t="shared" si="358"/>
        <v>MTN2</v>
      </c>
      <c r="P401" s="35" t="str">
        <f t="shared" si="359"/>
        <v>CNT2</v>
      </c>
      <c r="Q401" s="35" t="str">
        <f t="shared" si="360"/>
        <v>KNT3</v>
      </c>
      <c r="R401" s="35" t="str">
        <f t="shared" si="361"/>
        <v>E</v>
      </c>
      <c r="S401" s="35" t="str">
        <f t="shared" si="362"/>
        <v>EXP1</v>
      </c>
      <c r="T401" s="58"/>
      <c r="U401" s="58"/>
      <c r="V401" s="58"/>
      <c r="W401" s="58"/>
      <c r="X401" s="58"/>
      <c r="Y401" s="58"/>
      <c r="Z401" s="58"/>
      <c r="AA401" s="95">
        <f t="shared" si="383"/>
        <v>0.7715982498949725</v>
      </c>
      <c r="AB401" s="96">
        <f t="shared" si="374"/>
        <v>77.159824989497253</v>
      </c>
      <c r="AC401" s="58"/>
      <c r="AD401" s="58"/>
      <c r="AE401" s="58"/>
      <c r="AF401" s="58"/>
      <c r="AG401" s="58"/>
      <c r="AH401" s="58"/>
      <c r="AI401" s="58"/>
      <c r="AJ401" s="58"/>
      <c r="AK401" s="58"/>
      <c r="AL401" s="58"/>
      <c r="AM401" s="89">
        <f t="shared" si="375"/>
        <v>26</v>
      </c>
      <c r="AN401" s="36">
        <f t="shared" si="363"/>
        <v>35.552500000000002</v>
      </c>
      <c r="AO401" s="35">
        <f t="shared" si="364"/>
        <v>1.8469024916659689</v>
      </c>
      <c r="AP401" s="35">
        <f>IF((OR(R401="A",R401="B",R401="C")),INDEX(Coefficients!$S$4:$S$22,MATCH(J401,Coefficients!$R$4:$R$22)),INDEX(Coefficients!$T$4:$T$22,MATCH(J401,Coefficients!$R$4:$R$22)))</f>
        <v>1.3</v>
      </c>
      <c r="AQ401" s="27">
        <f>IF((OR(R401="A",R401="B",R401="C")),INDEX(Coefficients!$S$4:$S$22,MATCH(K401,Coefficients!$R$4:$R$22)),INDEX(Coefficients!$T$4:$T$22,MATCH(K401,Coefficients!$R$4:$R$22)))</f>
        <v>25</v>
      </c>
      <c r="AR401" s="27">
        <f>IF(OR(R401="A",R401="B",R401="C",R401="D"),IF(AN401&gt;=11,IF(AN401&gt;=26,Coefficients!$M$6,Coefficients!$M$5),Coefficients!$M$4),IF(AN401&gt;=11,IF(AN401&gt;=26,Coefficients!$N$6,Coefficients!$N$5),Coefficients!$N$4))</f>
        <v>1</v>
      </c>
      <c r="AS401" s="27">
        <f>INDEX(Coefficients!$X$3:$X$4,MATCH(S401,Coefficients!$W$3:$W$4))</f>
        <v>1</v>
      </c>
      <c r="AT401" s="27">
        <f>INDEX(Coefficients!$X$7:$X$8,MATCH(O401,Coefficients!$W$7:$W$8))</f>
        <v>1</v>
      </c>
      <c r="AU401" s="27">
        <f>INDEX(Coefficients!$X$11:$X$12,MATCH(P401,Coefficients!$W$11:$W$12))</f>
        <v>1</v>
      </c>
      <c r="AV401" s="27">
        <f>INDEX(Coefficients!$X$15:$X$17,MATCH(Q401,Coefficients!$W$15:$W$17))</f>
        <v>1</v>
      </c>
      <c r="AW401" s="27">
        <f t="shared" si="376"/>
        <v>1</v>
      </c>
      <c r="AX401" s="27">
        <f t="shared" si="377"/>
        <v>1</v>
      </c>
      <c r="AY401" s="27">
        <f t="shared" si="378"/>
        <v>1.3</v>
      </c>
      <c r="AZ401" s="35">
        <f t="shared" si="379"/>
        <v>46.172562291649221</v>
      </c>
      <c r="BA401" s="35">
        <f t="shared" si="380"/>
        <v>0</v>
      </c>
      <c r="BB401" s="35">
        <f t="shared" si="381"/>
        <v>2.4009732391657597</v>
      </c>
      <c r="BC401" s="35">
        <f t="shared" si="382"/>
        <v>1.759902676083424</v>
      </c>
      <c r="BD401" s="35">
        <f t="shared" si="365"/>
        <v>0.43315768082502981</v>
      </c>
      <c r="BE401" s="16">
        <f t="shared" si="366"/>
        <v>77.159824989497253</v>
      </c>
      <c r="BF401" s="16">
        <f t="shared" si="367"/>
        <v>245.68035002100549</v>
      </c>
      <c r="BG401" s="25">
        <f t="shared" si="368"/>
        <v>0.7715982498949725</v>
      </c>
      <c r="BH401" s="35">
        <f t="shared" si="369"/>
        <v>169.75161497689396</v>
      </c>
      <c r="BI401" s="35">
        <f t="shared" si="370"/>
        <v>60.496770046212077</v>
      </c>
      <c r="BJ401" s="35">
        <f t="shared" si="371"/>
        <v>35.512881958833823</v>
      </c>
    </row>
    <row r="402" spans="2:62">
      <c r="B402" s="35" t="s">
        <v>133</v>
      </c>
      <c r="C402" s="85" t="str">
        <f>'Hotter&amp;Drier'!$B$1</f>
        <v>CSIRO Mk3.5</v>
      </c>
      <c r="D402" s="89">
        <v>2032</v>
      </c>
      <c r="E402" s="57">
        <f>'Cooler&amp;Wetter'!AA60</f>
        <v>35.555</v>
      </c>
      <c r="F402" s="90">
        <f>'Hotter&amp;Drier'!AD60</f>
        <v>22.463000000000001</v>
      </c>
      <c r="G402" s="35">
        <f t="shared" si="372"/>
        <v>2005</v>
      </c>
      <c r="H402" s="91" t="str">
        <f t="shared" si="352"/>
        <v>Pile 32 @ Berth 201</v>
      </c>
      <c r="I402" s="35" t="str">
        <f t="shared" si="353"/>
        <v>Turpentine Gum</v>
      </c>
      <c r="J402" s="35" t="str">
        <f t="shared" si="354"/>
        <v>HW1</v>
      </c>
      <c r="K402" s="35" t="str">
        <f t="shared" si="373"/>
        <v>SPHU</v>
      </c>
      <c r="L402" s="35">
        <f t="shared" si="355"/>
        <v>400</v>
      </c>
      <c r="M402" s="35">
        <f t="shared" si="356"/>
        <v>20</v>
      </c>
      <c r="N402" s="35">
        <f t="shared" si="357"/>
        <v>200</v>
      </c>
      <c r="O402" s="35" t="str">
        <f t="shared" si="358"/>
        <v>MTN2</v>
      </c>
      <c r="P402" s="35" t="str">
        <f t="shared" si="359"/>
        <v>CNT2</v>
      </c>
      <c r="Q402" s="35" t="str">
        <f t="shared" si="360"/>
        <v>KNT3</v>
      </c>
      <c r="R402" s="35" t="str">
        <f t="shared" si="361"/>
        <v>E</v>
      </c>
      <c r="S402" s="35" t="str">
        <f t="shared" si="362"/>
        <v>EXP1</v>
      </c>
      <c r="T402" s="58"/>
      <c r="U402" s="58"/>
      <c r="V402" s="58"/>
      <c r="W402" s="58"/>
      <c r="X402" s="58"/>
      <c r="Y402" s="58"/>
      <c r="Z402" s="58"/>
      <c r="AA402" s="95">
        <f t="shared" si="383"/>
        <v>0.79811842479699846</v>
      </c>
      <c r="AB402" s="96">
        <f t="shared" si="374"/>
        <v>79.811842479699848</v>
      </c>
      <c r="AC402" s="58"/>
      <c r="AD402" s="58"/>
      <c r="AE402" s="58"/>
      <c r="AF402" s="58"/>
      <c r="AG402" s="58"/>
      <c r="AH402" s="58"/>
      <c r="AI402" s="58"/>
      <c r="AJ402" s="58"/>
      <c r="AK402" s="58"/>
      <c r="AL402" s="58"/>
      <c r="AM402" s="89">
        <f t="shared" si="375"/>
        <v>27</v>
      </c>
      <c r="AN402" s="36">
        <f t="shared" ref="AN402:AN433" si="384">E402</f>
        <v>35.555</v>
      </c>
      <c r="AO402" s="35">
        <f t="shared" ref="AO402:AO433" si="385">0.1*EXP(0.13*F402)</f>
        <v>1.8544810639055662</v>
      </c>
      <c r="AP402" s="35">
        <f>IF((OR(R402="A",R402="B",R402="C")),INDEX(Coefficients!$S$4:$S$22,MATCH(J402,Coefficients!$R$4:$R$22)),INDEX(Coefficients!$T$4:$T$22,MATCH(J402,Coefficients!$R$4:$R$22)))</f>
        <v>1.3</v>
      </c>
      <c r="AQ402" s="27">
        <f>IF((OR(R402="A",R402="B",R402="C")),INDEX(Coefficients!$S$4:$S$22,MATCH(K402,Coefficients!$R$4:$R$22)),INDEX(Coefficients!$T$4:$T$22,MATCH(K402,Coefficients!$R$4:$R$22)))</f>
        <v>25</v>
      </c>
      <c r="AR402" s="27">
        <f>IF(OR(R402="A",R402="B",R402="C",R402="D"),IF(AN402&gt;=11,IF(AN402&gt;=26,Coefficients!$M$6,Coefficients!$M$5),Coefficients!$M$4),IF(AN402&gt;=11,IF(AN402&gt;=26,Coefficients!$N$6,Coefficients!$N$5),Coefficients!$N$4))</f>
        <v>1</v>
      </c>
      <c r="AS402" s="27">
        <f>INDEX(Coefficients!$X$3:$X$4,MATCH(S402,Coefficients!$W$3:$W$4))</f>
        <v>1</v>
      </c>
      <c r="AT402" s="27">
        <f>INDEX(Coefficients!$X$7:$X$8,MATCH(O402,Coefficients!$W$7:$W$8))</f>
        <v>1</v>
      </c>
      <c r="AU402" s="27">
        <f>INDEX(Coefficients!$X$11:$X$12,MATCH(P402,Coefficients!$W$11:$W$12))</f>
        <v>1</v>
      </c>
      <c r="AV402" s="27">
        <f>INDEX(Coefficients!$X$15:$X$17,MATCH(Q402,Coefficients!$W$15:$W$17))</f>
        <v>1</v>
      </c>
      <c r="AW402" s="27">
        <f t="shared" si="376"/>
        <v>1</v>
      </c>
      <c r="AX402" s="27">
        <f t="shared" si="377"/>
        <v>1</v>
      </c>
      <c r="AY402" s="27">
        <f t="shared" si="378"/>
        <v>1.3</v>
      </c>
      <c r="AZ402" s="35">
        <f t="shared" si="379"/>
        <v>46.362026597639158</v>
      </c>
      <c r="BA402" s="35">
        <f t="shared" si="380"/>
        <v>0</v>
      </c>
      <c r="BB402" s="35">
        <f t="shared" si="381"/>
        <v>2.4108253830772362</v>
      </c>
      <c r="BC402" s="35">
        <f t="shared" si="382"/>
        <v>1.7589174616922763</v>
      </c>
      <c r="BD402" s="35">
        <f t="shared" ref="BD402:BD433" si="386">M402/AZ402+BA402</f>
        <v>0.43138752698568267</v>
      </c>
      <c r="BE402" s="16">
        <f t="shared" ref="BE402:BE433" si="387">IF(AM402&lt;=0,0,IF(AM402&gt;(BD402+BC402),M402+(AM402-BD402-BC402)*BB402,M402))</f>
        <v>79.811842479699848</v>
      </c>
      <c r="BF402" s="16">
        <f t="shared" ref="BF402:BF433" si="388">L402-2*BE402</f>
        <v>240.3763150406003</v>
      </c>
      <c r="BG402" s="25">
        <f t="shared" ref="BG402:BG433" si="389">IF(2*BE402&gt;(L402-N402),1,BE402/((L402-N402)/2))</f>
        <v>0.79811842479699846</v>
      </c>
      <c r="BH402" s="35">
        <f t="shared" ref="BH402:BH433" si="390">BE402*(1+$BF$1*$BF$2)</f>
        <v>175.58605345533968</v>
      </c>
      <c r="BI402" s="35">
        <f t="shared" ref="BI402:BI433" si="391">L402-2*BH402</f>
        <v>48.827893089320639</v>
      </c>
      <c r="BJ402" s="35">
        <f t="shared" ref="BJ402:BJ433" si="392">($BF$3/2-M402)/BB402+BD402+BC402</f>
        <v>35.373960910653551</v>
      </c>
    </row>
    <row r="403" spans="2:62">
      <c r="B403" s="35" t="s">
        <v>133</v>
      </c>
      <c r="C403" s="85" t="str">
        <f>'Hotter&amp;Drier'!$B$1</f>
        <v>CSIRO Mk3.5</v>
      </c>
      <c r="D403" s="89">
        <v>2033</v>
      </c>
      <c r="E403" s="57">
        <f>'Cooler&amp;Wetter'!AA61</f>
        <v>35.557499999999997</v>
      </c>
      <c r="F403" s="90">
        <f>'Hotter&amp;Drier'!AD61</f>
        <v>22.494499999999999</v>
      </c>
      <c r="G403" s="35">
        <f t="shared" si="372"/>
        <v>2005</v>
      </c>
      <c r="H403" s="91" t="str">
        <f t="shared" si="352"/>
        <v>Pile 32 @ Berth 201</v>
      </c>
      <c r="I403" s="35" t="str">
        <f t="shared" si="353"/>
        <v>Turpentine Gum</v>
      </c>
      <c r="J403" s="35" t="str">
        <f t="shared" si="354"/>
        <v>HW1</v>
      </c>
      <c r="K403" s="35" t="str">
        <f t="shared" si="373"/>
        <v>SPHU</v>
      </c>
      <c r="L403" s="35">
        <f t="shared" si="355"/>
        <v>400</v>
      </c>
      <c r="M403" s="35">
        <f t="shared" si="356"/>
        <v>20</v>
      </c>
      <c r="N403" s="35">
        <f t="shared" si="357"/>
        <v>200</v>
      </c>
      <c r="O403" s="35" t="str">
        <f t="shared" si="358"/>
        <v>MTN2</v>
      </c>
      <c r="P403" s="35" t="str">
        <f t="shared" si="359"/>
        <v>CNT2</v>
      </c>
      <c r="Q403" s="35" t="str">
        <f t="shared" si="360"/>
        <v>KNT3</v>
      </c>
      <c r="R403" s="35" t="str">
        <f t="shared" si="361"/>
        <v>E</v>
      </c>
      <c r="S403" s="35" t="str">
        <f t="shared" si="362"/>
        <v>EXP1</v>
      </c>
      <c r="T403" s="58"/>
      <c r="U403" s="58"/>
      <c r="V403" s="58"/>
      <c r="W403" s="58"/>
      <c r="X403" s="58"/>
      <c r="Y403" s="58"/>
      <c r="Z403" s="58"/>
      <c r="AA403" s="95">
        <f t="shared" si="383"/>
        <v>0.82484654351540643</v>
      </c>
      <c r="AB403" s="96">
        <f t="shared" si="374"/>
        <v>82.484654351540641</v>
      </c>
      <c r="AC403" s="58"/>
      <c r="AD403" s="58"/>
      <c r="AE403" s="58"/>
      <c r="AF403" s="58"/>
      <c r="AG403" s="58"/>
      <c r="AH403" s="58"/>
      <c r="AI403" s="58"/>
      <c r="AJ403" s="58"/>
      <c r="AK403" s="58"/>
      <c r="AL403" s="58"/>
      <c r="AM403" s="89">
        <f t="shared" si="375"/>
        <v>28</v>
      </c>
      <c r="AN403" s="36">
        <f t="shared" si="384"/>
        <v>35.557499999999997</v>
      </c>
      <c r="AO403" s="35">
        <f t="shared" si="385"/>
        <v>1.8620907340279418</v>
      </c>
      <c r="AP403" s="35">
        <f>IF((OR(R403="A",R403="B",R403="C")),INDEX(Coefficients!$S$4:$S$22,MATCH(J403,Coefficients!$R$4:$R$22)),INDEX(Coefficients!$T$4:$T$22,MATCH(J403,Coefficients!$R$4:$R$22)))</f>
        <v>1.3</v>
      </c>
      <c r="AQ403" s="27">
        <f>IF((OR(R403="A",R403="B",R403="C")),INDEX(Coefficients!$S$4:$S$22,MATCH(K403,Coefficients!$R$4:$R$22)),INDEX(Coefficients!$T$4:$T$22,MATCH(K403,Coefficients!$R$4:$R$22)))</f>
        <v>25</v>
      </c>
      <c r="AR403" s="27">
        <f>IF(OR(R403="A",R403="B",R403="C",R403="D"),IF(AN403&gt;=11,IF(AN403&gt;=26,Coefficients!$M$6,Coefficients!$M$5),Coefficients!$M$4),IF(AN403&gt;=11,IF(AN403&gt;=26,Coefficients!$N$6,Coefficients!$N$5),Coefficients!$N$4))</f>
        <v>1</v>
      </c>
      <c r="AS403" s="27">
        <f>INDEX(Coefficients!$X$3:$X$4,MATCH(S403,Coefficients!$W$3:$W$4))</f>
        <v>1</v>
      </c>
      <c r="AT403" s="27">
        <f>INDEX(Coefficients!$X$7:$X$8,MATCH(O403,Coefficients!$W$7:$W$8))</f>
        <v>1</v>
      </c>
      <c r="AU403" s="27">
        <f>INDEX(Coefficients!$X$11:$X$12,MATCH(P403,Coefficients!$W$11:$W$12))</f>
        <v>1</v>
      </c>
      <c r="AV403" s="27">
        <f>INDEX(Coefficients!$X$15:$X$17,MATCH(Q403,Coefficients!$W$15:$W$17))</f>
        <v>1</v>
      </c>
      <c r="AW403" s="27">
        <f t="shared" si="376"/>
        <v>1</v>
      </c>
      <c r="AX403" s="27">
        <f t="shared" si="377"/>
        <v>1</v>
      </c>
      <c r="AY403" s="27">
        <f t="shared" si="378"/>
        <v>1.3</v>
      </c>
      <c r="AZ403" s="35">
        <f t="shared" si="379"/>
        <v>46.552268350698547</v>
      </c>
      <c r="BA403" s="35">
        <f t="shared" si="380"/>
        <v>0</v>
      </c>
      <c r="BB403" s="35">
        <f t="shared" si="381"/>
        <v>2.4207179542363244</v>
      </c>
      <c r="BC403" s="35">
        <f t="shared" si="382"/>
        <v>1.7579282045763676</v>
      </c>
      <c r="BD403" s="35">
        <f t="shared" si="386"/>
        <v>0.42962460710466943</v>
      </c>
      <c r="BE403" s="16">
        <f t="shared" si="387"/>
        <v>82.484654351540641</v>
      </c>
      <c r="BF403" s="16">
        <f t="shared" si="388"/>
        <v>235.03069129691872</v>
      </c>
      <c r="BG403" s="25">
        <f t="shared" si="389"/>
        <v>0.82484654351540643</v>
      </c>
      <c r="BH403" s="35">
        <f t="shared" si="390"/>
        <v>181.46623957338943</v>
      </c>
      <c r="BI403" s="35">
        <f t="shared" si="391"/>
        <v>37.06752085322114</v>
      </c>
      <c r="BJ403" s="35">
        <f t="shared" si="392"/>
        <v>35.235599512040224</v>
      </c>
    </row>
    <row r="404" spans="2:62">
      <c r="B404" s="35" t="s">
        <v>133</v>
      </c>
      <c r="C404" s="85" t="str">
        <f>'Hotter&amp;Drier'!$B$1</f>
        <v>CSIRO Mk3.5</v>
      </c>
      <c r="D404" s="89">
        <v>2034</v>
      </c>
      <c r="E404" s="57">
        <f>'Cooler&amp;Wetter'!AA62</f>
        <v>35.56</v>
      </c>
      <c r="F404" s="90">
        <f>'Hotter&amp;Drier'!AD62</f>
        <v>22.526</v>
      </c>
      <c r="G404" s="35">
        <f t="shared" si="372"/>
        <v>2005</v>
      </c>
      <c r="H404" s="91" t="str">
        <f t="shared" si="352"/>
        <v>Pile 32 @ Berth 201</v>
      </c>
      <c r="I404" s="35" t="str">
        <f t="shared" si="353"/>
        <v>Turpentine Gum</v>
      </c>
      <c r="J404" s="35" t="str">
        <f t="shared" si="354"/>
        <v>HW1</v>
      </c>
      <c r="K404" s="35" t="str">
        <f t="shared" si="373"/>
        <v>SPHU</v>
      </c>
      <c r="L404" s="35">
        <f t="shared" si="355"/>
        <v>400</v>
      </c>
      <c r="M404" s="35">
        <f t="shared" si="356"/>
        <v>20</v>
      </c>
      <c r="N404" s="35">
        <f t="shared" si="357"/>
        <v>200</v>
      </c>
      <c r="O404" s="35" t="str">
        <f t="shared" si="358"/>
        <v>MTN2</v>
      </c>
      <c r="P404" s="35" t="str">
        <f t="shared" si="359"/>
        <v>CNT2</v>
      </c>
      <c r="Q404" s="35" t="str">
        <f t="shared" si="360"/>
        <v>KNT3</v>
      </c>
      <c r="R404" s="35" t="str">
        <f t="shared" si="361"/>
        <v>E</v>
      </c>
      <c r="S404" s="35" t="str">
        <f t="shared" si="362"/>
        <v>EXP1</v>
      </c>
      <c r="T404" s="58"/>
      <c r="U404" s="58"/>
      <c r="V404" s="58"/>
      <c r="W404" s="58"/>
      <c r="X404" s="58"/>
      <c r="Y404" s="58"/>
      <c r="Z404" s="58"/>
      <c r="AA404" s="95">
        <f t="shared" si="383"/>
        <v>0.85178386686366958</v>
      </c>
      <c r="AB404" s="96">
        <f t="shared" si="374"/>
        <v>85.178386686366963</v>
      </c>
      <c r="AC404" s="58"/>
      <c r="AD404" s="58"/>
      <c r="AE404" s="58"/>
      <c r="AF404" s="58"/>
      <c r="AG404" s="58"/>
      <c r="AH404" s="58"/>
      <c r="AI404" s="58"/>
      <c r="AJ404" s="58"/>
      <c r="AK404" s="58"/>
      <c r="AL404" s="58"/>
      <c r="AM404" s="89">
        <f t="shared" si="375"/>
        <v>29</v>
      </c>
      <c r="AN404" s="36">
        <f t="shared" si="384"/>
        <v>35.56</v>
      </c>
      <c r="AO404" s="35">
        <f t="shared" si="385"/>
        <v>1.8697316296400246</v>
      </c>
      <c r="AP404" s="35">
        <f>IF((OR(R404="A",R404="B",R404="C")),INDEX(Coefficients!$S$4:$S$22,MATCH(J404,Coefficients!$R$4:$R$22)),INDEX(Coefficients!$T$4:$T$22,MATCH(J404,Coefficients!$R$4:$R$22)))</f>
        <v>1.3</v>
      </c>
      <c r="AQ404" s="27">
        <f>IF((OR(R404="A",R404="B",R404="C")),INDEX(Coefficients!$S$4:$S$22,MATCH(K404,Coefficients!$R$4:$R$22)),INDEX(Coefficients!$T$4:$T$22,MATCH(K404,Coefficients!$R$4:$R$22)))</f>
        <v>25</v>
      </c>
      <c r="AR404" s="27">
        <f>IF(OR(R404="A",R404="B",R404="C",R404="D"),IF(AN404&gt;=11,IF(AN404&gt;=26,Coefficients!$M$6,Coefficients!$M$5),Coefficients!$M$4),IF(AN404&gt;=11,IF(AN404&gt;=26,Coefficients!$N$6,Coefficients!$N$5),Coefficients!$N$4))</f>
        <v>1</v>
      </c>
      <c r="AS404" s="27">
        <f>INDEX(Coefficients!$X$3:$X$4,MATCH(S404,Coefficients!$W$3:$W$4))</f>
        <v>1</v>
      </c>
      <c r="AT404" s="27">
        <f>INDEX(Coefficients!$X$7:$X$8,MATCH(O404,Coefficients!$W$7:$W$8))</f>
        <v>1</v>
      </c>
      <c r="AU404" s="27">
        <f>INDEX(Coefficients!$X$11:$X$12,MATCH(P404,Coefficients!$W$11:$W$12))</f>
        <v>1</v>
      </c>
      <c r="AV404" s="27">
        <f>INDEX(Coefficients!$X$15:$X$17,MATCH(Q404,Coefficients!$W$15:$W$17))</f>
        <v>1</v>
      </c>
      <c r="AW404" s="27">
        <f t="shared" si="376"/>
        <v>1</v>
      </c>
      <c r="AX404" s="27">
        <f t="shared" si="377"/>
        <v>1</v>
      </c>
      <c r="AY404" s="27">
        <f t="shared" si="378"/>
        <v>1.3</v>
      </c>
      <c r="AZ404" s="35">
        <f t="shared" si="379"/>
        <v>46.743290741000614</v>
      </c>
      <c r="BA404" s="35">
        <f t="shared" si="380"/>
        <v>0</v>
      </c>
      <c r="BB404" s="35">
        <f t="shared" si="381"/>
        <v>2.4306511185320319</v>
      </c>
      <c r="BC404" s="35">
        <f t="shared" si="382"/>
        <v>1.7569348881467968</v>
      </c>
      <c r="BD404" s="35">
        <f t="shared" si="386"/>
        <v>0.42786889161950065</v>
      </c>
      <c r="BE404" s="16">
        <f t="shared" si="387"/>
        <v>85.178386686366963</v>
      </c>
      <c r="BF404" s="16">
        <f t="shared" si="388"/>
        <v>229.64322662726607</v>
      </c>
      <c r="BG404" s="25">
        <f t="shared" si="389"/>
        <v>0.85178386686366958</v>
      </c>
      <c r="BH404" s="35">
        <f t="shared" si="390"/>
        <v>187.39245071000732</v>
      </c>
      <c r="BI404" s="35">
        <f t="shared" si="391"/>
        <v>25.215098579985352</v>
      </c>
      <c r="BJ404" s="35">
        <f t="shared" si="392"/>
        <v>35.097795442804809</v>
      </c>
    </row>
    <row r="405" spans="2:62">
      <c r="B405" s="35" t="s">
        <v>133</v>
      </c>
      <c r="C405" s="85" t="str">
        <f>'Hotter&amp;Drier'!$B$1</f>
        <v>CSIRO Mk3.5</v>
      </c>
      <c r="D405" s="89">
        <v>2035</v>
      </c>
      <c r="E405" s="57">
        <f>'Cooler&amp;Wetter'!AA63</f>
        <v>35.5625</v>
      </c>
      <c r="F405" s="90">
        <f>'Hotter&amp;Drier'!AD63</f>
        <v>22.557500000000001</v>
      </c>
      <c r="G405" s="35">
        <f t="shared" si="372"/>
        <v>2005</v>
      </c>
      <c r="H405" s="91" t="str">
        <f t="shared" si="352"/>
        <v>Pile 32 @ Berth 201</v>
      </c>
      <c r="I405" s="35" t="str">
        <f t="shared" si="353"/>
        <v>Turpentine Gum</v>
      </c>
      <c r="J405" s="35" t="str">
        <f t="shared" si="354"/>
        <v>HW1</v>
      </c>
      <c r="K405" s="35" t="str">
        <f t="shared" si="373"/>
        <v>SPHU</v>
      </c>
      <c r="L405" s="35">
        <f t="shared" si="355"/>
        <v>400</v>
      </c>
      <c r="M405" s="35">
        <f t="shared" si="356"/>
        <v>20</v>
      </c>
      <c r="N405" s="35">
        <f t="shared" si="357"/>
        <v>200</v>
      </c>
      <c r="O405" s="35" t="str">
        <f t="shared" si="358"/>
        <v>MTN2</v>
      </c>
      <c r="P405" s="35" t="str">
        <f t="shared" si="359"/>
        <v>CNT2</v>
      </c>
      <c r="Q405" s="35" t="str">
        <f t="shared" si="360"/>
        <v>KNT3</v>
      </c>
      <c r="R405" s="35" t="str">
        <f t="shared" si="361"/>
        <v>E</v>
      </c>
      <c r="S405" s="35" t="str">
        <f t="shared" si="362"/>
        <v>EXP1</v>
      </c>
      <c r="T405" s="58"/>
      <c r="U405" s="58"/>
      <c r="V405" s="58"/>
      <c r="W405" s="58"/>
      <c r="X405" s="58"/>
      <c r="Y405" s="58"/>
      <c r="Z405" s="58"/>
      <c r="AA405" s="95">
        <f t="shared" si="383"/>
        <v>0.87893166250778409</v>
      </c>
      <c r="AB405" s="96">
        <f t="shared" si="374"/>
        <v>87.893166250778407</v>
      </c>
      <c r="AC405" s="58"/>
      <c r="AD405" s="58"/>
      <c r="AE405" s="58"/>
      <c r="AF405" s="58"/>
      <c r="AG405" s="58"/>
      <c r="AH405" s="58"/>
      <c r="AI405" s="58"/>
      <c r="AJ405" s="58"/>
      <c r="AK405" s="58"/>
      <c r="AL405" s="58"/>
      <c r="AM405" s="89">
        <f t="shared" si="375"/>
        <v>30</v>
      </c>
      <c r="AN405" s="36">
        <f t="shared" si="384"/>
        <v>35.5625</v>
      </c>
      <c r="AO405" s="35">
        <f t="shared" si="385"/>
        <v>1.8774038788723617</v>
      </c>
      <c r="AP405" s="35">
        <f>IF((OR(R405="A",R405="B",R405="C")),INDEX(Coefficients!$S$4:$S$22,MATCH(J405,Coefficients!$R$4:$R$22)),INDEX(Coefficients!$T$4:$T$22,MATCH(J405,Coefficients!$R$4:$R$22)))</f>
        <v>1.3</v>
      </c>
      <c r="AQ405" s="27">
        <f>IF((OR(R405="A",R405="B",R405="C")),INDEX(Coefficients!$S$4:$S$22,MATCH(K405,Coefficients!$R$4:$R$22)),INDEX(Coefficients!$T$4:$T$22,MATCH(K405,Coefficients!$R$4:$R$22)))</f>
        <v>25</v>
      </c>
      <c r="AR405" s="27">
        <f>IF(OR(R405="A",R405="B",R405="C",R405="D"),IF(AN405&gt;=11,IF(AN405&gt;=26,Coefficients!$M$6,Coefficients!$M$5),Coefficients!$M$4),IF(AN405&gt;=11,IF(AN405&gt;=26,Coefficients!$N$6,Coefficients!$N$5),Coefficients!$N$4))</f>
        <v>1</v>
      </c>
      <c r="AS405" s="27">
        <f>INDEX(Coefficients!$X$3:$X$4,MATCH(S405,Coefficients!$W$3:$W$4))</f>
        <v>1</v>
      </c>
      <c r="AT405" s="27">
        <f>INDEX(Coefficients!$X$7:$X$8,MATCH(O405,Coefficients!$W$7:$W$8))</f>
        <v>1</v>
      </c>
      <c r="AU405" s="27">
        <f>INDEX(Coefficients!$X$11:$X$12,MATCH(P405,Coefficients!$W$11:$W$12))</f>
        <v>1</v>
      </c>
      <c r="AV405" s="27">
        <f>INDEX(Coefficients!$X$15:$X$17,MATCH(Q405,Coefficients!$W$15:$W$17))</f>
        <v>1</v>
      </c>
      <c r="AW405" s="27">
        <f t="shared" si="376"/>
        <v>1</v>
      </c>
      <c r="AX405" s="27">
        <f t="shared" si="377"/>
        <v>1</v>
      </c>
      <c r="AY405" s="27">
        <f t="shared" si="378"/>
        <v>1.3</v>
      </c>
      <c r="AZ405" s="35">
        <f t="shared" si="379"/>
        <v>46.935096971809045</v>
      </c>
      <c r="BA405" s="35">
        <f t="shared" si="380"/>
        <v>0</v>
      </c>
      <c r="BB405" s="35">
        <f t="shared" si="381"/>
        <v>2.4406250425340703</v>
      </c>
      <c r="BC405" s="35">
        <f t="shared" si="382"/>
        <v>1.755937495746593</v>
      </c>
      <c r="BD405" s="35">
        <f t="shared" si="386"/>
        <v>0.42612035108849866</v>
      </c>
      <c r="BE405" s="16">
        <f t="shared" si="387"/>
        <v>87.893166250778407</v>
      </c>
      <c r="BF405" s="16">
        <f t="shared" si="388"/>
        <v>224.21366749844319</v>
      </c>
      <c r="BG405" s="25">
        <f t="shared" si="389"/>
        <v>0.87893166250778409</v>
      </c>
      <c r="BH405" s="35">
        <f t="shared" si="390"/>
        <v>193.3649657517125</v>
      </c>
      <c r="BI405" s="35">
        <f t="shared" si="391"/>
        <v>13.270068496574993</v>
      </c>
      <c r="BJ405" s="35">
        <f t="shared" si="392"/>
        <v>34.96054639210422</v>
      </c>
    </row>
    <row r="406" spans="2:62">
      <c r="B406" s="35" t="s">
        <v>133</v>
      </c>
      <c r="C406" s="85" t="str">
        <f>'Hotter&amp;Drier'!$B$1</f>
        <v>CSIRO Mk3.5</v>
      </c>
      <c r="D406" s="89">
        <v>2036</v>
      </c>
      <c r="E406" s="57">
        <f>'Cooler&amp;Wetter'!AA64</f>
        <v>35.564999999999998</v>
      </c>
      <c r="F406" s="90">
        <f>'Hotter&amp;Drier'!AD64</f>
        <v>22.588999999999999</v>
      </c>
      <c r="G406" s="35">
        <f t="shared" si="372"/>
        <v>2005</v>
      </c>
      <c r="H406" s="91" t="str">
        <f t="shared" si="352"/>
        <v>Pile 32 @ Berth 201</v>
      </c>
      <c r="I406" s="35" t="str">
        <f t="shared" si="353"/>
        <v>Turpentine Gum</v>
      </c>
      <c r="J406" s="35" t="str">
        <f t="shared" si="354"/>
        <v>HW1</v>
      </c>
      <c r="K406" s="35" t="str">
        <f t="shared" si="373"/>
        <v>SPHU</v>
      </c>
      <c r="L406" s="35">
        <f t="shared" si="355"/>
        <v>400</v>
      </c>
      <c r="M406" s="35">
        <f t="shared" si="356"/>
        <v>20</v>
      </c>
      <c r="N406" s="35">
        <f t="shared" si="357"/>
        <v>200</v>
      </c>
      <c r="O406" s="35" t="str">
        <f t="shared" si="358"/>
        <v>MTN2</v>
      </c>
      <c r="P406" s="35" t="str">
        <f t="shared" si="359"/>
        <v>CNT2</v>
      </c>
      <c r="Q406" s="35" t="str">
        <f t="shared" si="360"/>
        <v>KNT3</v>
      </c>
      <c r="R406" s="35" t="str">
        <f t="shared" si="361"/>
        <v>E</v>
      </c>
      <c r="S406" s="35" t="str">
        <f t="shared" si="362"/>
        <v>EXP1</v>
      </c>
      <c r="T406" s="58"/>
      <c r="U406" s="58"/>
      <c r="V406" s="58"/>
      <c r="W406" s="58"/>
      <c r="X406" s="58"/>
      <c r="Y406" s="58"/>
      <c r="Z406" s="58"/>
      <c r="AA406" s="95">
        <f t="shared" si="383"/>
        <v>0.90629120500133209</v>
      </c>
      <c r="AB406" s="96">
        <f t="shared" si="374"/>
        <v>90.629120500133212</v>
      </c>
      <c r="AC406" s="58"/>
      <c r="AD406" s="58"/>
      <c r="AE406" s="58"/>
      <c r="AF406" s="58"/>
      <c r="AG406" s="58"/>
      <c r="AH406" s="58"/>
      <c r="AI406" s="58"/>
      <c r="AJ406" s="58"/>
      <c r="AK406" s="58"/>
      <c r="AL406" s="58"/>
      <c r="AM406" s="89">
        <f t="shared" si="375"/>
        <v>31</v>
      </c>
      <c r="AN406" s="36">
        <f t="shared" si="384"/>
        <v>35.564999999999998</v>
      </c>
      <c r="AO406" s="35">
        <f t="shared" si="385"/>
        <v>1.8851076103812727</v>
      </c>
      <c r="AP406" s="35">
        <f>IF((OR(R406="A",R406="B",R406="C")),INDEX(Coefficients!$S$4:$S$22,MATCH(J406,Coefficients!$R$4:$R$22)),INDEX(Coefficients!$T$4:$T$22,MATCH(J406,Coefficients!$R$4:$R$22)))</f>
        <v>1.3</v>
      </c>
      <c r="AQ406" s="27">
        <f>IF((OR(R406="A",R406="B",R406="C")),INDEX(Coefficients!$S$4:$S$22,MATCH(K406,Coefficients!$R$4:$R$22)),INDEX(Coefficients!$T$4:$T$22,MATCH(K406,Coefficients!$R$4:$R$22)))</f>
        <v>25</v>
      </c>
      <c r="AR406" s="27">
        <f>IF(OR(R406="A",R406="B",R406="C",R406="D"),IF(AN406&gt;=11,IF(AN406&gt;=26,Coefficients!$M$6,Coefficients!$M$5),Coefficients!$M$4),IF(AN406&gt;=11,IF(AN406&gt;=26,Coefficients!$N$6,Coefficients!$N$5),Coefficients!$N$4))</f>
        <v>1</v>
      </c>
      <c r="AS406" s="27">
        <f>INDEX(Coefficients!$X$3:$X$4,MATCH(S406,Coefficients!$W$3:$W$4))</f>
        <v>1</v>
      </c>
      <c r="AT406" s="27">
        <f>INDEX(Coefficients!$X$7:$X$8,MATCH(O406,Coefficients!$W$7:$W$8))</f>
        <v>1</v>
      </c>
      <c r="AU406" s="27">
        <f>INDEX(Coefficients!$X$11:$X$12,MATCH(P406,Coefficients!$W$11:$W$12))</f>
        <v>1</v>
      </c>
      <c r="AV406" s="27">
        <f>INDEX(Coefficients!$X$15:$X$17,MATCH(Q406,Coefficients!$W$15:$W$17))</f>
        <v>1</v>
      </c>
      <c r="AW406" s="27">
        <f t="shared" si="376"/>
        <v>1</v>
      </c>
      <c r="AX406" s="27">
        <f t="shared" si="377"/>
        <v>1</v>
      </c>
      <c r="AY406" s="27">
        <f t="shared" si="378"/>
        <v>1.3</v>
      </c>
      <c r="AZ406" s="35">
        <f t="shared" si="379"/>
        <v>47.127690259531818</v>
      </c>
      <c r="BA406" s="35">
        <f t="shared" si="380"/>
        <v>0</v>
      </c>
      <c r="BB406" s="35">
        <f t="shared" si="381"/>
        <v>2.4506398934956546</v>
      </c>
      <c r="BC406" s="35">
        <f t="shared" si="382"/>
        <v>1.7549360106504346</v>
      </c>
      <c r="BD406" s="35">
        <f t="shared" si="386"/>
        <v>0.42437895619030253</v>
      </c>
      <c r="BE406" s="16">
        <f t="shared" si="387"/>
        <v>90.629120500133212</v>
      </c>
      <c r="BF406" s="16">
        <f t="shared" si="388"/>
        <v>218.74175899973358</v>
      </c>
      <c r="BG406" s="25">
        <f t="shared" si="389"/>
        <v>0.90629120500133209</v>
      </c>
      <c r="BH406" s="35">
        <f t="shared" si="390"/>
        <v>199.38406510029307</v>
      </c>
      <c r="BI406" s="35">
        <f t="shared" si="391"/>
        <v>1.2318697994138574</v>
      </c>
      <c r="BJ406" s="35">
        <f t="shared" si="392"/>
        <v>34.823850058402464</v>
      </c>
    </row>
    <row r="407" spans="2:62">
      <c r="B407" s="35" t="s">
        <v>133</v>
      </c>
      <c r="C407" s="85" t="str">
        <f>'Hotter&amp;Drier'!$B$1</f>
        <v>CSIRO Mk3.5</v>
      </c>
      <c r="D407" s="89">
        <v>2037</v>
      </c>
      <c r="E407" s="57">
        <f>'Cooler&amp;Wetter'!AA65</f>
        <v>35.567500000000003</v>
      </c>
      <c r="F407" s="90">
        <f>'Hotter&amp;Drier'!AD65</f>
        <v>22.6205</v>
      </c>
      <c r="G407" s="35">
        <f t="shared" si="372"/>
        <v>2005</v>
      </c>
      <c r="H407" s="91" t="str">
        <f t="shared" si="352"/>
        <v>Pile 32 @ Berth 201</v>
      </c>
      <c r="I407" s="35" t="str">
        <f t="shared" si="353"/>
        <v>Turpentine Gum</v>
      </c>
      <c r="J407" s="35" t="str">
        <f t="shared" si="354"/>
        <v>HW1</v>
      </c>
      <c r="K407" s="35" t="str">
        <f t="shared" si="373"/>
        <v>SPHU</v>
      </c>
      <c r="L407" s="35">
        <f t="shared" si="355"/>
        <v>400</v>
      </c>
      <c r="M407" s="35">
        <f t="shared" si="356"/>
        <v>20</v>
      </c>
      <c r="N407" s="35">
        <f t="shared" si="357"/>
        <v>200</v>
      </c>
      <c r="O407" s="35" t="str">
        <f t="shared" si="358"/>
        <v>MTN2</v>
      </c>
      <c r="P407" s="35" t="str">
        <f t="shared" si="359"/>
        <v>CNT2</v>
      </c>
      <c r="Q407" s="35" t="str">
        <f t="shared" si="360"/>
        <v>KNT3</v>
      </c>
      <c r="R407" s="35" t="str">
        <f t="shared" si="361"/>
        <v>E</v>
      </c>
      <c r="S407" s="35" t="str">
        <f t="shared" si="362"/>
        <v>EXP1</v>
      </c>
      <c r="T407" s="58"/>
      <c r="U407" s="58"/>
      <c r="V407" s="58"/>
      <c r="W407" s="58"/>
      <c r="X407" s="58"/>
      <c r="Y407" s="58"/>
      <c r="Z407" s="58"/>
      <c r="AA407" s="95">
        <f t="shared" si="383"/>
        <v>0.93386377582071711</v>
      </c>
      <c r="AB407" s="96">
        <f t="shared" si="374"/>
        <v>93.386377582071717</v>
      </c>
      <c r="AC407" s="58"/>
      <c r="AD407" s="58"/>
      <c r="AE407" s="58"/>
      <c r="AF407" s="58"/>
      <c r="AG407" s="58"/>
      <c r="AH407" s="58"/>
      <c r="AI407" s="58"/>
      <c r="AJ407" s="58"/>
      <c r="AK407" s="58"/>
      <c r="AL407" s="58"/>
      <c r="AM407" s="89">
        <f t="shared" si="375"/>
        <v>32</v>
      </c>
      <c r="AN407" s="36">
        <f t="shared" si="384"/>
        <v>35.567500000000003</v>
      </c>
      <c r="AO407" s="35">
        <f t="shared" si="385"/>
        <v>1.8928429533510043</v>
      </c>
      <c r="AP407" s="35">
        <f>IF((OR(R407="A",R407="B",R407="C")),INDEX(Coefficients!$S$4:$S$22,MATCH(J407,Coefficients!$R$4:$R$22)),INDEX(Coefficients!$T$4:$T$22,MATCH(J407,Coefficients!$R$4:$R$22)))</f>
        <v>1.3</v>
      </c>
      <c r="AQ407" s="27">
        <f>IF((OR(R407="A",R407="B",R407="C")),INDEX(Coefficients!$S$4:$S$22,MATCH(K407,Coefficients!$R$4:$R$22)),INDEX(Coefficients!$T$4:$T$22,MATCH(K407,Coefficients!$R$4:$R$22)))</f>
        <v>25</v>
      </c>
      <c r="AR407" s="27">
        <f>IF(OR(R407="A",R407="B",R407="C",R407="D"),IF(AN407&gt;=11,IF(AN407&gt;=26,Coefficients!$M$6,Coefficients!$M$5),Coefficients!$M$4),IF(AN407&gt;=11,IF(AN407&gt;=26,Coefficients!$N$6,Coefficients!$N$5),Coefficients!$N$4))</f>
        <v>1</v>
      </c>
      <c r="AS407" s="27">
        <f>INDEX(Coefficients!$X$3:$X$4,MATCH(S407,Coefficients!$W$3:$W$4))</f>
        <v>1</v>
      </c>
      <c r="AT407" s="27">
        <f>INDEX(Coefficients!$X$7:$X$8,MATCH(O407,Coefficients!$W$7:$W$8))</f>
        <v>1</v>
      </c>
      <c r="AU407" s="27">
        <f>INDEX(Coefficients!$X$11:$X$12,MATCH(P407,Coefficients!$W$11:$W$12))</f>
        <v>1</v>
      </c>
      <c r="AV407" s="27">
        <f>INDEX(Coefficients!$X$15:$X$17,MATCH(Q407,Coefficients!$W$15:$W$17))</f>
        <v>1</v>
      </c>
      <c r="AW407" s="27">
        <f t="shared" si="376"/>
        <v>1</v>
      </c>
      <c r="AX407" s="27">
        <f t="shared" si="377"/>
        <v>1</v>
      </c>
      <c r="AY407" s="27">
        <f t="shared" si="378"/>
        <v>1.3</v>
      </c>
      <c r="AZ407" s="35">
        <f t="shared" si="379"/>
        <v>47.32107383377511</v>
      </c>
      <c r="BA407" s="35">
        <f t="shared" si="380"/>
        <v>0</v>
      </c>
      <c r="BB407" s="35">
        <f t="shared" si="381"/>
        <v>2.4606958393563056</v>
      </c>
      <c r="BC407" s="35">
        <f t="shared" si="382"/>
        <v>1.7539304160643694</v>
      </c>
      <c r="BD407" s="35">
        <f t="shared" si="386"/>
        <v>0.42264467772337683</v>
      </c>
      <c r="BE407" s="16">
        <f t="shared" si="387"/>
        <v>93.386377582071717</v>
      </c>
      <c r="BF407" s="16">
        <f t="shared" si="388"/>
        <v>213.22724483585657</v>
      </c>
      <c r="BG407" s="25">
        <f t="shared" si="389"/>
        <v>0.93386377582071711</v>
      </c>
      <c r="BH407" s="35">
        <f t="shared" si="390"/>
        <v>205.4500306805578</v>
      </c>
      <c r="BI407" s="35">
        <f t="shared" si="391"/>
        <v>-10.900061361115604</v>
      </c>
      <c r="BJ407" s="35">
        <f t="shared" si="392"/>
        <v>34.687704149432115</v>
      </c>
    </row>
    <row r="408" spans="2:62">
      <c r="B408" s="35" t="s">
        <v>133</v>
      </c>
      <c r="C408" s="85" t="str">
        <f>'Hotter&amp;Drier'!$B$1</f>
        <v>CSIRO Mk3.5</v>
      </c>
      <c r="D408" s="89">
        <v>2038</v>
      </c>
      <c r="E408" s="57">
        <f>'Cooler&amp;Wetter'!AA66</f>
        <v>35.57</v>
      </c>
      <c r="F408" s="90">
        <f>'Hotter&amp;Drier'!AD66</f>
        <v>22.652000000000001</v>
      </c>
      <c r="G408" s="35">
        <f t="shared" si="372"/>
        <v>2005</v>
      </c>
      <c r="H408" s="91" t="str">
        <f t="shared" si="352"/>
        <v>Pile 32 @ Berth 201</v>
      </c>
      <c r="I408" s="35" t="str">
        <f t="shared" si="353"/>
        <v>Turpentine Gum</v>
      </c>
      <c r="J408" s="35" t="str">
        <f t="shared" si="354"/>
        <v>HW1</v>
      </c>
      <c r="K408" s="35" t="str">
        <f t="shared" si="373"/>
        <v>SPHU</v>
      </c>
      <c r="L408" s="35">
        <f t="shared" si="355"/>
        <v>400</v>
      </c>
      <c r="M408" s="35">
        <f t="shared" si="356"/>
        <v>20</v>
      </c>
      <c r="N408" s="35">
        <f t="shared" si="357"/>
        <v>200</v>
      </c>
      <c r="O408" s="35" t="str">
        <f t="shared" si="358"/>
        <v>MTN2</v>
      </c>
      <c r="P408" s="35" t="str">
        <f t="shared" si="359"/>
        <v>CNT2</v>
      </c>
      <c r="Q408" s="35" t="str">
        <f t="shared" si="360"/>
        <v>KNT3</v>
      </c>
      <c r="R408" s="35" t="str">
        <f t="shared" si="361"/>
        <v>E</v>
      </c>
      <c r="S408" s="35" t="str">
        <f t="shared" si="362"/>
        <v>EXP1</v>
      </c>
      <c r="T408" s="58"/>
      <c r="U408" s="58"/>
      <c r="V408" s="58"/>
      <c r="W408" s="58"/>
      <c r="X408" s="58"/>
      <c r="Y408" s="58"/>
      <c r="Z408" s="58"/>
      <c r="AA408" s="95">
        <f t="shared" si="383"/>
        <v>0.96165066340057137</v>
      </c>
      <c r="AB408" s="96">
        <f t="shared" si="374"/>
        <v>96.165066340057137</v>
      </c>
      <c r="AC408" s="58"/>
      <c r="AD408" s="58"/>
      <c r="AE408" s="58"/>
      <c r="AF408" s="58"/>
      <c r="AG408" s="58"/>
      <c r="AH408" s="58"/>
      <c r="AI408" s="58"/>
      <c r="AJ408" s="58"/>
      <c r="AK408" s="58"/>
      <c r="AL408" s="58"/>
      <c r="AM408" s="89">
        <f t="shared" si="375"/>
        <v>33</v>
      </c>
      <c r="AN408" s="36">
        <f t="shared" si="384"/>
        <v>35.57</v>
      </c>
      <c r="AO408" s="35">
        <f t="shared" si="385"/>
        <v>1.900610037495897</v>
      </c>
      <c r="AP408" s="35">
        <f>IF((OR(R408="A",R408="B",R408="C")),INDEX(Coefficients!$S$4:$S$22,MATCH(J408,Coefficients!$R$4:$R$22)),INDEX(Coefficients!$T$4:$T$22,MATCH(J408,Coefficients!$R$4:$R$22)))</f>
        <v>1.3</v>
      </c>
      <c r="AQ408" s="27">
        <f>IF((OR(R408="A",R408="B",R408="C")),INDEX(Coefficients!$S$4:$S$22,MATCH(K408,Coefficients!$R$4:$R$22)),INDEX(Coefficients!$T$4:$T$22,MATCH(K408,Coefficients!$R$4:$R$22)))</f>
        <v>25</v>
      </c>
      <c r="AR408" s="27">
        <f>IF(OR(R408="A",R408="B",R408="C",R408="D"),IF(AN408&gt;=11,IF(AN408&gt;=26,Coefficients!$M$6,Coefficients!$M$5),Coefficients!$M$4),IF(AN408&gt;=11,IF(AN408&gt;=26,Coefficients!$N$6,Coefficients!$N$5),Coefficients!$N$4))</f>
        <v>1</v>
      </c>
      <c r="AS408" s="27">
        <f>INDEX(Coefficients!$X$3:$X$4,MATCH(S408,Coefficients!$W$3:$W$4))</f>
        <v>1</v>
      </c>
      <c r="AT408" s="27">
        <f>INDEX(Coefficients!$X$7:$X$8,MATCH(O408,Coefficients!$W$7:$W$8))</f>
        <v>1</v>
      </c>
      <c r="AU408" s="27">
        <f>INDEX(Coefficients!$X$11:$X$12,MATCH(P408,Coefficients!$W$11:$W$12))</f>
        <v>1</v>
      </c>
      <c r="AV408" s="27">
        <f>INDEX(Coefficients!$X$15:$X$17,MATCH(Q408,Coefficients!$W$15:$W$17))</f>
        <v>1</v>
      </c>
      <c r="AW408" s="27">
        <f t="shared" si="376"/>
        <v>1</v>
      </c>
      <c r="AX408" s="27">
        <f t="shared" si="377"/>
        <v>1</v>
      </c>
      <c r="AY408" s="27">
        <f t="shared" si="378"/>
        <v>1.3</v>
      </c>
      <c r="AZ408" s="35">
        <f t="shared" si="379"/>
        <v>47.515250937397425</v>
      </c>
      <c r="BA408" s="35">
        <f t="shared" si="380"/>
        <v>0</v>
      </c>
      <c r="BB408" s="35">
        <f t="shared" si="381"/>
        <v>2.4707930487446661</v>
      </c>
      <c r="BC408" s="35">
        <f t="shared" si="382"/>
        <v>1.7529206951255334</v>
      </c>
      <c r="BD408" s="35">
        <f t="shared" si="386"/>
        <v>0.42091748660552203</v>
      </c>
      <c r="BE408" s="16">
        <f t="shared" si="387"/>
        <v>96.165066340057137</v>
      </c>
      <c r="BF408" s="16">
        <f t="shared" si="388"/>
        <v>207.66986731988573</v>
      </c>
      <c r="BG408" s="25">
        <f t="shared" si="389"/>
        <v>0.96165066340057137</v>
      </c>
      <c r="BH408" s="35">
        <f t="shared" si="390"/>
        <v>211.56314594812571</v>
      </c>
      <c r="BI408" s="35">
        <f t="shared" si="391"/>
        <v>-23.126291896251416</v>
      </c>
      <c r="BJ408" s="35">
        <f t="shared" si="392"/>
        <v>34.552106382155827</v>
      </c>
    </row>
    <row r="409" spans="2:62">
      <c r="B409" s="35" t="s">
        <v>133</v>
      </c>
      <c r="C409" s="85" t="str">
        <f>'Hotter&amp;Drier'!$B$1</f>
        <v>CSIRO Mk3.5</v>
      </c>
      <c r="D409" s="89">
        <v>2039</v>
      </c>
      <c r="E409" s="57">
        <f>'Cooler&amp;Wetter'!AA67</f>
        <v>35.572499999999998</v>
      </c>
      <c r="F409" s="90">
        <f>'Hotter&amp;Drier'!AD67</f>
        <v>22.683500000000002</v>
      </c>
      <c r="G409" s="35">
        <f t="shared" si="372"/>
        <v>2005</v>
      </c>
      <c r="H409" s="91" t="str">
        <f t="shared" si="352"/>
        <v>Pile 32 @ Berth 201</v>
      </c>
      <c r="I409" s="35" t="str">
        <f t="shared" si="353"/>
        <v>Turpentine Gum</v>
      </c>
      <c r="J409" s="35" t="str">
        <f t="shared" si="354"/>
        <v>HW1</v>
      </c>
      <c r="K409" s="35" t="str">
        <f t="shared" si="373"/>
        <v>SPHU</v>
      </c>
      <c r="L409" s="35">
        <f t="shared" si="355"/>
        <v>400</v>
      </c>
      <c r="M409" s="35">
        <f t="shared" si="356"/>
        <v>20</v>
      </c>
      <c r="N409" s="35">
        <f t="shared" si="357"/>
        <v>200</v>
      </c>
      <c r="O409" s="35" t="str">
        <f t="shared" si="358"/>
        <v>MTN2</v>
      </c>
      <c r="P409" s="35" t="str">
        <f t="shared" si="359"/>
        <v>CNT2</v>
      </c>
      <c r="Q409" s="35" t="str">
        <f t="shared" si="360"/>
        <v>KNT3</v>
      </c>
      <c r="R409" s="35" t="str">
        <f t="shared" si="361"/>
        <v>E</v>
      </c>
      <c r="S409" s="35" t="str">
        <f t="shared" si="362"/>
        <v>EXP1</v>
      </c>
      <c r="T409" s="58"/>
      <c r="U409" s="58"/>
      <c r="V409" s="58"/>
      <c r="W409" s="58"/>
      <c r="X409" s="58"/>
      <c r="Y409" s="58"/>
      <c r="Z409" s="58"/>
      <c r="AA409" s="95">
        <f t="shared" si="383"/>
        <v>0.9896531631693416</v>
      </c>
      <c r="AB409" s="96">
        <f t="shared" si="374"/>
        <v>98.965316316934164</v>
      </c>
      <c r="AC409" s="58"/>
      <c r="AD409" s="58"/>
      <c r="AE409" s="58"/>
      <c r="AF409" s="58"/>
      <c r="AG409" s="58"/>
      <c r="AH409" s="58"/>
      <c r="AI409" s="58"/>
      <c r="AJ409" s="58"/>
      <c r="AK409" s="58"/>
      <c r="AL409" s="58"/>
      <c r="AM409" s="89">
        <f t="shared" si="375"/>
        <v>34</v>
      </c>
      <c r="AN409" s="36">
        <f t="shared" si="384"/>
        <v>35.572499999999998</v>
      </c>
      <c r="AO409" s="35">
        <f t="shared" si="385"/>
        <v>1.9084089930625627</v>
      </c>
      <c r="AP409" s="35">
        <f>IF((OR(R409="A",R409="B",R409="C")),INDEX(Coefficients!$S$4:$S$22,MATCH(J409,Coefficients!$R$4:$R$22)),INDEX(Coefficients!$T$4:$T$22,MATCH(J409,Coefficients!$R$4:$R$22)))</f>
        <v>1.3</v>
      </c>
      <c r="AQ409" s="27">
        <f>IF((OR(R409="A",R409="B",R409="C")),INDEX(Coefficients!$S$4:$S$22,MATCH(K409,Coefficients!$R$4:$R$22)),INDEX(Coefficients!$T$4:$T$22,MATCH(K409,Coefficients!$R$4:$R$22)))</f>
        <v>25</v>
      </c>
      <c r="AR409" s="27">
        <f>IF(OR(R409="A",R409="B",R409="C",R409="D"),IF(AN409&gt;=11,IF(AN409&gt;=26,Coefficients!$M$6,Coefficients!$M$5),Coefficients!$M$4),IF(AN409&gt;=11,IF(AN409&gt;=26,Coefficients!$N$6,Coefficients!$N$5),Coefficients!$N$4))</f>
        <v>1</v>
      </c>
      <c r="AS409" s="27">
        <f>INDEX(Coefficients!$X$3:$X$4,MATCH(S409,Coefficients!$W$3:$W$4))</f>
        <v>1</v>
      </c>
      <c r="AT409" s="27">
        <f>INDEX(Coefficients!$X$7:$X$8,MATCH(O409,Coefficients!$W$7:$W$8))</f>
        <v>1</v>
      </c>
      <c r="AU409" s="27">
        <f>INDEX(Coefficients!$X$11:$X$12,MATCH(P409,Coefficients!$W$11:$W$12))</f>
        <v>1</v>
      </c>
      <c r="AV409" s="27">
        <f>INDEX(Coefficients!$X$15:$X$17,MATCH(Q409,Coefficients!$W$15:$W$17))</f>
        <v>1</v>
      </c>
      <c r="AW409" s="27">
        <f t="shared" si="376"/>
        <v>1</v>
      </c>
      <c r="AX409" s="27">
        <f t="shared" si="377"/>
        <v>1</v>
      </c>
      <c r="AY409" s="27">
        <f t="shared" si="378"/>
        <v>1.3</v>
      </c>
      <c r="AZ409" s="35">
        <f t="shared" si="379"/>
        <v>47.710224826564065</v>
      </c>
      <c r="BA409" s="35">
        <f t="shared" si="380"/>
        <v>0</v>
      </c>
      <c r="BB409" s="35">
        <f t="shared" si="381"/>
        <v>2.4809316909813317</v>
      </c>
      <c r="BC409" s="35">
        <f t="shared" si="382"/>
        <v>1.7519068309018668</v>
      </c>
      <c r="BD409" s="35">
        <f t="shared" si="386"/>
        <v>0.41919735387338636</v>
      </c>
      <c r="BE409" s="16">
        <f t="shared" si="387"/>
        <v>98.965316316934164</v>
      </c>
      <c r="BF409" s="16">
        <f t="shared" si="388"/>
        <v>202.06936736613167</v>
      </c>
      <c r="BG409" s="25">
        <f t="shared" si="389"/>
        <v>0.9896531631693416</v>
      </c>
      <c r="BH409" s="35">
        <f t="shared" si="390"/>
        <v>217.72369589725517</v>
      </c>
      <c r="BI409" s="35">
        <f t="shared" si="391"/>
        <v>-35.447391794510338</v>
      </c>
      <c r="BJ409" s="35">
        <f t="shared" si="392"/>
        <v>34.417054482728048</v>
      </c>
    </row>
    <row r="410" spans="2:62">
      <c r="B410" s="35" t="s">
        <v>133</v>
      </c>
      <c r="C410" s="85" t="str">
        <f>'Hotter&amp;Drier'!$B$1</f>
        <v>CSIRO Mk3.5</v>
      </c>
      <c r="D410" s="89">
        <v>2040</v>
      </c>
      <c r="E410" s="57">
        <f>'Cooler&amp;Wetter'!AA68</f>
        <v>35.575000000000003</v>
      </c>
      <c r="F410" s="90">
        <f>'Hotter&amp;Drier'!AD68</f>
        <v>22.715</v>
      </c>
      <c r="G410" s="35">
        <f t="shared" si="372"/>
        <v>2005</v>
      </c>
      <c r="H410" s="91" t="str">
        <f t="shared" si="352"/>
        <v>Pile 32 @ Berth 201</v>
      </c>
      <c r="I410" s="35" t="str">
        <f t="shared" si="353"/>
        <v>Turpentine Gum</v>
      </c>
      <c r="J410" s="35" t="str">
        <f t="shared" si="354"/>
        <v>HW1</v>
      </c>
      <c r="K410" s="35" t="str">
        <f t="shared" si="373"/>
        <v>SPHU</v>
      </c>
      <c r="L410" s="35">
        <f t="shared" si="355"/>
        <v>400</v>
      </c>
      <c r="M410" s="35">
        <f t="shared" si="356"/>
        <v>20</v>
      </c>
      <c r="N410" s="35">
        <f t="shared" si="357"/>
        <v>200</v>
      </c>
      <c r="O410" s="35" t="str">
        <f t="shared" si="358"/>
        <v>MTN2</v>
      </c>
      <c r="P410" s="35" t="str">
        <f t="shared" si="359"/>
        <v>CNT2</v>
      </c>
      <c r="Q410" s="35" t="str">
        <f t="shared" si="360"/>
        <v>KNT3</v>
      </c>
      <c r="R410" s="35" t="str">
        <f t="shared" si="361"/>
        <v>E</v>
      </c>
      <c r="S410" s="35" t="str">
        <f t="shared" si="362"/>
        <v>EXP1</v>
      </c>
      <c r="T410" s="58"/>
      <c r="U410" s="58"/>
      <c r="V410" s="58"/>
      <c r="W410" s="58"/>
      <c r="X410" s="58"/>
      <c r="Y410" s="58"/>
      <c r="Z410" s="58"/>
      <c r="AA410" s="95">
        <f t="shared" si="383"/>
        <v>1</v>
      </c>
      <c r="AB410" s="96">
        <f t="shared" si="374"/>
        <v>101.78725775850432</v>
      </c>
      <c r="AC410" s="58"/>
      <c r="AD410" s="58"/>
      <c r="AE410" s="58"/>
      <c r="AF410" s="58"/>
      <c r="AG410" s="58"/>
      <c r="AH410" s="58"/>
      <c r="AI410" s="58"/>
      <c r="AJ410" s="58"/>
      <c r="AK410" s="58"/>
      <c r="AL410" s="58"/>
      <c r="AM410" s="89">
        <f t="shared" si="375"/>
        <v>35</v>
      </c>
      <c r="AN410" s="36">
        <f t="shared" si="384"/>
        <v>35.575000000000003</v>
      </c>
      <c r="AO410" s="35">
        <f t="shared" si="385"/>
        <v>1.916239950832062</v>
      </c>
      <c r="AP410" s="35">
        <f>IF((OR(R410="A",R410="B",R410="C")),INDEX(Coefficients!$S$4:$S$22,MATCH(J410,Coefficients!$R$4:$R$22)),INDEX(Coefficients!$T$4:$T$22,MATCH(J410,Coefficients!$R$4:$R$22)))</f>
        <v>1.3</v>
      </c>
      <c r="AQ410" s="27">
        <f>IF((OR(R410="A",R410="B",R410="C")),INDEX(Coefficients!$S$4:$S$22,MATCH(K410,Coefficients!$R$4:$R$22)),INDEX(Coefficients!$T$4:$T$22,MATCH(K410,Coefficients!$R$4:$R$22)))</f>
        <v>25</v>
      </c>
      <c r="AR410" s="27">
        <f>IF(OR(R410="A",R410="B",R410="C",R410="D"),IF(AN410&gt;=11,IF(AN410&gt;=26,Coefficients!$M$6,Coefficients!$M$5),Coefficients!$M$4),IF(AN410&gt;=11,IF(AN410&gt;=26,Coefficients!$N$6,Coefficients!$N$5),Coefficients!$N$4))</f>
        <v>1</v>
      </c>
      <c r="AS410" s="27">
        <f>INDEX(Coefficients!$X$3:$X$4,MATCH(S410,Coefficients!$W$3:$W$4))</f>
        <v>1</v>
      </c>
      <c r="AT410" s="27">
        <f>INDEX(Coefficients!$X$7:$X$8,MATCH(O410,Coefficients!$W$7:$W$8))</f>
        <v>1</v>
      </c>
      <c r="AU410" s="27">
        <f>INDEX(Coefficients!$X$11:$X$12,MATCH(P410,Coefficients!$W$11:$W$12))</f>
        <v>1</v>
      </c>
      <c r="AV410" s="27">
        <f>INDEX(Coefficients!$X$15:$X$17,MATCH(Q410,Coefficients!$W$15:$W$17))</f>
        <v>1</v>
      </c>
      <c r="AW410" s="27">
        <f t="shared" si="376"/>
        <v>1</v>
      </c>
      <c r="AX410" s="27">
        <f t="shared" si="377"/>
        <v>1</v>
      </c>
      <c r="AY410" s="27">
        <f t="shared" si="378"/>
        <v>1.3</v>
      </c>
      <c r="AZ410" s="35">
        <f t="shared" si="379"/>
        <v>47.905998770801553</v>
      </c>
      <c r="BA410" s="35">
        <f t="shared" si="380"/>
        <v>0</v>
      </c>
      <c r="BB410" s="35">
        <f t="shared" si="381"/>
        <v>2.4911119360816807</v>
      </c>
      <c r="BC410" s="35">
        <f t="shared" si="382"/>
        <v>1.750888806391832</v>
      </c>
      <c r="BD410" s="35">
        <f t="shared" si="386"/>
        <v>0.41748425068198125</v>
      </c>
      <c r="BE410" s="16">
        <f t="shared" si="387"/>
        <v>101.78725775850432</v>
      </c>
      <c r="BF410" s="16">
        <f t="shared" si="388"/>
        <v>196.42548448299135</v>
      </c>
      <c r="BG410" s="25">
        <f t="shared" si="389"/>
        <v>1</v>
      </c>
      <c r="BH410" s="35">
        <f t="shared" si="390"/>
        <v>223.93196706870953</v>
      </c>
      <c r="BI410" s="35">
        <f t="shared" si="391"/>
        <v>-47.863934137419051</v>
      </c>
      <c r="BJ410" s="35">
        <f t="shared" si="392"/>
        <v>34.28254618645699</v>
      </c>
    </row>
    <row r="411" spans="2:62">
      <c r="B411" s="35" t="s">
        <v>133</v>
      </c>
      <c r="C411" s="85" t="str">
        <f>'Hotter&amp;Drier'!$B$1</f>
        <v>CSIRO Mk3.5</v>
      </c>
      <c r="D411" s="89">
        <v>2041</v>
      </c>
      <c r="E411" s="57">
        <f>'Cooler&amp;Wetter'!AA69</f>
        <v>35.577500000000001</v>
      </c>
      <c r="F411" s="90">
        <f>'Hotter&amp;Drier'!AD69</f>
        <v>22.746500000000001</v>
      </c>
      <c r="G411" s="35">
        <f t="shared" si="372"/>
        <v>2005</v>
      </c>
      <c r="H411" s="91" t="str">
        <f t="shared" si="352"/>
        <v>Pile 32 @ Berth 201</v>
      </c>
      <c r="I411" s="35" t="str">
        <f t="shared" si="353"/>
        <v>Turpentine Gum</v>
      </c>
      <c r="J411" s="35" t="str">
        <f t="shared" si="354"/>
        <v>HW1</v>
      </c>
      <c r="K411" s="35" t="str">
        <f t="shared" si="373"/>
        <v>SPHU</v>
      </c>
      <c r="L411" s="35">
        <f t="shared" si="355"/>
        <v>400</v>
      </c>
      <c r="M411" s="35">
        <f t="shared" si="356"/>
        <v>20</v>
      </c>
      <c r="N411" s="35">
        <f t="shared" si="357"/>
        <v>200</v>
      </c>
      <c r="O411" s="35" t="str">
        <f t="shared" si="358"/>
        <v>MTN2</v>
      </c>
      <c r="P411" s="35" t="str">
        <f t="shared" si="359"/>
        <v>CNT2</v>
      </c>
      <c r="Q411" s="35" t="str">
        <f t="shared" si="360"/>
        <v>KNT3</v>
      </c>
      <c r="R411" s="35" t="str">
        <f t="shared" si="361"/>
        <v>E</v>
      </c>
      <c r="S411" s="35" t="str">
        <f t="shared" si="362"/>
        <v>EXP1</v>
      </c>
      <c r="T411" s="58"/>
      <c r="U411" s="58"/>
      <c r="V411" s="58"/>
      <c r="W411" s="58"/>
      <c r="X411" s="58"/>
      <c r="Y411" s="58"/>
      <c r="Z411" s="58"/>
      <c r="AA411" s="95">
        <f t="shared" si="383"/>
        <v>1</v>
      </c>
      <c r="AB411" s="96">
        <f t="shared" si="374"/>
        <v>104.63102161712007</v>
      </c>
      <c r="AC411" s="58"/>
      <c r="AD411" s="58"/>
      <c r="AE411" s="58"/>
      <c r="AF411" s="58"/>
      <c r="AG411" s="58"/>
      <c r="AH411" s="58"/>
      <c r="AI411" s="58"/>
      <c r="AJ411" s="58"/>
      <c r="AK411" s="58"/>
      <c r="AL411" s="58"/>
      <c r="AM411" s="89">
        <f t="shared" si="375"/>
        <v>36</v>
      </c>
      <c r="AN411" s="36">
        <f t="shared" si="384"/>
        <v>35.577500000000001</v>
      </c>
      <c r="AO411" s="35">
        <f t="shared" si="385"/>
        <v>1.9241030421221081</v>
      </c>
      <c r="AP411" s="35">
        <f>IF((OR(R411="A",R411="B",R411="C")),INDEX(Coefficients!$S$4:$S$22,MATCH(J411,Coefficients!$R$4:$R$22)),INDEX(Coefficients!$T$4:$T$22,MATCH(J411,Coefficients!$R$4:$R$22)))</f>
        <v>1.3</v>
      </c>
      <c r="AQ411" s="27">
        <f>IF((OR(R411="A",R411="B",R411="C")),INDEX(Coefficients!$S$4:$S$22,MATCH(K411,Coefficients!$R$4:$R$22)),INDEX(Coefficients!$T$4:$T$22,MATCH(K411,Coefficients!$R$4:$R$22)))</f>
        <v>25</v>
      </c>
      <c r="AR411" s="27">
        <f>IF(OR(R411="A",R411="B",R411="C",R411="D"),IF(AN411&gt;=11,IF(AN411&gt;=26,Coefficients!$M$6,Coefficients!$M$5),Coefficients!$M$4),IF(AN411&gt;=11,IF(AN411&gt;=26,Coefficients!$N$6,Coefficients!$N$5),Coefficients!$N$4))</f>
        <v>1</v>
      </c>
      <c r="AS411" s="27">
        <f>INDEX(Coefficients!$X$3:$X$4,MATCH(S411,Coefficients!$W$3:$W$4))</f>
        <v>1</v>
      </c>
      <c r="AT411" s="27">
        <f>INDEX(Coefficients!$X$7:$X$8,MATCH(O411,Coefficients!$W$7:$W$8))</f>
        <v>1</v>
      </c>
      <c r="AU411" s="27">
        <f>INDEX(Coefficients!$X$11:$X$12,MATCH(P411,Coefficients!$W$11:$W$12))</f>
        <v>1</v>
      </c>
      <c r="AV411" s="27">
        <f>INDEX(Coefficients!$X$15:$X$17,MATCH(Q411,Coefficients!$W$15:$W$17))</f>
        <v>1</v>
      </c>
      <c r="AW411" s="27">
        <f t="shared" si="376"/>
        <v>1</v>
      </c>
      <c r="AX411" s="27">
        <f t="shared" si="377"/>
        <v>1</v>
      </c>
      <c r="AY411" s="27">
        <f t="shared" si="378"/>
        <v>1.3</v>
      </c>
      <c r="AZ411" s="35">
        <f t="shared" si="379"/>
        <v>48.102576053052701</v>
      </c>
      <c r="BA411" s="35">
        <f t="shared" si="380"/>
        <v>0</v>
      </c>
      <c r="BB411" s="35">
        <f t="shared" si="381"/>
        <v>2.5013339547587408</v>
      </c>
      <c r="BC411" s="35">
        <f t="shared" si="382"/>
        <v>1.7498666045241258</v>
      </c>
      <c r="BD411" s="35">
        <f t="shared" si="386"/>
        <v>0.41577814830419574</v>
      </c>
      <c r="BE411" s="16">
        <f t="shared" si="387"/>
        <v>104.63102161712007</v>
      </c>
      <c r="BF411" s="16">
        <f t="shared" si="388"/>
        <v>190.73795676575986</v>
      </c>
      <c r="BG411" s="25">
        <f t="shared" si="389"/>
        <v>1</v>
      </c>
      <c r="BH411" s="35">
        <f t="shared" si="390"/>
        <v>230.18824755766417</v>
      </c>
      <c r="BI411" s="35">
        <f t="shared" si="391"/>
        <v>-60.376495115328339</v>
      </c>
      <c r="BJ411" s="35">
        <f t="shared" si="392"/>
        <v>34.148579237766455</v>
      </c>
    </row>
    <row r="412" spans="2:62">
      <c r="B412" s="35" t="s">
        <v>133</v>
      </c>
      <c r="C412" s="85" t="str">
        <f>'Hotter&amp;Drier'!$B$1</f>
        <v>CSIRO Mk3.5</v>
      </c>
      <c r="D412" s="89">
        <v>2042</v>
      </c>
      <c r="E412" s="57">
        <f>'Cooler&amp;Wetter'!AA70</f>
        <v>35.58</v>
      </c>
      <c r="F412" s="90">
        <f>'Hotter&amp;Drier'!AD70</f>
        <v>22.778000000000002</v>
      </c>
      <c r="G412" s="35">
        <f t="shared" si="372"/>
        <v>2005</v>
      </c>
      <c r="H412" s="91" t="str">
        <f t="shared" si="352"/>
        <v>Pile 32 @ Berth 201</v>
      </c>
      <c r="I412" s="35" t="str">
        <f t="shared" si="353"/>
        <v>Turpentine Gum</v>
      </c>
      <c r="J412" s="35" t="str">
        <f t="shared" si="354"/>
        <v>HW1</v>
      </c>
      <c r="K412" s="35" t="str">
        <f t="shared" si="373"/>
        <v>SPHU</v>
      </c>
      <c r="L412" s="35">
        <f t="shared" si="355"/>
        <v>400</v>
      </c>
      <c r="M412" s="35">
        <f t="shared" si="356"/>
        <v>20</v>
      </c>
      <c r="N412" s="35">
        <f t="shared" si="357"/>
        <v>200</v>
      </c>
      <c r="O412" s="35" t="str">
        <f t="shared" si="358"/>
        <v>MTN2</v>
      </c>
      <c r="P412" s="35" t="str">
        <f t="shared" si="359"/>
        <v>CNT2</v>
      </c>
      <c r="Q412" s="35" t="str">
        <f t="shared" si="360"/>
        <v>KNT3</v>
      </c>
      <c r="R412" s="35" t="str">
        <f t="shared" si="361"/>
        <v>E</v>
      </c>
      <c r="S412" s="35" t="str">
        <f t="shared" si="362"/>
        <v>EXP1</v>
      </c>
      <c r="T412" s="58"/>
      <c r="U412" s="58"/>
      <c r="V412" s="58"/>
      <c r="W412" s="58"/>
      <c r="X412" s="58"/>
      <c r="Y412" s="58"/>
      <c r="Z412" s="58"/>
      <c r="AA412" s="95">
        <f t="shared" si="383"/>
        <v>1</v>
      </c>
      <c r="AB412" s="96">
        <f t="shared" si="374"/>
        <v>107.49673955529543</v>
      </c>
      <c r="AC412" s="58"/>
      <c r="AD412" s="58"/>
      <c r="AE412" s="58"/>
      <c r="AF412" s="58"/>
      <c r="AG412" s="58"/>
      <c r="AH412" s="58"/>
      <c r="AI412" s="58"/>
      <c r="AJ412" s="58"/>
      <c r="AK412" s="58"/>
      <c r="AL412" s="58"/>
      <c r="AM412" s="89">
        <f t="shared" si="375"/>
        <v>37</v>
      </c>
      <c r="AN412" s="36">
        <f t="shared" si="384"/>
        <v>35.58</v>
      </c>
      <c r="AO412" s="35">
        <f t="shared" si="385"/>
        <v>1.9319983987892577</v>
      </c>
      <c r="AP412" s="35">
        <f>IF((OR(R412="A",R412="B",R412="C")),INDEX(Coefficients!$S$4:$S$22,MATCH(J412,Coefficients!$R$4:$R$22)),INDEX(Coefficients!$T$4:$T$22,MATCH(J412,Coefficients!$R$4:$R$22)))</f>
        <v>1.3</v>
      </c>
      <c r="AQ412" s="27">
        <f>IF((OR(R412="A",R412="B",R412="C")),INDEX(Coefficients!$S$4:$S$22,MATCH(K412,Coefficients!$R$4:$R$22)),INDEX(Coefficients!$T$4:$T$22,MATCH(K412,Coefficients!$R$4:$R$22)))</f>
        <v>25</v>
      </c>
      <c r="AR412" s="27">
        <f>IF(OR(R412="A",R412="B",R412="C",R412="D"),IF(AN412&gt;=11,IF(AN412&gt;=26,Coefficients!$M$6,Coefficients!$M$5),Coefficients!$M$4),IF(AN412&gt;=11,IF(AN412&gt;=26,Coefficients!$N$6,Coefficients!$N$5),Coefficients!$N$4))</f>
        <v>1</v>
      </c>
      <c r="AS412" s="27">
        <f>INDEX(Coefficients!$X$3:$X$4,MATCH(S412,Coefficients!$W$3:$W$4))</f>
        <v>1</v>
      </c>
      <c r="AT412" s="27">
        <f>INDEX(Coefficients!$X$7:$X$8,MATCH(O412,Coefficients!$W$7:$W$8))</f>
        <v>1</v>
      </c>
      <c r="AU412" s="27">
        <f>INDEX(Coefficients!$X$11:$X$12,MATCH(P412,Coefficients!$W$11:$W$12))</f>
        <v>1</v>
      </c>
      <c r="AV412" s="27">
        <f>INDEX(Coefficients!$X$15:$X$17,MATCH(Q412,Coefficients!$W$15:$W$17))</f>
        <v>1</v>
      </c>
      <c r="AW412" s="27">
        <f t="shared" si="376"/>
        <v>1</v>
      </c>
      <c r="AX412" s="27">
        <f t="shared" si="377"/>
        <v>1</v>
      </c>
      <c r="AY412" s="27">
        <f t="shared" si="378"/>
        <v>1.3</v>
      </c>
      <c r="AZ412" s="35">
        <f t="shared" si="379"/>
        <v>48.299959969731447</v>
      </c>
      <c r="BA412" s="35">
        <f t="shared" si="380"/>
        <v>0</v>
      </c>
      <c r="BB412" s="35">
        <f t="shared" si="381"/>
        <v>2.5115979184260353</v>
      </c>
      <c r="BC412" s="35">
        <f t="shared" si="382"/>
        <v>1.7488402081573964</v>
      </c>
      <c r="BD412" s="35">
        <f t="shared" si="386"/>
        <v>0.41407901813031672</v>
      </c>
      <c r="BE412" s="16">
        <f t="shared" si="387"/>
        <v>107.49673955529543</v>
      </c>
      <c r="BF412" s="16">
        <f t="shared" si="388"/>
        <v>185.00652088940913</v>
      </c>
      <c r="BG412" s="25">
        <f t="shared" si="389"/>
        <v>1</v>
      </c>
      <c r="BH412" s="35">
        <f t="shared" si="390"/>
        <v>236.49282702164999</v>
      </c>
      <c r="BI412" s="35">
        <f t="shared" si="391"/>
        <v>-72.985654043299974</v>
      </c>
      <c r="BJ412" s="35">
        <f t="shared" si="392"/>
        <v>34.015151390158231</v>
      </c>
    </row>
    <row r="413" spans="2:62">
      <c r="B413" s="35" t="s">
        <v>133</v>
      </c>
      <c r="C413" s="85" t="str">
        <f>'Hotter&amp;Drier'!$B$1</f>
        <v>CSIRO Mk3.5</v>
      </c>
      <c r="D413" s="89">
        <v>2043</v>
      </c>
      <c r="E413" s="57">
        <f>'Cooler&amp;Wetter'!AA71</f>
        <v>35.582500000000003</v>
      </c>
      <c r="F413" s="90">
        <f>'Hotter&amp;Drier'!AD71</f>
        <v>22.8095</v>
      </c>
      <c r="G413" s="35">
        <f t="shared" si="372"/>
        <v>2005</v>
      </c>
      <c r="H413" s="91" t="str">
        <f t="shared" si="352"/>
        <v>Pile 32 @ Berth 201</v>
      </c>
      <c r="I413" s="35" t="str">
        <f t="shared" si="353"/>
        <v>Turpentine Gum</v>
      </c>
      <c r="J413" s="35" t="str">
        <f t="shared" si="354"/>
        <v>HW1</v>
      </c>
      <c r="K413" s="35" t="str">
        <f t="shared" si="373"/>
        <v>SPHU</v>
      </c>
      <c r="L413" s="35">
        <f t="shared" si="355"/>
        <v>400</v>
      </c>
      <c r="M413" s="35">
        <f t="shared" si="356"/>
        <v>20</v>
      </c>
      <c r="N413" s="35">
        <f t="shared" si="357"/>
        <v>200</v>
      </c>
      <c r="O413" s="35" t="str">
        <f t="shared" si="358"/>
        <v>MTN2</v>
      </c>
      <c r="P413" s="35" t="str">
        <f t="shared" si="359"/>
        <v>CNT2</v>
      </c>
      <c r="Q413" s="35" t="str">
        <f t="shared" si="360"/>
        <v>KNT3</v>
      </c>
      <c r="R413" s="35" t="str">
        <f t="shared" si="361"/>
        <v>E</v>
      </c>
      <c r="S413" s="35" t="str">
        <f t="shared" si="362"/>
        <v>EXP1</v>
      </c>
      <c r="T413" s="58"/>
      <c r="U413" s="58"/>
      <c r="V413" s="58"/>
      <c r="W413" s="58"/>
      <c r="X413" s="58"/>
      <c r="Y413" s="58"/>
      <c r="Z413" s="58"/>
      <c r="AA413" s="95">
        <f t="shared" si="383"/>
        <v>1</v>
      </c>
      <c r="AB413" s="96">
        <f t="shared" si="374"/>
        <v>110.38454394933522</v>
      </c>
      <c r="AC413" s="58"/>
      <c r="AD413" s="58"/>
      <c r="AE413" s="58"/>
      <c r="AF413" s="58"/>
      <c r="AG413" s="58"/>
      <c r="AH413" s="58"/>
      <c r="AI413" s="58"/>
      <c r="AJ413" s="58"/>
      <c r="AK413" s="58"/>
      <c r="AL413" s="58"/>
      <c r="AM413" s="89">
        <f t="shared" si="375"/>
        <v>38</v>
      </c>
      <c r="AN413" s="36">
        <f t="shared" si="384"/>
        <v>35.582500000000003</v>
      </c>
      <c r="AO413" s="35">
        <f t="shared" si="385"/>
        <v>1.9399261532311298</v>
      </c>
      <c r="AP413" s="35">
        <f>IF((OR(R413="A",R413="B",R413="C")),INDEX(Coefficients!$S$4:$S$22,MATCH(J413,Coefficients!$R$4:$R$22)),INDEX(Coefficients!$T$4:$T$22,MATCH(J413,Coefficients!$R$4:$R$22)))</f>
        <v>1.3</v>
      </c>
      <c r="AQ413" s="27">
        <f>IF((OR(R413="A",R413="B",R413="C")),INDEX(Coefficients!$S$4:$S$22,MATCH(K413,Coefficients!$R$4:$R$22)),INDEX(Coefficients!$T$4:$T$22,MATCH(K413,Coefficients!$R$4:$R$22)))</f>
        <v>25</v>
      </c>
      <c r="AR413" s="27">
        <f>IF(OR(R413="A",R413="B",R413="C",R413="D"),IF(AN413&gt;=11,IF(AN413&gt;=26,Coefficients!$M$6,Coefficients!$M$5),Coefficients!$M$4),IF(AN413&gt;=11,IF(AN413&gt;=26,Coefficients!$N$6,Coefficients!$N$5),Coefficients!$N$4))</f>
        <v>1</v>
      </c>
      <c r="AS413" s="27">
        <f>INDEX(Coefficients!$X$3:$X$4,MATCH(S413,Coefficients!$W$3:$W$4))</f>
        <v>1</v>
      </c>
      <c r="AT413" s="27">
        <f>INDEX(Coefficients!$X$7:$X$8,MATCH(O413,Coefficients!$W$7:$W$8))</f>
        <v>1</v>
      </c>
      <c r="AU413" s="27">
        <f>INDEX(Coefficients!$X$11:$X$12,MATCH(P413,Coefficients!$W$11:$W$12))</f>
        <v>1</v>
      </c>
      <c r="AV413" s="27">
        <f>INDEX(Coefficients!$X$15:$X$17,MATCH(Q413,Coefficients!$W$15:$W$17))</f>
        <v>1</v>
      </c>
      <c r="AW413" s="27">
        <f t="shared" si="376"/>
        <v>1</v>
      </c>
      <c r="AX413" s="27">
        <f t="shared" si="377"/>
        <v>1</v>
      </c>
      <c r="AY413" s="27">
        <f t="shared" si="378"/>
        <v>1.3</v>
      </c>
      <c r="AZ413" s="35">
        <f t="shared" si="379"/>
        <v>48.498153830778243</v>
      </c>
      <c r="BA413" s="35">
        <f t="shared" si="380"/>
        <v>0</v>
      </c>
      <c r="BB413" s="35">
        <f t="shared" si="381"/>
        <v>2.521903999200469</v>
      </c>
      <c r="BC413" s="35">
        <f t="shared" si="382"/>
        <v>1.747809600079953</v>
      </c>
      <c r="BD413" s="35">
        <f t="shared" si="386"/>
        <v>0.41238683166754808</v>
      </c>
      <c r="BE413" s="16">
        <f t="shared" si="387"/>
        <v>110.38454394933522</v>
      </c>
      <c r="BF413" s="16">
        <f t="shared" si="388"/>
        <v>179.23091210132955</v>
      </c>
      <c r="BG413" s="25">
        <f t="shared" si="389"/>
        <v>1</v>
      </c>
      <c r="BH413" s="35">
        <f t="shared" si="390"/>
        <v>242.84599668853753</v>
      </c>
      <c r="BI413" s="35">
        <f t="shared" si="391"/>
        <v>-85.69199337707505</v>
      </c>
      <c r="BJ413" s="35">
        <f t="shared" si="392"/>
        <v>33.882260406174275</v>
      </c>
    </row>
    <row r="414" spans="2:62">
      <c r="B414" s="35" t="s">
        <v>133</v>
      </c>
      <c r="C414" s="85" t="str">
        <f>'Hotter&amp;Drier'!$B$1</f>
        <v>CSIRO Mk3.5</v>
      </c>
      <c r="D414" s="89">
        <v>2044</v>
      </c>
      <c r="E414" s="57">
        <f>'Cooler&amp;Wetter'!AA72</f>
        <v>35.585000000000001</v>
      </c>
      <c r="F414" s="90">
        <f>'Hotter&amp;Drier'!AD72</f>
        <v>22.841000000000001</v>
      </c>
      <c r="G414" s="35">
        <f t="shared" si="372"/>
        <v>2005</v>
      </c>
      <c r="H414" s="91" t="str">
        <f t="shared" si="352"/>
        <v>Pile 32 @ Berth 201</v>
      </c>
      <c r="I414" s="35" t="str">
        <f t="shared" si="353"/>
        <v>Turpentine Gum</v>
      </c>
      <c r="J414" s="35" t="str">
        <f t="shared" si="354"/>
        <v>HW1</v>
      </c>
      <c r="K414" s="35" t="str">
        <f t="shared" si="373"/>
        <v>SPHU</v>
      </c>
      <c r="L414" s="35">
        <f t="shared" si="355"/>
        <v>400</v>
      </c>
      <c r="M414" s="35">
        <f t="shared" si="356"/>
        <v>20</v>
      </c>
      <c r="N414" s="35">
        <f t="shared" si="357"/>
        <v>200</v>
      </c>
      <c r="O414" s="35" t="str">
        <f t="shared" si="358"/>
        <v>MTN2</v>
      </c>
      <c r="P414" s="35" t="str">
        <f t="shared" si="359"/>
        <v>CNT2</v>
      </c>
      <c r="Q414" s="35" t="str">
        <f t="shared" si="360"/>
        <v>KNT3</v>
      </c>
      <c r="R414" s="35" t="str">
        <f t="shared" si="361"/>
        <v>E</v>
      </c>
      <c r="S414" s="35" t="str">
        <f t="shared" si="362"/>
        <v>EXP1</v>
      </c>
      <c r="T414" s="58"/>
      <c r="U414" s="58"/>
      <c r="V414" s="58"/>
      <c r="W414" s="58"/>
      <c r="X414" s="58"/>
      <c r="Y414" s="58"/>
      <c r="Z414" s="58"/>
      <c r="AA414" s="95">
        <f t="shared" si="383"/>
        <v>1</v>
      </c>
      <c r="AB414" s="96">
        <f t="shared" si="374"/>
        <v>113.29456789298177</v>
      </c>
      <c r="AC414" s="58"/>
      <c r="AD414" s="58"/>
      <c r="AE414" s="58"/>
      <c r="AF414" s="58"/>
      <c r="AG414" s="58"/>
      <c r="AH414" s="58"/>
      <c r="AI414" s="58"/>
      <c r="AJ414" s="58"/>
      <c r="AK414" s="58"/>
      <c r="AL414" s="58"/>
      <c r="AM414" s="89">
        <f t="shared" si="375"/>
        <v>39</v>
      </c>
      <c r="AN414" s="36">
        <f t="shared" si="384"/>
        <v>35.585000000000001</v>
      </c>
      <c r="AO414" s="35">
        <f t="shared" si="385"/>
        <v>1.9478864383886223</v>
      </c>
      <c r="AP414" s="35">
        <f>IF((OR(R414="A",R414="B",R414="C")),INDEX(Coefficients!$S$4:$S$22,MATCH(J414,Coefficients!$R$4:$R$22)),INDEX(Coefficients!$T$4:$T$22,MATCH(J414,Coefficients!$R$4:$R$22)))</f>
        <v>1.3</v>
      </c>
      <c r="AQ414" s="27">
        <f>IF((OR(R414="A",R414="B",R414="C")),INDEX(Coefficients!$S$4:$S$22,MATCH(K414,Coefficients!$R$4:$R$22)),INDEX(Coefficients!$T$4:$T$22,MATCH(K414,Coefficients!$R$4:$R$22)))</f>
        <v>25</v>
      </c>
      <c r="AR414" s="27">
        <f>IF(OR(R414="A",R414="B",R414="C",R414="D"),IF(AN414&gt;=11,IF(AN414&gt;=26,Coefficients!$M$6,Coefficients!$M$5),Coefficients!$M$4),IF(AN414&gt;=11,IF(AN414&gt;=26,Coefficients!$N$6,Coefficients!$N$5),Coefficients!$N$4))</f>
        <v>1</v>
      </c>
      <c r="AS414" s="27">
        <f>INDEX(Coefficients!$X$3:$X$4,MATCH(S414,Coefficients!$W$3:$W$4))</f>
        <v>1</v>
      </c>
      <c r="AT414" s="27">
        <f>INDEX(Coefficients!$X$7:$X$8,MATCH(O414,Coefficients!$W$7:$W$8))</f>
        <v>1</v>
      </c>
      <c r="AU414" s="27">
        <f>INDEX(Coefficients!$X$11:$X$12,MATCH(P414,Coefficients!$W$11:$W$12))</f>
        <v>1</v>
      </c>
      <c r="AV414" s="27">
        <f>INDEX(Coefficients!$X$15:$X$17,MATCH(Q414,Coefficients!$W$15:$W$17))</f>
        <v>1</v>
      </c>
      <c r="AW414" s="27">
        <f t="shared" si="376"/>
        <v>1</v>
      </c>
      <c r="AX414" s="27">
        <f t="shared" si="377"/>
        <v>1</v>
      </c>
      <c r="AY414" s="27">
        <f t="shared" si="378"/>
        <v>1.3</v>
      </c>
      <c r="AZ414" s="35">
        <f t="shared" si="379"/>
        <v>48.697160959715561</v>
      </c>
      <c r="BA414" s="35">
        <f t="shared" si="380"/>
        <v>0</v>
      </c>
      <c r="BB414" s="35">
        <f t="shared" si="381"/>
        <v>2.5322523699052089</v>
      </c>
      <c r="BC414" s="35">
        <f t="shared" si="382"/>
        <v>1.746774763009479</v>
      </c>
      <c r="BD414" s="35">
        <f t="shared" si="386"/>
        <v>0.41070156053953294</v>
      </c>
      <c r="BE414" s="16">
        <f t="shared" si="387"/>
        <v>113.29456789298177</v>
      </c>
      <c r="BF414" s="16">
        <f t="shared" si="388"/>
        <v>173.41086421403645</v>
      </c>
      <c r="BG414" s="25">
        <f t="shared" si="389"/>
        <v>1</v>
      </c>
      <c r="BH414" s="35">
        <f t="shared" si="390"/>
        <v>249.24804936455993</v>
      </c>
      <c r="BI414" s="35">
        <f t="shared" si="391"/>
        <v>-98.496098729119865</v>
      </c>
      <c r="BJ414" s="35">
        <f t="shared" si="392"/>
        <v>33.749904057359238</v>
      </c>
    </row>
    <row r="415" spans="2:62">
      <c r="B415" s="35" t="s">
        <v>133</v>
      </c>
      <c r="C415" s="85" t="str">
        <f>'Hotter&amp;Drier'!$B$1</f>
        <v>CSIRO Mk3.5</v>
      </c>
      <c r="D415" s="89">
        <v>2045</v>
      </c>
      <c r="E415" s="57">
        <f>'Cooler&amp;Wetter'!AA73</f>
        <v>35.587499999999999</v>
      </c>
      <c r="F415" s="90">
        <f>'Hotter&amp;Drier'!AD73</f>
        <v>22.872500000000002</v>
      </c>
      <c r="G415" s="35">
        <f t="shared" si="372"/>
        <v>2005</v>
      </c>
      <c r="H415" s="91" t="str">
        <f t="shared" si="352"/>
        <v>Pile 32 @ Berth 201</v>
      </c>
      <c r="I415" s="35" t="str">
        <f t="shared" si="353"/>
        <v>Turpentine Gum</v>
      </c>
      <c r="J415" s="35" t="str">
        <f t="shared" si="354"/>
        <v>HW1</v>
      </c>
      <c r="K415" s="35" t="str">
        <f t="shared" si="373"/>
        <v>SPHU</v>
      </c>
      <c r="L415" s="35">
        <f t="shared" si="355"/>
        <v>400</v>
      </c>
      <c r="M415" s="35">
        <f t="shared" si="356"/>
        <v>20</v>
      </c>
      <c r="N415" s="35">
        <f t="shared" si="357"/>
        <v>200</v>
      </c>
      <c r="O415" s="35" t="str">
        <f t="shared" si="358"/>
        <v>MTN2</v>
      </c>
      <c r="P415" s="35" t="str">
        <f t="shared" si="359"/>
        <v>CNT2</v>
      </c>
      <c r="Q415" s="35" t="str">
        <f t="shared" si="360"/>
        <v>KNT3</v>
      </c>
      <c r="R415" s="35" t="str">
        <f t="shared" si="361"/>
        <v>E</v>
      </c>
      <c r="S415" s="35" t="str">
        <f t="shared" si="362"/>
        <v>EXP1</v>
      </c>
      <c r="T415" s="58"/>
      <c r="U415" s="58"/>
      <c r="V415" s="58"/>
      <c r="W415" s="58"/>
      <c r="X415" s="58"/>
      <c r="Y415" s="58"/>
      <c r="Z415" s="58"/>
      <c r="AA415" s="95">
        <f t="shared" si="383"/>
        <v>1</v>
      </c>
      <c r="AB415" s="96">
        <f t="shared" si="374"/>
        <v>116.22694520107993</v>
      </c>
      <c r="AC415" s="58"/>
      <c r="AD415" s="58"/>
      <c r="AE415" s="58"/>
      <c r="AF415" s="58"/>
      <c r="AG415" s="58"/>
      <c r="AH415" s="58"/>
      <c r="AI415" s="58"/>
      <c r="AJ415" s="58"/>
      <c r="AK415" s="58"/>
      <c r="AL415" s="58"/>
      <c r="AM415" s="89">
        <f t="shared" si="375"/>
        <v>40</v>
      </c>
      <c r="AN415" s="36">
        <f t="shared" si="384"/>
        <v>35.587499999999999</v>
      </c>
      <c r="AO415" s="35">
        <f t="shared" si="385"/>
        <v>1.9558793877481433</v>
      </c>
      <c r="AP415" s="35">
        <f>IF((OR(R415="A",R415="B",R415="C")),INDEX(Coefficients!$S$4:$S$22,MATCH(J415,Coefficients!$R$4:$R$22)),INDEX(Coefficients!$T$4:$T$22,MATCH(J415,Coefficients!$R$4:$R$22)))</f>
        <v>1.3</v>
      </c>
      <c r="AQ415" s="27">
        <f>IF((OR(R415="A",R415="B",R415="C")),INDEX(Coefficients!$S$4:$S$22,MATCH(K415,Coefficients!$R$4:$R$22)),INDEX(Coefficients!$T$4:$T$22,MATCH(K415,Coefficients!$R$4:$R$22)))</f>
        <v>25</v>
      </c>
      <c r="AR415" s="27">
        <f>IF(OR(R415="A",R415="B",R415="C",R415="D"),IF(AN415&gt;=11,IF(AN415&gt;=26,Coefficients!$M$6,Coefficients!$M$5),Coefficients!$M$4),IF(AN415&gt;=11,IF(AN415&gt;=26,Coefficients!$N$6,Coefficients!$N$5),Coefficients!$N$4))</f>
        <v>1</v>
      </c>
      <c r="AS415" s="27">
        <f>INDEX(Coefficients!$X$3:$X$4,MATCH(S415,Coefficients!$W$3:$W$4))</f>
        <v>1</v>
      </c>
      <c r="AT415" s="27">
        <f>INDEX(Coefficients!$X$7:$X$8,MATCH(O415,Coefficients!$W$7:$W$8))</f>
        <v>1</v>
      </c>
      <c r="AU415" s="27">
        <f>INDEX(Coefficients!$X$11:$X$12,MATCH(P415,Coefficients!$W$11:$W$12))</f>
        <v>1</v>
      </c>
      <c r="AV415" s="27">
        <f>INDEX(Coefficients!$X$15:$X$17,MATCH(Q415,Coefficients!$W$15:$W$17))</f>
        <v>1</v>
      </c>
      <c r="AW415" s="27">
        <f t="shared" si="376"/>
        <v>1</v>
      </c>
      <c r="AX415" s="27">
        <f t="shared" si="377"/>
        <v>1</v>
      </c>
      <c r="AY415" s="27">
        <f t="shared" si="378"/>
        <v>1.3</v>
      </c>
      <c r="AZ415" s="35">
        <f t="shared" si="379"/>
        <v>48.89698469370358</v>
      </c>
      <c r="BA415" s="35">
        <f t="shared" si="380"/>
        <v>0</v>
      </c>
      <c r="BB415" s="35">
        <f t="shared" si="381"/>
        <v>2.5426432040725864</v>
      </c>
      <c r="BC415" s="35">
        <f t="shared" si="382"/>
        <v>1.7457356795927415</v>
      </c>
      <c r="BD415" s="35">
        <f t="shared" si="386"/>
        <v>0.4090231764858781</v>
      </c>
      <c r="BE415" s="16">
        <f t="shared" si="387"/>
        <v>116.22694520107993</v>
      </c>
      <c r="BF415" s="16">
        <f t="shared" si="388"/>
        <v>167.54610959784014</v>
      </c>
      <c r="BG415" s="25">
        <f t="shared" si="389"/>
        <v>1</v>
      </c>
      <c r="BH415" s="35">
        <f t="shared" si="390"/>
        <v>255.69927944237585</v>
      </c>
      <c r="BI415" s="35">
        <f t="shared" si="391"/>
        <v>-111.39855888475171</v>
      </c>
      <c r="BJ415" s="35">
        <f t="shared" si="392"/>
        <v>33.618080124223091</v>
      </c>
    </row>
    <row r="416" spans="2:62">
      <c r="B416" s="35" t="s">
        <v>133</v>
      </c>
      <c r="C416" s="85" t="str">
        <f>'Hotter&amp;Drier'!$B$1</f>
        <v>CSIRO Mk3.5</v>
      </c>
      <c r="D416" s="89">
        <v>2046</v>
      </c>
      <c r="E416" s="57">
        <f>'Cooler&amp;Wetter'!AA74</f>
        <v>35.590000000000003</v>
      </c>
      <c r="F416" s="90">
        <f>'Hotter&amp;Drier'!AD74</f>
        <v>22.904</v>
      </c>
      <c r="G416" s="35">
        <f t="shared" si="372"/>
        <v>2005</v>
      </c>
      <c r="H416" s="91" t="str">
        <f t="shared" si="352"/>
        <v>Pile 32 @ Berth 201</v>
      </c>
      <c r="I416" s="35" t="str">
        <f t="shared" si="353"/>
        <v>Turpentine Gum</v>
      </c>
      <c r="J416" s="35" t="str">
        <f t="shared" si="354"/>
        <v>HW1</v>
      </c>
      <c r="K416" s="35" t="str">
        <f t="shared" si="373"/>
        <v>SPHU</v>
      </c>
      <c r="L416" s="35">
        <f t="shared" si="355"/>
        <v>400</v>
      </c>
      <c r="M416" s="35">
        <f t="shared" si="356"/>
        <v>20</v>
      </c>
      <c r="N416" s="35">
        <f t="shared" si="357"/>
        <v>200</v>
      </c>
      <c r="O416" s="35" t="str">
        <f t="shared" si="358"/>
        <v>MTN2</v>
      </c>
      <c r="P416" s="35" t="str">
        <f t="shared" si="359"/>
        <v>CNT2</v>
      </c>
      <c r="Q416" s="35" t="str">
        <f t="shared" si="360"/>
        <v>KNT3</v>
      </c>
      <c r="R416" s="35" t="str">
        <f t="shared" si="361"/>
        <v>E</v>
      </c>
      <c r="S416" s="35" t="str">
        <f t="shared" si="362"/>
        <v>EXP1</v>
      </c>
      <c r="T416" s="58"/>
      <c r="U416" s="58"/>
      <c r="V416" s="58"/>
      <c r="W416" s="58"/>
      <c r="X416" s="58"/>
      <c r="Y416" s="58"/>
      <c r="Z416" s="58"/>
      <c r="AA416" s="95">
        <f t="shared" si="383"/>
        <v>1</v>
      </c>
      <c r="AB416" s="96">
        <f t="shared" si="374"/>
        <v>119.1818104132595</v>
      </c>
      <c r="AC416" s="58"/>
      <c r="AD416" s="58"/>
      <c r="AE416" s="58"/>
      <c r="AF416" s="58"/>
      <c r="AG416" s="58"/>
      <c r="AH416" s="58"/>
      <c r="AI416" s="58"/>
      <c r="AJ416" s="58"/>
      <c r="AK416" s="58"/>
      <c r="AL416" s="58"/>
      <c r="AM416" s="89">
        <f t="shared" si="375"/>
        <v>41</v>
      </c>
      <c r="AN416" s="36">
        <f t="shared" si="384"/>
        <v>35.590000000000003</v>
      </c>
      <c r="AO416" s="35">
        <f t="shared" si="385"/>
        <v>1.9639051353438468</v>
      </c>
      <c r="AP416" s="35">
        <f>IF((OR(R416="A",R416="B",R416="C")),INDEX(Coefficients!$S$4:$S$22,MATCH(J416,Coefficients!$R$4:$R$22)),INDEX(Coefficients!$T$4:$T$22,MATCH(J416,Coefficients!$R$4:$R$22)))</f>
        <v>1.3</v>
      </c>
      <c r="AQ416" s="27">
        <f>IF((OR(R416="A",R416="B",R416="C")),INDEX(Coefficients!$S$4:$S$22,MATCH(K416,Coefficients!$R$4:$R$22)),INDEX(Coefficients!$T$4:$T$22,MATCH(K416,Coefficients!$R$4:$R$22)))</f>
        <v>25</v>
      </c>
      <c r="AR416" s="27">
        <f>IF(OR(R416="A",R416="B",R416="C",R416="D"),IF(AN416&gt;=11,IF(AN416&gt;=26,Coefficients!$M$6,Coefficients!$M$5),Coefficients!$M$4),IF(AN416&gt;=11,IF(AN416&gt;=26,Coefficients!$N$6,Coefficients!$N$5),Coefficients!$N$4))</f>
        <v>1</v>
      </c>
      <c r="AS416" s="27">
        <f>INDEX(Coefficients!$X$3:$X$4,MATCH(S416,Coefficients!$W$3:$W$4))</f>
        <v>1</v>
      </c>
      <c r="AT416" s="27">
        <f>INDEX(Coefficients!$X$7:$X$8,MATCH(O416,Coefficients!$W$7:$W$8))</f>
        <v>1</v>
      </c>
      <c r="AU416" s="27">
        <f>INDEX(Coefficients!$X$11:$X$12,MATCH(P416,Coefficients!$W$11:$W$12))</f>
        <v>1</v>
      </c>
      <c r="AV416" s="27">
        <f>INDEX(Coefficients!$X$15:$X$17,MATCH(Q416,Coefficients!$W$15:$W$17))</f>
        <v>1</v>
      </c>
      <c r="AW416" s="27">
        <f t="shared" si="376"/>
        <v>1</v>
      </c>
      <c r="AX416" s="27">
        <f t="shared" si="377"/>
        <v>1</v>
      </c>
      <c r="AY416" s="27">
        <f t="shared" si="378"/>
        <v>1.3</v>
      </c>
      <c r="AZ416" s="35">
        <f t="shared" si="379"/>
        <v>49.097628383596174</v>
      </c>
      <c r="BA416" s="35">
        <f t="shared" si="380"/>
        <v>0</v>
      </c>
      <c r="BB416" s="35">
        <f t="shared" si="381"/>
        <v>2.5530766759470009</v>
      </c>
      <c r="BC416" s="35">
        <f t="shared" si="382"/>
        <v>1.7446923324052999</v>
      </c>
      <c r="BD416" s="35">
        <f t="shared" si="386"/>
        <v>0.40735165136168017</v>
      </c>
      <c r="BE416" s="16">
        <f t="shared" si="387"/>
        <v>119.1818104132595</v>
      </c>
      <c r="BF416" s="16">
        <f t="shared" si="388"/>
        <v>161.636379173481</v>
      </c>
      <c r="BG416" s="25">
        <f t="shared" si="389"/>
        <v>1</v>
      </c>
      <c r="BH416" s="35">
        <f t="shared" si="390"/>
        <v>262.1999829091709</v>
      </c>
      <c r="BI416" s="35">
        <f t="shared" si="391"/>
        <v>-124.3999658183418</v>
      </c>
      <c r="BJ416" s="35">
        <f t="shared" si="392"/>
        <v>33.486786396203911</v>
      </c>
    </row>
    <row r="417" spans="2:62">
      <c r="B417" s="35" t="s">
        <v>133</v>
      </c>
      <c r="C417" s="85" t="str">
        <f>'Hotter&amp;Drier'!$B$1</f>
        <v>CSIRO Mk3.5</v>
      </c>
      <c r="D417" s="89">
        <v>2047</v>
      </c>
      <c r="E417" s="57">
        <f>'Cooler&amp;Wetter'!AA75</f>
        <v>35.592500000000001</v>
      </c>
      <c r="F417" s="90">
        <f>'Hotter&amp;Drier'!AD75</f>
        <v>22.935500000000001</v>
      </c>
      <c r="G417" s="35">
        <f t="shared" si="372"/>
        <v>2005</v>
      </c>
      <c r="H417" s="91" t="str">
        <f t="shared" si="352"/>
        <v>Pile 32 @ Berth 201</v>
      </c>
      <c r="I417" s="35" t="str">
        <f t="shared" si="353"/>
        <v>Turpentine Gum</v>
      </c>
      <c r="J417" s="35" t="str">
        <f t="shared" si="354"/>
        <v>HW1</v>
      </c>
      <c r="K417" s="35" t="str">
        <f t="shared" si="373"/>
        <v>SPHU</v>
      </c>
      <c r="L417" s="35">
        <f t="shared" si="355"/>
        <v>400</v>
      </c>
      <c r="M417" s="35">
        <f t="shared" si="356"/>
        <v>20</v>
      </c>
      <c r="N417" s="35">
        <f t="shared" si="357"/>
        <v>200</v>
      </c>
      <c r="O417" s="35" t="str">
        <f t="shared" si="358"/>
        <v>MTN2</v>
      </c>
      <c r="P417" s="35" t="str">
        <f t="shared" si="359"/>
        <v>CNT2</v>
      </c>
      <c r="Q417" s="35" t="str">
        <f t="shared" si="360"/>
        <v>KNT3</v>
      </c>
      <c r="R417" s="35" t="str">
        <f t="shared" si="361"/>
        <v>E</v>
      </c>
      <c r="S417" s="35" t="str">
        <f t="shared" si="362"/>
        <v>EXP1</v>
      </c>
      <c r="T417" s="58"/>
      <c r="U417" s="58"/>
      <c r="V417" s="58"/>
      <c r="W417" s="58"/>
      <c r="X417" s="58"/>
      <c r="Y417" s="58"/>
      <c r="Z417" s="58"/>
      <c r="AA417" s="95">
        <f t="shared" si="383"/>
        <v>1</v>
      </c>
      <c r="AB417" s="96">
        <f t="shared" si="374"/>
        <v>122.15929879763658</v>
      </c>
      <c r="AC417" s="58"/>
      <c r="AD417" s="58"/>
      <c r="AE417" s="58"/>
      <c r="AF417" s="58"/>
      <c r="AG417" s="58"/>
      <c r="AH417" s="58"/>
      <c r="AI417" s="58"/>
      <c r="AJ417" s="58"/>
      <c r="AK417" s="58"/>
      <c r="AL417" s="58"/>
      <c r="AM417" s="89">
        <f t="shared" si="375"/>
        <v>42</v>
      </c>
      <c r="AN417" s="36">
        <f t="shared" si="384"/>
        <v>35.592500000000001</v>
      </c>
      <c r="AO417" s="35">
        <f t="shared" si="385"/>
        <v>1.9719638157598838</v>
      </c>
      <c r="AP417" s="35">
        <f>IF((OR(R417="A",R417="B",R417="C")),INDEX(Coefficients!$S$4:$S$22,MATCH(J417,Coefficients!$R$4:$R$22)),INDEX(Coefficients!$T$4:$T$22,MATCH(J417,Coefficients!$R$4:$R$22)))</f>
        <v>1.3</v>
      </c>
      <c r="AQ417" s="27">
        <f>IF((OR(R417="A",R417="B",R417="C")),INDEX(Coefficients!$S$4:$S$22,MATCH(K417,Coefficients!$R$4:$R$22)),INDEX(Coefficients!$T$4:$T$22,MATCH(K417,Coefficients!$R$4:$R$22)))</f>
        <v>25</v>
      </c>
      <c r="AR417" s="27">
        <f>IF(OR(R417="A",R417="B",R417="C",R417="D"),IF(AN417&gt;=11,IF(AN417&gt;=26,Coefficients!$M$6,Coefficients!$M$5),Coefficients!$M$4),IF(AN417&gt;=11,IF(AN417&gt;=26,Coefficients!$N$6,Coefficients!$N$5),Coefficients!$N$4))</f>
        <v>1</v>
      </c>
      <c r="AS417" s="27">
        <f>INDEX(Coefficients!$X$3:$X$4,MATCH(S417,Coefficients!$W$3:$W$4))</f>
        <v>1</v>
      </c>
      <c r="AT417" s="27">
        <f>INDEX(Coefficients!$X$7:$X$8,MATCH(O417,Coefficients!$W$7:$W$8))</f>
        <v>1</v>
      </c>
      <c r="AU417" s="27">
        <f>INDEX(Coefficients!$X$11:$X$12,MATCH(P417,Coefficients!$W$11:$W$12))</f>
        <v>1</v>
      </c>
      <c r="AV417" s="27">
        <f>INDEX(Coefficients!$X$15:$X$17,MATCH(Q417,Coefficients!$W$15:$W$17))</f>
        <v>1</v>
      </c>
      <c r="AW417" s="27">
        <f t="shared" si="376"/>
        <v>1</v>
      </c>
      <c r="AX417" s="27">
        <f t="shared" si="377"/>
        <v>1</v>
      </c>
      <c r="AY417" s="27">
        <f t="shared" si="378"/>
        <v>1.3</v>
      </c>
      <c r="AZ417" s="35">
        <f t="shared" si="379"/>
        <v>49.299095393997092</v>
      </c>
      <c r="BA417" s="35">
        <f t="shared" si="380"/>
        <v>0</v>
      </c>
      <c r="BB417" s="35">
        <f t="shared" si="381"/>
        <v>2.5635529604878489</v>
      </c>
      <c r="BC417" s="35">
        <f t="shared" si="382"/>
        <v>1.7436447039512151</v>
      </c>
      <c r="BD417" s="35">
        <f t="shared" si="386"/>
        <v>0.40568695713705327</v>
      </c>
      <c r="BE417" s="16">
        <f t="shared" si="387"/>
        <v>122.15929879763658</v>
      </c>
      <c r="BF417" s="16">
        <f t="shared" si="388"/>
        <v>155.68140240472684</v>
      </c>
      <c r="BG417" s="25">
        <f t="shared" si="389"/>
        <v>1</v>
      </c>
      <c r="BH417" s="35">
        <f t="shared" si="390"/>
        <v>268.75045735480052</v>
      </c>
      <c r="BI417" s="35">
        <f t="shared" si="391"/>
        <v>-137.50091470960103</v>
      </c>
      <c r="BJ417" s="35">
        <f t="shared" si="392"/>
        <v>33.35602067163083</v>
      </c>
    </row>
    <row r="418" spans="2:62">
      <c r="B418" s="35" t="s">
        <v>133</v>
      </c>
      <c r="C418" s="85" t="str">
        <f>'Hotter&amp;Drier'!$B$1</f>
        <v>CSIRO Mk3.5</v>
      </c>
      <c r="D418" s="89">
        <v>2048</v>
      </c>
      <c r="E418" s="57">
        <f>'Cooler&amp;Wetter'!AA76</f>
        <v>35.594999999999999</v>
      </c>
      <c r="F418" s="90">
        <f>'Hotter&amp;Drier'!AD76</f>
        <v>22.967000000000002</v>
      </c>
      <c r="G418" s="35">
        <f t="shared" si="372"/>
        <v>2005</v>
      </c>
      <c r="H418" s="91" t="str">
        <f t="shared" si="352"/>
        <v>Pile 32 @ Berth 201</v>
      </c>
      <c r="I418" s="35" t="str">
        <f t="shared" si="353"/>
        <v>Turpentine Gum</v>
      </c>
      <c r="J418" s="35" t="str">
        <f t="shared" si="354"/>
        <v>HW1</v>
      </c>
      <c r="K418" s="35" t="str">
        <f t="shared" si="373"/>
        <v>SPHU</v>
      </c>
      <c r="L418" s="35">
        <f t="shared" si="355"/>
        <v>400</v>
      </c>
      <c r="M418" s="35">
        <f t="shared" si="356"/>
        <v>20</v>
      </c>
      <c r="N418" s="35">
        <f t="shared" si="357"/>
        <v>200</v>
      </c>
      <c r="O418" s="35" t="str">
        <f t="shared" si="358"/>
        <v>MTN2</v>
      </c>
      <c r="P418" s="35" t="str">
        <f t="shared" si="359"/>
        <v>CNT2</v>
      </c>
      <c r="Q418" s="35" t="str">
        <f t="shared" si="360"/>
        <v>KNT3</v>
      </c>
      <c r="R418" s="35" t="str">
        <f t="shared" si="361"/>
        <v>E</v>
      </c>
      <c r="S418" s="35" t="str">
        <f t="shared" si="362"/>
        <v>EXP1</v>
      </c>
      <c r="T418" s="58"/>
      <c r="U418" s="58"/>
      <c r="V418" s="58"/>
      <c r="W418" s="58"/>
      <c r="X418" s="58"/>
      <c r="Y418" s="58"/>
      <c r="Z418" s="58"/>
      <c r="AA418" s="95">
        <f t="shared" si="383"/>
        <v>1</v>
      </c>
      <c r="AB418" s="96">
        <f t="shared" si="374"/>
        <v>125.15954635453252</v>
      </c>
      <c r="AC418" s="58"/>
      <c r="AD418" s="58"/>
      <c r="AE418" s="58"/>
      <c r="AF418" s="58"/>
      <c r="AG418" s="58"/>
      <c r="AH418" s="58"/>
      <c r="AI418" s="58"/>
      <c r="AJ418" s="58"/>
      <c r="AK418" s="58"/>
      <c r="AL418" s="58"/>
      <c r="AM418" s="89">
        <f t="shared" si="375"/>
        <v>43</v>
      </c>
      <c r="AN418" s="36">
        <f t="shared" si="384"/>
        <v>35.594999999999999</v>
      </c>
      <c r="AO418" s="35">
        <f t="shared" si="385"/>
        <v>1.9800555641326569</v>
      </c>
      <c r="AP418" s="35">
        <f>IF((OR(R418="A",R418="B",R418="C")),INDEX(Coefficients!$S$4:$S$22,MATCH(J418,Coefficients!$R$4:$R$22)),INDEX(Coefficients!$T$4:$T$22,MATCH(J418,Coefficients!$R$4:$R$22)))</f>
        <v>1.3</v>
      </c>
      <c r="AQ418" s="27">
        <f>IF((OR(R418="A",R418="B",R418="C")),INDEX(Coefficients!$S$4:$S$22,MATCH(K418,Coefficients!$R$4:$R$22)),INDEX(Coefficients!$T$4:$T$22,MATCH(K418,Coefficients!$R$4:$R$22)))</f>
        <v>25</v>
      </c>
      <c r="AR418" s="27">
        <f>IF(OR(R418="A",R418="B",R418="C",R418="D"),IF(AN418&gt;=11,IF(AN418&gt;=26,Coefficients!$M$6,Coefficients!$M$5),Coefficients!$M$4),IF(AN418&gt;=11,IF(AN418&gt;=26,Coefficients!$N$6,Coefficients!$N$5),Coefficients!$N$4))</f>
        <v>1</v>
      </c>
      <c r="AS418" s="27">
        <f>INDEX(Coefficients!$X$3:$X$4,MATCH(S418,Coefficients!$W$3:$W$4))</f>
        <v>1</v>
      </c>
      <c r="AT418" s="27">
        <f>INDEX(Coefficients!$X$7:$X$8,MATCH(O418,Coefficients!$W$7:$W$8))</f>
        <v>1</v>
      </c>
      <c r="AU418" s="27">
        <f>INDEX(Coefficients!$X$11:$X$12,MATCH(P418,Coefficients!$W$11:$W$12))</f>
        <v>1</v>
      </c>
      <c r="AV418" s="27">
        <f>INDEX(Coefficients!$X$15:$X$17,MATCH(Q418,Coefficients!$W$15:$W$17))</f>
        <v>1</v>
      </c>
      <c r="AW418" s="27">
        <f t="shared" si="376"/>
        <v>1</v>
      </c>
      <c r="AX418" s="27">
        <f t="shared" si="377"/>
        <v>1</v>
      </c>
      <c r="AY418" s="27">
        <f t="shared" si="378"/>
        <v>1.3</v>
      </c>
      <c r="AZ418" s="35">
        <f t="shared" si="379"/>
        <v>49.50138910331642</v>
      </c>
      <c r="BA418" s="35">
        <f t="shared" si="380"/>
        <v>0</v>
      </c>
      <c r="BB418" s="35">
        <f t="shared" si="381"/>
        <v>2.5740722333724539</v>
      </c>
      <c r="BC418" s="35">
        <f t="shared" si="382"/>
        <v>1.7425927766627547</v>
      </c>
      <c r="BD418" s="35">
        <f t="shared" si="386"/>
        <v>0.40402906589665927</v>
      </c>
      <c r="BE418" s="16">
        <f t="shared" si="387"/>
        <v>125.15954635453252</v>
      </c>
      <c r="BF418" s="16">
        <f t="shared" si="388"/>
        <v>149.68090729093495</v>
      </c>
      <c r="BG418" s="25">
        <f t="shared" si="389"/>
        <v>1</v>
      </c>
      <c r="BH418" s="35">
        <f t="shared" si="390"/>
        <v>275.35100197997156</v>
      </c>
      <c r="BI418" s="35">
        <f t="shared" si="391"/>
        <v>-150.70200395994311</v>
      </c>
      <c r="BJ418" s="35">
        <f t="shared" si="392"/>
        <v>33.225780757687048</v>
      </c>
    </row>
    <row r="419" spans="2:62">
      <c r="B419" s="35" t="s">
        <v>133</v>
      </c>
      <c r="C419" s="85" t="str">
        <f>'Hotter&amp;Drier'!$B$1</f>
        <v>CSIRO Mk3.5</v>
      </c>
      <c r="D419" s="89">
        <v>2049</v>
      </c>
      <c r="E419" s="57">
        <f>'Cooler&amp;Wetter'!AA77</f>
        <v>35.597499999999997</v>
      </c>
      <c r="F419" s="90">
        <f>'Hotter&amp;Drier'!AD77</f>
        <v>22.9985</v>
      </c>
      <c r="G419" s="35">
        <f t="shared" si="372"/>
        <v>2005</v>
      </c>
      <c r="H419" s="91" t="str">
        <f t="shared" si="352"/>
        <v>Pile 32 @ Berth 201</v>
      </c>
      <c r="I419" s="35" t="str">
        <f t="shared" si="353"/>
        <v>Turpentine Gum</v>
      </c>
      <c r="J419" s="35" t="str">
        <f t="shared" si="354"/>
        <v>HW1</v>
      </c>
      <c r="K419" s="35" t="str">
        <f t="shared" si="373"/>
        <v>SPHU</v>
      </c>
      <c r="L419" s="35">
        <f t="shared" si="355"/>
        <v>400</v>
      </c>
      <c r="M419" s="35">
        <f t="shared" si="356"/>
        <v>20</v>
      </c>
      <c r="N419" s="35">
        <f t="shared" si="357"/>
        <v>200</v>
      </c>
      <c r="O419" s="35" t="str">
        <f t="shared" si="358"/>
        <v>MTN2</v>
      </c>
      <c r="P419" s="35" t="str">
        <f t="shared" si="359"/>
        <v>CNT2</v>
      </c>
      <c r="Q419" s="35" t="str">
        <f t="shared" si="360"/>
        <v>KNT3</v>
      </c>
      <c r="R419" s="35" t="str">
        <f t="shared" si="361"/>
        <v>E</v>
      </c>
      <c r="S419" s="35" t="str">
        <f t="shared" si="362"/>
        <v>EXP1</v>
      </c>
      <c r="T419" s="58"/>
      <c r="U419" s="58"/>
      <c r="V419" s="58"/>
      <c r="W419" s="58"/>
      <c r="X419" s="58"/>
      <c r="Y419" s="58"/>
      <c r="Z419" s="58"/>
      <c r="AA419" s="95">
        <f t="shared" si="383"/>
        <v>1</v>
      </c>
      <c r="AB419" s="96">
        <f t="shared" si="374"/>
        <v>128.18268982021141</v>
      </c>
      <c r="AC419" s="58"/>
      <c r="AD419" s="58"/>
      <c r="AE419" s="58"/>
      <c r="AF419" s="58"/>
      <c r="AG419" s="58"/>
      <c r="AH419" s="58"/>
      <c r="AI419" s="58"/>
      <c r="AJ419" s="58"/>
      <c r="AK419" s="58"/>
      <c r="AL419" s="58"/>
      <c r="AM419" s="89">
        <f t="shared" si="375"/>
        <v>44</v>
      </c>
      <c r="AN419" s="36">
        <f t="shared" si="384"/>
        <v>35.597499999999997</v>
      </c>
      <c r="AO419" s="35">
        <f t="shared" si="385"/>
        <v>1.9881805161530839</v>
      </c>
      <c r="AP419" s="35">
        <f>IF((OR(R419="A",R419="B",R419="C")),INDEX(Coefficients!$S$4:$S$22,MATCH(J419,Coefficients!$R$4:$R$22)),INDEX(Coefficients!$T$4:$T$22,MATCH(J419,Coefficients!$R$4:$R$22)))</f>
        <v>1.3</v>
      </c>
      <c r="AQ419" s="27">
        <f>IF((OR(R419="A",R419="B",R419="C")),INDEX(Coefficients!$S$4:$S$22,MATCH(K419,Coefficients!$R$4:$R$22)),INDEX(Coefficients!$T$4:$T$22,MATCH(K419,Coefficients!$R$4:$R$22)))</f>
        <v>25</v>
      </c>
      <c r="AR419" s="27">
        <f>IF(OR(R419="A",R419="B",R419="C",R419="D"),IF(AN419&gt;=11,IF(AN419&gt;=26,Coefficients!$M$6,Coefficients!$M$5),Coefficients!$M$4),IF(AN419&gt;=11,IF(AN419&gt;=26,Coefficients!$N$6,Coefficients!$N$5),Coefficients!$N$4))</f>
        <v>1</v>
      </c>
      <c r="AS419" s="27">
        <f>INDEX(Coefficients!$X$3:$X$4,MATCH(S419,Coefficients!$W$3:$W$4))</f>
        <v>1</v>
      </c>
      <c r="AT419" s="27">
        <f>INDEX(Coefficients!$X$7:$X$8,MATCH(O419,Coefficients!$W$7:$W$8))</f>
        <v>1</v>
      </c>
      <c r="AU419" s="27">
        <f>INDEX(Coefficients!$X$11:$X$12,MATCH(P419,Coefficients!$W$11:$W$12))</f>
        <v>1</v>
      </c>
      <c r="AV419" s="27">
        <f>INDEX(Coefficients!$X$15:$X$17,MATCH(Q419,Coefficients!$W$15:$W$17))</f>
        <v>1</v>
      </c>
      <c r="AW419" s="27">
        <f t="shared" si="376"/>
        <v>1</v>
      </c>
      <c r="AX419" s="27">
        <f t="shared" si="377"/>
        <v>1</v>
      </c>
      <c r="AY419" s="27">
        <f t="shared" si="378"/>
        <v>1.3</v>
      </c>
      <c r="AZ419" s="35">
        <f t="shared" si="379"/>
        <v>49.704512903827094</v>
      </c>
      <c r="BA419" s="35">
        <f t="shared" si="380"/>
        <v>0</v>
      </c>
      <c r="BB419" s="35">
        <f t="shared" si="381"/>
        <v>2.5846346709990091</v>
      </c>
      <c r="BC419" s="35">
        <f t="shared" si="382"/>
        <v>1.7415365329000991</v>
      </c>
      <c r="BD419" s="35">
        <f t="shared" si="386"/>
        <v>0.40237794983924008</v>
      </c>
      <c r="BE419" s="16">
        <f t="shared" si="387"/>
        <v>128.18268982021141</v>
      </c>
      <c r="BF419" s="16">
        <f t="shared" si="388"/>
        <v>143.63462035957718</v>
      </c>
      <c r="BG419" s="25">
        <f t="shared" si="389"/>
        <v>1</v>
      </c>
      <c r="BH419" s="35">
        <f t="shared" si="390"/>
        <v>282.00191760446512</v>
      </c>
      <c r="BI419" s="35">
        <f t="shared" si="391"/>
        <v>-164.00383520893024</v>
      </c>
      <c r="BJ419" s="35">
        <f t="shared" si="392"/>
        <v>33.096064470373193</v>
      </c>
    </row>
    <row r="420" spans="2:62">
      <c r="B420" s="35" t="s">
        <v>133</v>
      </c>
      <c r="C420" s="85" t="str">
        <f>'Hotter&amp;Drier'!$B$1</f>
        <v>CSIRO Mk3.5</v>
      </c>
      <c r="D420" s="89">
        <v>2050</v>
      </c>
      <c r="E420" s="57">
        <f>'Cooler&amp;Wetter'!AA78</f>
        <v>35.6</v>
      </c>
      <c r="F420" s="90">
        <f>'Hotter&amp;Drier'!AD78</f>
        <v>23.03</v>
      </c>
      <c r="G420" s="35">
        <f t="shared" si="372"/>
        <v>2005</v>
      </c>
      <c r="H420" s="91" t="str">
        <f t="shared" si="352"/>
        <v>Pile 32 @ Berth 201</v>
      </c>
      <c r="I420" s="35" t="str">
        <f t="shared" si="353"/>
        <v>Turpentine Gum</v>
      </c>
      <c r="J420" s="35" t="str">
        <f t="shared" si="354"/>
        <v>HW1</v>
      </c>
      <c r="K420" s="35" t="str">
        <f t="shared" si="373"/>
        <v>SPHU</v>
      </c>
      <c r="L420" s="35">
        <f t="shared" si="355"/>
        <v>400</v>
      </c>
      <c r="M420" s="35">
        <f t="shared" si="356"/>
        <v>20</v>
      </c>
      <c r="N420" s="35">
        <f t="shared" si="357"/>
        <v>200</v>
      </c>
      <c r="O420" s="35" t="str">
        <f t="shared" si="358"/>
        <v>MTN2</v>
      </c>
      <c r="P420" s="35" t="str">
        <f t="shared" si="359"/>
        <v>CNT2</v>
      </c>
      <c r="Q420" s="35" t="str">
        <f t="shared" si="360"/>
        <v>KNT3</v>
      </c>
      <c r="R420" s="35" t="str">
        <f t="shared" si="361"/>
        <v>E</v>
      </c>
      <c r="S420" s="35" t="str">
        <f t="shared" si="362"/>
        <v>EXP1</v>
      </c>
      <c r="T420" s="58"/>
      <c r="U420" s="58"/>
      <c r="V420" s="58"/>
      <c r="W420" s="58"/>
      <c r="X420" s="58"/>
      <c r="Y420" s="58"/>
      <c r="Z420" s="58"/>
      <c r="AA420" s="95">
        <f t="shared" si="383"/>
        <v>1</v>
      </c>
      <c r="AB420" s="96">
        <f t="shared" si="374"/>
        <v>131.22886667063622</v>
      </c>
      <c r="AC420" s="58"/>
      <c r="AD420" s="58"/>
      <c r="AE420" s="58"/>
      <c r="AF420" s="58"/>
      <c r="AG420" s="58"/>
      <c r="AH420" s="58"/>
      <c r="AI420" s="58"/>
      <c r="AJ420" s="58"/>
      <c r="AK420" s="58"/>
      <c r="AL420" s="58"/>
      <c r="AM420" s="89">
        <f t="shared" si="375"/>
        <v>45</v>
      </c>
      <c r="AN420" s="36">
        <f t="shared" si="384"/>
        <v>35.6</v>
      </c>
      <c r="AO420" s="35">
        <f t="shared" si="385"/>
        <v>1.996338808068882</v>
      </c>
      <c r="AP420" s="35">
        <f>IF((OR(R420="A",R420="B",R420="C")),INDEX(Coefficients!$S$4:$S$22,MATCH(J420,Coefficients!$R$4:$R$22)),INDEX(Coefficients!$T$4:$T$22,MATCH(J420,Coefficients!$R$4:$R$22)))</f>
        <v>1.3</v>
      </c>
      <c r="AQ420" s="27">
        <f>IF((OR(R420="A",R420="B",R420="C")),INDEX(Coefficients!$S$4:$S$22,MATCH(K420,Coefficients!$R$4:$R$22)),INDEX(Coefficients!$T$4:$T$22,MATCH(K420,Coefficients!$R$4:$R$22)))</f>
        <v>25</v>
      </c>
      <c r="AR420" s="27">
        <f>IF(OR(R420="A",R420="B",R420="C",R420="D"),IF(AN420&gt;=11,IF(AN420&gt;=26,Coefficients!$M$6,Coefficients!$M$5),Coefficients!$M$4),IF(AN420&gt;=11,IF(AN420&gt;=26,Coefficients!$N$6,Coefficients!$N$5),Coefficients!$N$4))</f>
        <v>1</v>
      </c>
      <c r="AS420" s="27">
        <f>INDEX(Coefficients!$X$3:$X$4,MATCH(S420,Coefficients!$W$3:$W$4))</f>
        <v>1</v>
      </c>
      <c r="AT420" s="27">
        <f>INDEX(Coefficients!$X$7:$X$8,MATCH(O420,Coefficients!$W$7:$W$8))</f>
        <v>1</v>
      </c>
      <c r="AU420" s="27">
        <f>INDEX(Coefficients!$X$11:$X$12,MATCH(P420,Coefficients!$W$11:$W$12))</f>
        <v>1</v>
      </c>
      <c r="AV420" s="27">
        <f>INDEX(Coefficients!$X$15:$X$17,MATCH(Q420,Coefficients!$W$15:$W$17))</f>
        <v>1</v>
      </c>
      <c r="AW420" s="27">
        <f t="shared" si="376"/>
        <v>1</v>
      </c>
      <c r="AX420" s="27">
        <f t="shared" si="377"/>
        <v>1</v>
      </c>
      <c r="AY420" s="27">
        <f t="shared" si="378"/>
        <v>1.3</v>
      </c>
      <c r="AZ420" s="35">
        <f t="shared" si="379"/>
        <v>49.908470201722047</v>
      </c>
      <c r="BA420" s="35">
        <f t="shared" si="380"/>
        <v>0</v>
      </c>
      <c r="BB420" s="35">
        <f t="shared" si="381"/>
        <v>2.5952404504895465</v>
      </c>
      <c r="BC420" s="35">
        <f t="shared" si="382"/>
        <v>1.7404759549510453</v>
      </c>
      <c r="BD420" s="35">
        <f t="shared" si="386"/>
        <v>0.40073358127714998</v>
      </c>
      <c r="BE420" s="16">
        <f t="shared" si="387"/>
        <v>131.22886667063622</v>
      </c>
      <c r="BF420" s="16">
        <f t="shared" si="388"/>
        <v>137.54226665872756</v>
      </c>
      <c r="BG420" s="25">
        <f t="shared" si="389"/>
        <v>1</v>
      </c>
      <c r="BH420" s="35">
        <f t="shared" si="390"/>
        <v>288.70350667539969</v>
      </c>
      <c r="BI420" s="35">
        <f t="shared" si="391"/>
        <v>-177.40701335079939</v>
      </c>
      <c r="BJ420" s="35">
        <f t="shared" si="392"/>
        <v>32.966869634470505</v>
      </c>
    </row>
    <row r="421" spans="2:62">
      <c r="B421" s="35" t="s">
        <v>133</v>
      </c>
      <c r="C421" s="85" t="str">
        <f>'Hotter&amp;Drier'!$B$1</f>
        <v>CSIRO Mk3.5</v>
      </c>
      <c r="D421" s="89">
        <v>2051</v>
      </c>
      <c r="E421" s="57">
        <f>'Cooler&amp;Wetter'!AA79</f>
        <v>35.603499999999997</v>
      </c>
      <c r="F421" s="90">
        <f>'Hotter&amp;Drier'!AD79</f>
        <v>23.061</v>
      </c>
      <c r="G421" s="35">
        <f t="shared" si="372"/>
        <v>2005</v>
      </c>
      <c r="H421" s="91" t="str">
        <f t="shared" si="352"/>
        <v>Pile 32 @ Berth 201</v>
      </c>
      <c r="I421" s="35" t="str">
        <f t="shared" si="353"/>
        <v>Turpentine Gum</v>
      </c>
      <c r="J421" s="35" t="str">
        <f t="shared" si="354"/>
        <v>HW1</v>
      </c>
      <c r="K421" s="35" t="str">
        <f t="shared" si="373"/>
        <v>SPHU</v>
      </c>
      <c r="L421" s="35">
        <f t="shared" si="355"/>
        <v>400</v>
      </c>
      <c r="M421" s="35">
        <f t="shared" si="356"/>
        <v>20</v>
      </c>
      <c r="N421" s="35">
        <f t="shared" si="357"/>
        <v>200</v>
      </c>
      <c r="O421" s="35" t="str">
        <f t="shared" si="358"/>
        <v>MTN2</v>
      </c>
      <c r="P421" s="35" t="str">
        <f t="shared" si="359"/>
        <v>CNT2</v>
      </c>
      <c r="Q421" s="35" t="str">
        <f t="shared" si="360"/>
        <v>KNT3</v>
      </c>
      <c r="R421" s="35" t="str">
        <f t="shared" si="361"/>
        <v>E</v>
      </c>
      <c r="S421" s="35" t="str">
        <f t="shared" si="362"/>
        <v>EXP1</v>
      </c>
      <c r="T421" s="58"/>
      <c r="U421" s="58"/>
      <c r="V421" s="58"/>
      <c r="W421" s="58"/>
      <c r="X421" s="58"/>
      <c r="Y421" s="58"/>
      <c r="Z421" s="58"/>
      <c r="AA421" s="95">
        <f t="shared" si="383"/>
        <v>1</v>
      </c>
      <c r="AB421" s="96">
        <f t="shared" si="374"/>
        <v>134.29067424991069</v>
      </c>
      <c r="AC421" s="58"/>
      <c r="AD421" s="58"/>
      <c r="AE421" s="58"/>
      <c r="AF421" s="58"/>
      <c r="AG421" s="58"/>
      <c r="AH421" s="58"/>
      <c r="AI421" s="58"/>
      <c r="AJ421" s="58"/>
      <c r="AK421" s="58"/>
      <c r="AL421" s="58"/>
      <c r="AM421" s="89">
        <f t="shared" si="375"/>
        <v>46</v>
      </c>
      <c r="AN421" s="36">
        <f t="shared" si="384"/>
        <v>35.603499999999997</v>
      </c>
      <c r="AO421" s="35">
        <f t="shared" si="385"/>
        <v>2.0044002864338357</v>
      </c>
      <c r="AP421" s="35">
        <f>IF((OR(R421="A",R421="B",R421="C")),INDEX(Coefficients!$S$4:$S$22,MATCH(J421,Coefficients!$R$4:$R$22)),INDEX(Coefficients!$T$4:$T$22,MATCH(J421,Coefficients!$R$4:$R$22)))</f>
        <v>1.3</v>
      </c>
      <c r="AQ421" s="27">
        <f>IF((OR(R421="A",R421="B",R421="C")),INDEX(Coefficients!$S$4:$S$22,MATCH(K421,Coefficients!$R$4:$R$22)),INDEX(Coefficients!$T$4:$T$22,MATCH(K421,Coefficients!$R$4:$R$22)))</f>
        <v>25</v>
      </c>
      <c r="AR421" s="27">
        <f>IF(OR(R421="A",R421="B",R421="C",R421="D"),IF(AN421&gt;=11,IF(AN421&gt;=26,Coefficients!$M$6,Coefficients!$M$5),Coefficients!$M$4),IF(AN421&gt;=11,IF(AN421&gt;=26,Coefficients!$N$6,Coefficients!$N$5),Coefficients!$N$4))</f>
        <v>1</v>
      </c>
      <c r="AS421" s="27">
        <f>INDEX(Coefficients!$X$3:$X$4,MATCH(S421,Coefficients!$W$3:$W$4))</f>
        <v>1</v>
      </c>
      <c r="AT421" s="27">
        <f>INDEX(Coefficients!$X$7:$X$8,MATCH(O421,Coefficients!$W$7:$W$8))</f>
        <v>1</v>
      </c>
      <c r="AU421" s="27">
        <f>INDEX(Coefficients!$X$11:$X$12,MATCH(P421,Coefficients!$W$11:$W$12))</f>
        <v>1</v>
      </c>
      <c r="AV421" s="27">
        <f>INDEX(Coefficients!$X$15:$X$17,MATCH(Q421,Coefficients!$W$15:$W$17))</f>
        <v>1</v>
      </c>
      <c r="AW421" s="27">
        <f t="shared" si="376"/>
        <v>1</v>
      </c>
      <c r="AX421" s="27">
        <f t="shared" si="377"/>
        <v>1</v>
      </c>
      <c r="AY421" s="27">
        <f t="shared" si="378"/>
        <v>1.3</v>
      </c>
      <c r="AZ421" s="35">
        <f t="shared" si="379"/>
        <v>50.110007160845896</v>
      </c>
      <c r="BA421" s="35">
        <f t="shared" si="380"/>
        <v>0</v>
      </c>
      <c r="BB421" s="35">
        <f t="shared" si="381"/>
        <v>2.6057203723639866</v>
      </c>
      <c r="BC421" s="35">
        <f t="shared" si="382"/>
        <v>1.7394279627636013</v>
      </c>
      <c r="BD421" s="35">
        <f t="shared" si="386"/>
        <v>0.39912187471462307</v>
      </c>
      <c r="BE421" s="16">
        <f t="shared" si="387"/>
        <v>134.29067424991069</v>
      </c>
      <c r="BF421" s="16">
        <f t="shared" si="388"/>
        <v>131.41865150017861</v>
      </c>
      <c r="BG421" s="25">
        <f t="shared" si="389"/>
        <v>1</v>
      </c>
      <c r="BH421" s="35">
        <f t="shared" si="390"/>
        <v>295.43948334980354</v>
      </c>
      <c r="BI421" s="35">
        <f t="shared" si="391"/>
        <v>-190.87896669960708</v>
      </c>
      <c r="BJ421" s="35">
        <f t="shared" si="392"/>
        <v>32.840232507833846</v>
      </c>
    </row>
    <row r="422" spans="2:62">
      <c r="B422" s="35" t="s">
        <v>133</v>
      </c>
      <c r="C422" s="85" t="str">
        <f>'Hotter&amp;Drier'!$B$1</f>
        <v>CSIRO Mk3.5</v>
      </c>
      <c r="D422" s="89">
        <v>2052</v>
      </c>
      <c r="E422" s="57">
        <f>'Cooler&amp;Wetter'!AA80</f>
        <v>35.606999999999999</v>
      </c>
      <c r="F422" s="90">
        <f>'Hotter&amp;Drier'!AD80</f>
        <v>23.091999999999999</v>
      </c>
      <c r="G422" s="35">
        <f t="shared" si="372"/>
        <v>2005</v>
      </c>
      <c r="H422" s="91" t="str">
        <f t="shared" si="352"/>
        <v>Pile 32 @ Berth 201</v>
      </c>
      <c r="I422" s="35" t="str">
        <f t="shared" si="353"/>
        <v>Turpentine Gum</v>
      </c>
      <c r="J422" s="35" t="str">
        <f t="shared" si="354"/>
        <v>HW1</v>
      </c>
      <c r="K422" s="35" t="str">
        <f t="shared" si="373"/>
        <v>SPHU</v>
      </c>
      <c r="L422" s="35">
        <f t="shared" si="355"/>
        <v>400</v>
      </c>
      <c r="M422" s="35">
        <f t="shared" si="356"/>
        <v>20</v>
      </c>
      <c r="N422" s="35">
        <f t="shared" si="357"/>
        <v>200</v>
      </c>
      <c r="O422" s="35" t="str">
        <f t="shared" si="358"/>
        <v>MTN2</v>
      </c>
      <c r="P422" s="35" t="str">
        <f t="shared" si="359"/>
        <v>CNT2</v>
      </c>
      <c r="Q422" s="35" t="str">
        <f t="shared" si="360"/>
        <v>KNT3</v>
      </c>
      <c r="R422" s="35" t="str">
        <f t="shared" si="361"/>
        <v>E</v>
      </c>
      <c r="S422" s="35" t="str">
        <f t="shared" si="362"/>
        <v>EXP1</v>
      </c>
      <c r="T422" s="58"/>
      <c r="U422" s="58"/>
      <c r="V422" s="58"/>
      <c r="W422" s="58"/>
      <c r="X422" s="58"/>
      <c r="Y422" s="58"/>
      <c r="Z422" s="58"/>
      <c r="AA422" s="95">
        <f t="shared" si="383"/>
        <v>1</v>
      </c>
      <c r="AB422" s="96">
        <f t="shared" si="374"/>
        <v>137.37539015057644</v>
      </c>
      <c r="AC422" s="58"/>
      <c r="AD422" s="58"/>
      <c r="AE422" s="58"/>
      <c r="AF422" s="58"/>
      <c r="AG422" s="58"/>
      <c r="AH422" s="58"/>
      <c r="AI422" s="58"/>
      <c r="AJ422" s="58"/>
      <c r="AK422" s="58"/>
      <c r="AL422" s="58"/>
      <c r="AM422" s="89">
        <f t="shared" si="375"/>
        <v>47</v>
      </c>
      <c r="AN422" s="36">
        <f t="shared" si="384"/>
        <v>35.606999999999999</v>
      </c>
      <c r="AO422" s="35">
        <f t="shared" si="385"/>
        <v>2.0124943181074588</v>
      </c>
      <c r="AP422" s="35">
        <f>IF((OR(R422="A",R422="B",R422="C")),INDEX(Coefficients!$S$4:$S$22,MATCH(J422,Coefficients!$R$4:$R$22)),INDEX(Coefficients!$T$4:$T$22,MATCH(J422,Coefficients!$R$4:$R$22)))</f>
        <v>1.3</v>
      </c>
      <c r="AQ422" s="27">
        <f>IF((OR(R422="A",R422="B",R422="C")),INDEX(Coefficients!$S$4:$S$22,MATCH(K422,Coefficients!$R$4:$R$22)),INDEX(Coefficients!$T$4:$T$22,MATCH(K422,Coefficients!$R$4:$R$22)))</f>
        <v>25</v>
      </c>
      <c r="AR422" s="27">
        <f>IF(OR(R422="A",R422="B",R422="C",R422="D"),IF(AN422&gt;=11,IF(AN422&gt;=26,Coefficients!$M$6,Coefficients!$M$5),Coefficients!$M$4),IF(AN422&gt;=11,IF(AN422&gt;=26,Coefficients!$N$6,Coefficients!$N$5),Coefficients!$N$4))</f>
        <v>1</v>
      </c>
      <c r="AS422" s="27">
        <f>INDEX(Coefficients!$X$3:$X$4,MATCH(S422,Coefficients!$W$3:$W$4))</f>
        <v>1</v>
      </c>
      <c r="AT422" s="27">
        <f>INDEX(Coefficients!$X$7:$X$8,MATCH(O422,Coefficients!$W$7:$W$8))</f>
        <v>1</v>
      </c>
      <c r="AU422" s="27">
        <f>INDEX(Coefficients!$X$11:$X$12,MATCH(P422,Coefficients!$W$11:$W$12))</f>
        <v>1</v>
      </c>
      <c r="AV422" s="27">
        <f>INDEX(Coefficients!$X$15:$X$17,MATCH(Q422,Coefficients!$W$15:$W$17))</f>
        <v>1</v>
      </c>
      <c r="AW422" s="27">
        <f t="shared" si="376"/>
        <v>1</v>
      </c>
      <c r="AX422" s="27">
        <f t="shared" si="377"/>
        <v>1</v>
      </c>
      <c r="AY422" s="27">
        <f t="shared" si="378"/>
        <v>1.3</v>
      </c>
      <c r="AZ422" s="35">
        <f t="shared" si="379"/>
        <v>50.312357952686469</v>
      </c>
      <c r="BA422" s="35">
        <f t="shared" si="380"/>
        <v>0</v>
      </c>
      <c r="BB422" s="35">
        <f t="shared" si="381"/>
        <v>2.6162426135396966</v>
      </c>
      <c r="BC422" s="35">
        <f t="shared" si="382"/>
        <v>1.7383757386460303</v>
      </c>
      <c r="BD422" s="35">
        <f t="shared" si="386"/>
        <v>0.39751665025932431</v>
      </c>
      <c r="BE422" s="16">
        <f t="shared" si="387"/>
        <v>137.37539015057644</v>
      </c>
      <c r="BF422" s="16">
        <f t="shared" si="388"/>
        <v>125.24921969884713</v>
      </c>
      <c r="BG422" s="25">
        <f t="shared" si="389"/>
        <v>1</v>
      </c>
      <c r="BH422" s="35">
        <f t="shared" si="390"/>
        <v>302.22585833126817</v>
      </c>
      <c r="BI422" s="35">
        <f t="shared" si="391"/>
        <v>-204.45171666253634</v>
      </c>
      <c r="BJ422" s="35">
        <f t="shared" si="392"/>
        <v>32.71409625500722</v>
      </c>
    </row>
    <row r="423" spans="2:62">
      <c r="B423" s="35" t="s">
        <v>133</v>
      </c>
      <c r="C423" s="85" t="str">
        <f>'Hotter&amp;Drier'!$B$1</f>
        <v>CSIRO Mk3.5</v>
      </c>
      <c r="D423" s="89">
        <v>2053</v>
      </c>
      <c r="E423" s="57">
        <f>'Cooler&amp;Wetter'!AA81</f>
        <v>35.610500000000002</v>
      </c>
      <c r="F423" s="90">
        <f>'Hotter&amp;Drier'!AD81</f>
        <v>23.123000000000001</v>
      </c>
      <c r="G423" s="35">
        <f t="shared" si="372"/>
        <v>2005</v>
      </c>
      <c r="H423" s="91" t="str">
        <f t="shared" si="352"/>
        <v>Pile 32 @ Berth 201</v>
      </c>
      <c r="I423" s="35" t="str">
        <f t="shared" si="353"/>
        <v>Turpentine Gum</v>
      </c>
      <c r="J423" s="35" t="str">
        <f t="shared" si="354"/>
        <v>HW1</v>
      </c>
      <c r="K423" s="35" t="str">
        <f t="shared" si="373"/>
        <v>SPHU</v>
      </c>
      <c r="L423" s="35">
        <f t="shared" si="355"/>
        <v>400</v>
      </c>
      <c r="M423" s="35">
        <f t="shared" si="356"/>
        <v>20</v>
      </c>
      <c r="N423" s="35">
        <f t="shared" si="357"/>
        <v>200</v>
      </c>
      <c r="O423" s="35" t="str">
        <f t="shared" si="358"/>
        <v>MTN2</v>
      </c>
      <c r="P423" s="35" t="str">
        <f t="shared" si="359"/>
        <v>CNT2</v>
      </c>
      <c r="Q423" s="35" t="str">
        <f t="shared" si="360"/>
        <v>KNT3</v>
      </c>
      <c r="R423" s="35" t="str">
        <f t="shared" si="361"/>
        <v>E</v>
      </c>
      <c r="S423" s="35" t="str">
        <f t="shared" si="362"/>
        <v>EXP1</v>
      </c>
      <c r="T423" s="58"/>
      <c r="U423" s="58"/>
      <c r="V423" s="58"/>
      <c r="W423" s="58"/>
      <c r="X423" s="58"/>
      <c r="Y423" s="58"/>
      <c r="Z423" s="58"/>
      <c r="AA423" s="95">
        <f t="shared" si="383"/>
        <v>1</v>
      </c>
      <c r="AB423" s="96">
        <f t="shared" si="374"/>
        <v>140.48314954847459</v>
      </c>
      <c r="AC423" s="58"/>
      <c r="AD423" s="58"/>
      <c r="AE423" s="58"/>
      <c r="AF423" s="58"/>
      <c r="AG423" s="58"/>
      <c r="AH423" s="58"/>
      <c r="AI423" s="58"/>
      <c r="AJ423" s="58"/>
      <c r="AK423" s="58"/>
      <c r="AL423" s="58"/>
      <c r="AM423" s="89">
        <f t="shared" si="375"/>
        <v>48</v>
      </c>
      <c r="AN423" s="36">
        <f t="shared" si="384"/>
        <v>35.610500000000002</v>
      </c>
      <c r="AO423" s="35">
        <f t="shared" si="385"/>
        <v>2.0206210345442899</v>
      </c>
      <c r="AP423" s="35">
        <f>IF((OR(R423="A",R423="B",R423="C")),INDEX(Coefficients!$S$4:$S$22,MATCH(J423,Coefficients!$R$4:$R$22)),INDEX(Coefficients!$T$4:$T$22,MATCH(J423,Coefficients!$R$4:$R$22)))</f>
        <v>1.3</v>
      </c>
      <c r="AQ423" s="27">
        <f>IF((OR(R423="A",R423="B",R423="C")),INDEX(Coefficients!$S$4:$S$22,MATCH(K423,Coefficients!$R$4:$R$22)),INDEX(Coefficients!$T$4:$T$22,MATCH(K423,Coefficients!$R$4:$R$22)))</f>
        <v>25</v>
      </c>
      <c r="AR423" s="27">
        <f>IF(OR(R423="A",R423="B",R423="C",R423="D"),IF(AN423&gt;=11,IF(AN423&gt;=26,Coefficients!$M$6,Coefficients!$M$5),Coefficients!$M$4),IF(AN423&gt;=11,IF(AN423&gt;=26,Coefficients!$N$6,Coefficients!$N$5),Coefficients!$N$4))</f>
        <v>1</v>
      </c>
      <c r="AS423" s="27">
        <f>INDEX(Coefficients!$X$3:$X$4,MATCH(S423,Coefficients!$W$3:$W$4))</f>
        <v>1</v>
      </c>
      <c r="AT423" s="27">
        <f>INDEX(Coefficients!$X$7:$X$8,MATCH(O423,Coefficients!$W$7:$W$8))</f>
        <v>1</v>
      </c>
      <c r="AU423" s="27">
        <f>INDEX(Coefficients!$X$11:$X$12,MATCH(P423,Coefficients!$W$11:$W$12))</f>
        <v>1</v>
      </c>
      <c r="AV423" s="27">
        <f>INDEX(Coefficients!$X$15:$X$17,MATCH(Q423,Coefficients!$W$15:$W$17))</f>
        <v>1</v>
      </c>
      <c r="AW423" s="27">
        <f t="shared" si="376"/>
        <v>1</v>
      </c>
      <c r="AX423" s="27">
        <f t="shared" si="377"/>
        <v>1</v>
      </c>
      <c r="AY423" s="27">
        <f t="shared" si="378"/>
        <v>1.3</v>
      </c>
      <c r="AZ423" s="35">
        <f t="shared" si="379"/>
        <v>50.515525863607245</v>
      </c>
      <c r="BA423" s="35">
        <f t="shared" si="380"/>
        <v>0</v>
      </c>
      <c r="BB423" s="35">
        <f t="shared" si="381"/>
        <v>2.6268073449075771</v>
      </c>
      <c r="BC423" s="35">
        <f t="shared" si="382"/>
        <v>1.7373192655092422</v>
      </c>
      <c r="BD423" s="35">
        <f t="shared" si="386"/>
        <v>0.39591788184092808</v>
      </c>
      <c r="BE423" s="16">
        <f t="shared" si="387"/>
        <v>140.48314954847459</v>
      </c>
      <c r="BF423" s="16">
        <f t="shared" si="388"/>
        <v>119.03370090305083</v>
      </c>
      <c r="BG423" s="25">
        <f t="shared" si="389"/>
        <v>1</v>
      </c>
      <c r="BH423" s="35">
        <f t="shared" si="390"/>
        <v>309.06292900664414</v>
      </c>
      <c r="BI423" s="35">
        <f t="shared" si="391"/>
        <v>-218.12585801328828</v>
      </c>
      <c r="BJ423" s="35">
        <f t="shared" si="392"/>
        <v>32.588458827421555</v>
      </c>
    </row>
    <row r="424" spans="2:62">
      <c r="B424" s="35" t="s">
        <v>133</v>
      </c>
      <c r="C424" s="85" t="str">
        <f>'Hotter&amp;Drier'!$B$1</f>
        <v>CSIRO Mk3.5</v>
      </c>
      <c r="D424" s="89">
        <v>2054</v>
      </c>
      <c r="E424" s="57">
        <f>'Cooler&amp;Wetter'!AA82</f>
        <v>35.613999999999997</v>
      </c>
      <c r="F424" s="90">
        <f>'Hotter&amp;Drier'!AD82</f>
        <v>23.154</v>
      </c>
      <c r="G424" s="35">
        <f t="shared" si="372"/>
        <v>2005</v>
      </c>
      <c r="H424" s="91" t="str">
        <f t="shared" si="352"/>
        <v>Pile 32 @ Berth 201</v>
      </c>
      <c r="I424" s="35" t="str">
        <f t="shared" si="353"/>
        <v>Turpentine Gum</v>
      </c>
      <c r="J424" s="35" t="str">
        <f t="shared" si="354"/>
        <v>HW1</v>
      </c>
      <c r="K424" s="35" t="str">
        <f t="shared" si="373"/>
        <v>SPHU</v>
      </c>
      <c r="L424" s="35">
        <f t="shared" si="355"/>
        <v>400</v>
      </c>
      <c r="M424" s="35">
        <f t="shared" si="356"/>
        <v>20</v>
      </c>
      <c r="N424" s="35">
        <f t="shared" si="357"/>
        <v>200</v>
      </c>
      <c r="O424" s="35" t="str">
        <f t="shared" si="358"/>
        <v>MTN2</v>
      </c>
      <c r="P424" s="35" t="str">
        <f t="shared" si="359"/>
        <v>CNT2</v>
      </c>
      <c r="Q424" s="35" t="str">
        <f t="shared" si="360"/>
        <v>KNT3</v>
      </c>
      <c r="R424" s="35" t="str">
        <f t="shared" si="361"/>
        <v>E</v>
      </c>
      <c r="S424" s="35" t="str">
        <f t="shared" si="362"/>
        <v>EXP1</v>
      </c>
      <c r="T424" s="58"/>
      <c r="U424" s="58"/>
      <c r="V424" s="58"/>
      <c r="W424" s="58"/>
      <c r="X424" s="58"/>
      <c r="Y424" s="58"/>
      <c r="Z424" s="58"/>
      <c r="AA424" s="95">
        <f t="shared" si="383"/>
        <v>1</v>
      </c>
      <c r="AB424" s="96">
        <f t="shared" si="374"/>
        <v>143.6140883383319</v>
      </c>
      <c r="AC424" s="58"/>
      <c r="AD424" s="58"/>
      <c r="AE424" s="58"/>
      <c r="AF424" s="58"/>
      <c r="AG424" s="58"/>
      <c r="AH424" s="58"/>
      <c r="AI424" s="58"/>
      <c r="AJ424" s="58"/>
      <c r="AK424" s="58"/>
      <c r="AL424" s="58"/>
      <c r="AM424" s="89">
        <f t="shared" si="375"/>
        <v>49</v>
      </c>
      <c r="AN424" s="36">
        <f t="shared" si="384"/>
        <v>35.613999999999997</v>
      </c>
      <c r="AO424" s="35">
        <f t="shared" si="385"/>
        <v>2.0287805677296942</v>
      </c>
      <c r="AP424" s="35">
        <f>IF((OR(R424="A",R424="B",R424="C")),INDEX(Coefficients!$S$4:$S$22,MATCH(J424,Coefficients!$R$4:$R$22)),INDEX(Coefficients!$T$4:$T$22,MATCH(J424,Coefficients!$R$4:$R$22)))</f>
        <v>1.3</v>
      </c>
      <c r="AQ424" s="27">
        <f>IF((OR(R424="A",R424="B",R424="C")),INDEX(Coefficients!$S$4:$S$22,MATCH(K424,Coefficients!$R$4:$R$22)),INDEX(Coefficients!$T$4:$T$22,MATCH(K424,Coefficients!$R$4:$R$22)))</f>
        <v>25</v>
      </c>
      <c r="AR424" s="27">
        <f>IF(OR(R424="A",R424="B",R424="C",R424="D"),IF(AN424&gt;=11,IF(AN424&gt;=26,Coefficients!$M$6,Coefficients!$M$5),Coefficients!$M$4),IF(AN424&gt;=11,IF(AN424&gt;=26,Coefficients!$N$6,Coefficients!$N$5),Coefficients!$N$4))</f>
        <v>1</v>
      </c>
      <c r="AS424" s="27">
        <f>INDEX(Coefficients!$X$3:$X$4,MATCH(S424,Coefficients!$W$3:$W$4))</f>
        <v>1</v>
      </c>
      <c r="AT424" s="27">
        <f>INDEX(Coefficients!$X$7:$X$8,MATCH(O424,Coefficients!$W$7:$W$8))</f>
        <v>1</v>
      </c>
      <c r="AU424" s="27">
        <f>INDEX(Coefficients!$X$11:$X$12,MATCH(P424,Coefficients!$W$11:$W$12))</f>
        <v>1</v>
      </c>
      <c r="AV424" s="27">
        <f>INDEX(Coefficients!$X$15:$X$17,MATCH(Q424,Coefficients!$W$15:$W$17))</f>
        <v>1</v>
      </c>
      <c r="AW424" s="27">
        <f t="shared" si="376"/>
        <v>1</v>
      </c>
      <c r="AX424" s="27">
        <f t="shared" si="377"/>
        <v>1</v>
      </c>
      <c r="AY424" s="27">
        <f t="shared" si="378"/>
        <v>1.3</v>
      </c>
      <c r="AZ424" s="35">
        <f t="shared" si="379"/>
        <v>50.719514193242354</v>
      </c>
      <c r="BA424" s="35">
        <f t="shared" si="380"/>
        <v>0</v>
      </c>
      <c r="BB424" s="35">
        <f t="shared" si="381"/>
        <v>2.6374147380486024</v>
      </c>
      <c r="BC424" s="35">
        <f t="shared" si="382"/>
        <v>1.7362585261951398</v>
      </c>
      <c r="BD424" s="35">
        <f t="shared" si="386"/>
        <v>0.39432554349396176</v>
      </c>
      <c r="BE424" s="16">
        <f t="shared" si="387"/>
        <v>143.6140883383319</v>
      </c>
      <c r="BF424" s="16">
        <f t="shared" si="388"/>
        <v>112.77182332333621</v>
      </c>
      <c r="BG424" s="25">
        <f t="shared" si="389"/>
        <v>1</v>
      </c>
      <c r="BH424" s="35">
        <f t="shared" si="390"/>
        <v>315.95099434433018</v>
      </c>
      <c r="BI424" s="35">
        <f t="shared" si="391"/>
        <v>-231.90198868866037</v>
      </c>
      <c r="BJ424" s="35">
        <f t="shared" si="392"/>
        <v>32.463318184609243</v>
      </c>
    </row>
    <row r="425" spans="2:62">
      <c r="B425" s="35" t="s">
        <v>133</v>
      </c>
      <c r="C425" s="85" t="str">
        <f>'Hotter&amp;Drier'!$B$1</f>
        <v>CSIRO Mk3.5</v>
      </c>
      <c r="D425" s="89">
        <v>2055</v>
      </c>
      <c r="E425" s="57">
        <f>'Cooler&amp;Wetter'!AA83</f>
        <v>35.6175</v>
      </c>
      <c r="F425" s="90">
        <f>'Hotter&amp;Drier'!AD83</f>
        <v>23.184999999999999</v>
      </c>
      <c r="G425" s="35">
        <f t="shared" si="372"/>
        <v>2005</v>
      </c>
      <c r="H425" s="91" t="str">
        <f t="shared" si="352"/>
        <v>Pile 32 @ Berth 201</v>
      </c>
      <c r="I425" s="35" t="str">
        <f t="shared" si="353"/>
        <v>Turpentine Gum</v>
      </c>
      <c r="J425" s="35" t="str">
        <f t="shared" si="354"/>
        <v>HW1</v>
      </c>
      <c r="K425" s="35" t="str">
        <f t="shared" si="373"/>
        <v>SPHU</v>
      </c>
      <c r="L425" s="35">
        <f t="shared" si="355"/>
        <v>400</v>
      </c>
      <c r="M425" s="35">
        <f t="shared" si="356"/>
        <v>20</v>
      </c>
      <c r="N425" s="35">
        <f t="shared" si="357"/>
        <v>200</v>
      </c>
      <c r="O425" s="35" t="str">
        <f t="shared" si="358"/>
        <v>MTN2</v>
      </c>
      <c r="P425" s="35" t="str">
        <f t="shared" si="359"/>
        <v>CNT2</v>
      </c>
      <c r="Q425" s="35" t="str">
        <f t="shared" si="360"/>
        <v>KNT3</v>
      </c>
      <c r="R425" s="35" t="str">
        <f t="shared" si="361"/>
        <v>E</v>
      </c>
      <c r="S425" s="35" t="str">
        <f t="shared" si="362"/>
        <v>EXP1</v>
      </c>
      <c r="T425" s="58"/>
      <c r="U425" s="58"/>
      <c r="V425" s="58"/>
      <c r="W425" s="58"/>
      <c r="X425" s="58"/>
      <c r="Y425" s="58"/>
      <c r="Z425" s="58"/>
      <c r="AA425" s="95">
        <f t="shared" si="383"/>
        <v>1</v>
      </c>
      <c r="AB425" s="96">
        <f t="shared" si="374"/>
        <v>146.76834313736913</v>
      </c>
      <c r="AC425" s="58"/>
      <c r="AD425" s="58"/>
      <c r="AE425" s="58"/>
      <c r="AF425" s="58"/>
      <c r="AG425" s="58"/>
      <c r="AH425" s="58"/>
      <c r="AI425" s="58"/>
      <c r="AJ425" s="58"/>
      <c r="AK425" s="58"/>
      <c r="AL425" s="58"/>
      <c r="AM425" s="89">
        <f t="shared" si="375"/>
        <v>50</v>
      </c>
      <c r="AN425" s="36">
        <f t="shared" si="384"/>
        <v>35.6175</v>
      </c>
      <c r="AO425" s="35">
        <f t="shared" si="385"/>
        <v>2.0369730501820156</v>
      </c>
      <c r="AP425" s="35">
        <f>IF((OR(R425="A",R425="B",R425="C")),INDEX(Coefficients!$S$4:$S$22,MATCH(J425,Coefficients!$R$4:$R$22)),INDEX(Coefficients!$T$4:$T$22,MATCH(J425,Coefficients!$R$4:$R$22)))</f>
        <v>1.3</v>
      </c>
      <c r="AQ425" s="27">
        <f>IF((OR(R425="A",R425="B",R425="C")),INDEX(Coefficients!$S$4:$S$22,MATCH(K425,Coefficients!$R$4:$R$22)),INDEX(Coefficients!$T$4:$T$22,MATCH(K425,Coefficients!$R$4:$R$22)))</f>
        <v>25</v>
      </c>
      <c r="AR425" s="27">
        <f>IF(OR(R425="A",R425="B",R425="C",R425="D"),IF(AN425&gt;=11,IF(AN425&gt;=26,Coefficients!$M$6,Coefficients!$M$5),Coefficients!$M$4),IF(AN425&gt;=11,IF(AN425&gt;=26,Coefficients!$N$6,Coefficients!$N$5),Coefficients!$N$4))</f>
        <v>1</v>
      </c>
      <c r="AS425" s="27">
        <f>INDEX(Coefficients!$X$3:$X$4,MATCH(S425,Coefficients!$W$3:$W$4))</f>
        <v>1</v>
      </c>
      <c r="AT425" s="27">
        <f>INDEX(Coefficients!$X$7:$X$8,MATCH(O425,Coefficients!$W$7:$W$8))</f>
        <v>1</v>
      </c>
      <c r="AU425" s="27">
        <f>INDEX(Coefficients!$X$11:$X$12,MATCH(P425,Coefficients!$W$11:$W$12))</f>
        <v>1</v>
      </c>
      <c r="AV425" s="27">
        <f>INDEX(Coefficients!$X$15:$X$17,MATCH(Q425,Coefficients!$W$15:$W$17))</f>
        <v>1</v>
      </c>
      <c r="AW425" s="27">
        <f t="shared" si="376"/>
        <v>1</v>
      </c>
      <c r="AX425" s="27">
        <f t="shared" si="377"/>
        <v>1</v>
      </c>
      <c r="AY425" s="27">
        <f t="shared" si="378"/>
        <v>1.3</v>
      </c>
      <c r="AZ425" s="35">
        <f t="shared" si="379"/>
        <v>50.924326254550387</v>
      </c>
      <c r="BA425" s="35">
        <f t="shared" si="380"/>
        <v>0</v>
      </c>
      <c r="BB425" s="35">
        <f t="shared" si="381"/>
        <v>2.6480649652366202</v>
      </c>
      <c r="BC425" s="35">
        <f t="shared" si="382"/>
        <v>1.7351935034763379</v>
      </c>
      <c r="BD425" s="35">
        <f t="shared" si="386"/>
        <v>0.39273960935738217</v>
      </c>
      <c r="BE425" s="16">
        <f t="shared" si="387"/>
        <v>146.76834313736913</v>
      </c>
      <c r="BF425" s="16">
        <f t="shared" si="388"/>
        <v>106.46331372526174</v>
      </c>
      <c r="BG425" s="25">
        <f t="shared" si="389"/>
        <v>1</v>
      </c>
      <c r="BH425" s="35">
        <f t="shared" si="390"/>
        <v>322.8903549022121</v>
      </c>
      <c r="BI425" s="35">
        <f t="shared" si="391"/>
        <v>-245.78070980442419</v>
      </c>
      <c r="BJ425" s="35">
        <f t="shared" si="392"/>
        <v>32.338672294170806</v>
      </c>
    </row>
    <row r="426" spans="2:62">
      <c r="B426" s="35" t="s">
        <v>133</v>
      </c>
      <c r="C426" s="85" t="str">
        <f>'Hotter&amp;Drier'!$B$1</f>
        <v>CSIRO Mk3.5</v>
      </c>
      <c r="D426" s="89">
        <v>2056</v>
      </c>
      <c r="E426" s="57">
        <f>'Cooler&amp;Wetter'!AA84</f>
        <v>35.621000000000002</v>
      </c>
      <c r="F426" s="90">
        <f>'Hotter&amp;Drier'!AD84</f>
        <v>23.216000000000001</v>
      </c>
      <c r="G426" s="35">
        <f t="shared" si="372"/>
        <v>2005</v>
      </c>
      <c r="H426" s="91" t="str">
        <f t="shared" si="352"/>
        <v>Pile 32 @ Berth 201</v>
      </c>
      <c r="I426" s="35" t="str">
        <f t="shared" si="353"/>
        <v>Turpentine Gum</v>
      </c>
      <c r="J426" s="35" t="str">
        <f t="shared" si="354"/>
        <v>HW1</v>
      </c>
      <c r="K426" s="35" t="str">
        <f t="shared" si="373"/>
        <v>SPHU</v>
      </c>
      <c r="L426" s="35">
        <f t="shared" si="355"/>
        <v>400</v>
      </c>
      <c r="M426" s="35">
        <f t="shared" si="356"/>
        <v>20</v>
      </c>
      <c r="N426" s="35">
        <f t="shared" si="357"/>
        <v>200</v>
      </c>
      <c r="O426" s="35" t="str">
        <f t="shared" si="358"/>
        <v>MTN2</v>
      </c>
      <c r="P426" s="35" t="str">
        <f t="shared" si="359"/>
        <v>CNT2</v>
      </c>
      <c r="Q426" s="35" t="str">
        <f t="shared" si="360"/>
        <v>KNT3</v>
      </c>
      <c r="R426" s="35" t="str">
        <f t="shared" si="361"/>
        <v>E</v>
      </c>
      <c r="S426" s="35" t="str">
        <f t="shared" si="362"/>
        <v>EXP1</v>
      </c>
      <c r="T426" s="58"/>
      <c r="U426" s="58"/>
      <c r="V426" s="58"/>
      <c r="W426" s="58"/>
      <c r="X426" s="58"/>
      <c r="Y426" s="58"/>
      <c r="Z426" s="58"/>
      <c r="AA426" s="95">
        <f t="shared" si="383"/>
        <v>1</v>
      </c>
      <c r="AB426" s="96">
        <f t="shared" si="374"/>
        <v>149.94605128892533</v>
      </c>
      <c r="AC426" s="58"/>
      <c r="AD426" s="58"/>
      <c r="AE426" s="58"/>
      <c r="AF426" s="58"/>
      <c r="AG426" s="58"/>
      <c r="AH426" s="58"/>
      <c r="AI426" s="58"/>
      <c r="AJ426" s="58"/>
      <c r="AK426" s="58"/>
      <c r="AL426" s="58"/>
      <c r="AM426" s="89">
        <f t="shared" si="375"/>
        <v>51</v>
      </c>
      <c r="AN426" s="36">
        <f t="shared" si="384"/>
        <v>35.621000000000002</v>
      </c>
      <c r="AO426" s="35">
        <f t="shared" si="385"/>
        <v>2.0451986149547219</v>
      </c>
      <c r="AP426" s="35">
        <f>IF((OR(R426="A",R426="B",R426="C")),INDEX(Coefficients!$S$4:$S$22,MATCH(J426,Coefficients!$R$4:$R$22)),INDEX(Coefficients!$T$4:$T$22,MATCH(J426,Coefficients!$R$4:$R$22)))</f>
        <v>1.3</v>
      </c>
      <c r="AQ426" s="27">
        <f>IF((OR(R426="A",R426="B",R426="C")),INDEX(Coefficients!$S$4:$S$22,MATCH(K426,Coefficients!$R$4:$R$22)),INDEX(Coefficients!$T$4:$T$22,MATCH(K426,Coefficients!$R$4:$R$22)))</f>
        <v>25</v>
      </c>
      <c r="AR426" s="27">
        <f>IF(OR(R426="A",R426="B",R426="C",R426="D"),IF(AN426&gt;=11,IF(AN426&gt;=26,Coefficients!$M$6,Coefficients!$M$5),Coefficients!$M$4),IF(AN426&gt;=11,IF(AN426&gt;=26,Coefficients!$N$6,Coefficients!$N$5),Coefficients!$N$4))</f>
        <v>1</v>
      </c>
      <c r="AS426" s="27">
        <f>INDEX(Coefficients!$X$3:$X$4,MATCH(S426,Coefficients!$W$3:$W$4))</f>
        <v>1</v>
      </c>
      <c r="AT426" s="27">
        <f>INDEX(Coefficients!$X$7:$X$8,MATCH(O426,Coefficients!$W$7:$W$8))</f>
        <v>1</v>
      </c>
      <c r="AU426" s="27">
        <f>INDEX(Coefficients!$X$11:$X$12,MATCH(P426,Coefficients!$W$11:$W$12))</f>
        <v>1</v>
      </c>
      <c r="AV426" s="27">
        <f>INDEX(Coefficients!$X$15:$X$17,MATCH(Q426,Coefficients!$W$15:$W$17))</f>
        <v>1</v>
      </c>
      <c r="AW426" s="27">
        <f t="shared" si="376"/>
        <v>1</v>
      </c>
      <c r="AX426" s="27">
        <f t="shared" si="377"/>
        <v>1</v>
      </c>
      <c r="AY426" s="27">
        <f t="shared" si="378"/>
        <v>1.3</v>
      </c>
      <c r="AZ426" s="35">
        <f t="shared" si="379"/>
        <v>51.129965373868046</v>
      </c>
      <c r="BA426" s="35">
        <f t="shared" si="380"/>
        <v>0</v>
      </c>
      <c r="BB426" s="35">
        <f t="shared" si="381"/>
        <v>2.6587581994411384</v>
      </c>
      <c r="BC426" s="35">
        <f t="shared" si="382"/>
        <v>1.7341241800558862</v>
      </c>
      <c r="BD426" s="35">
        <f t="shared" si="386"/>
        <v>0.39116005367415674</v>
      </c>
      <c r="BE426" s="16">
        <f t="shared" si="387"/>
        <v>149.94605128892533</v>
      </c>
      <c r="BF426" s="16">
        <f t="shared" si="388"/>
        <v>100.10789742214934</v>
      </c>
      <c r="BG426" s="25">
        <f t="shared" si="389"/>
        <v>1</v>
      </c>
      <c r="BH426" s="35">
        <f t="shared" si="390"/>
        <v>329.88131283563575</v>
      </c>
      <c r="BI426" s="35">
        <f t="shared" si="391"/>
        <v>-259.76262567127151</v>
      </c>
      <c r="BJ426" s="35">
        <f t="shared" si="392"/>
        <v>32.214519131742094</v>
      </c>
    </row>
    <row r="427" spans="2:62">
      <c r="B427" s="35" t="s">
        <v>133</v>
      </c>
      <c r="C427" s="85" t="str">
        <f>'Hotter&amp;Drier'!$B$1</f>
        <v>CSIRO Mk3.5</v>
      </c>
      <c r="D427" s="89">
        <v>2057</v>
      </c>
      <c r="E427" s="57">
        <f>'Cooler&amp;Wetter'!AA85</f>
        <v>35.624499999999998</v>
      </c>
      <c r="F427" s="90">
        <f>'Hotter&amp;Drier'!AD85</f>
        <v>23.247</v>
      </c>
      <c r="G427" s="35">
        <f t="shared" si="372"/>
        <v>2005</v>
      </c>
      <c r="H427" s="91" t="str">
        <f t="shared" si="352"/>
        <v>Pile 32 @ Berth 201</v>
      </c>
      <c r="I427" s="35" t="str">
        <f t="shared" si="353"/>
        <v>Turpentine Gum</v>
      </c>
      <c r="J427" s="35" t="str">
        <f t="shared" si="354"/>
        <v>HW1</v>
      </c>
      <c r="K427" s="35" t="str">
        <f t="shared" si="373"/>
        <v>SPHU</v>
      </c>
      <c r="L427" s="35">
        <f t="shared" si="355"/>
        <v>400</v>
      </c>
      <c r="M427" s="35">
        <f t="shared" si="356"/>
        <v>20</v>
      </c>
      <c r="N427" s="35">
        <f t="shared" si="357"/>
        <v>200</v>
      </c>
      <c r="O427" s="35" t="str">
        <f t="shared" si="358"/>
        <v>MTN2</v>
      </c>
      <c r="P427" s="35" t="str">
        <f t="shared" si="359"/>
        <v>CNT2</v>
      </c>
      <c r="Q427" s="35" t="str">
        <f t="shared" si="360"/>
        <v>KNT3</v>
      </c>
      <c r="R427" s="35" t="str">
        <f t="shared" si="361"/>
        <v>E</v>
      </c>
      <c r="S427" s="35" t="str">
        <f t="shared" si="362"/>
        <v>EXP1</v>
      </c>
      <c r="T427" s="58"/>
      <c r="U427" s="58"/>
      <c r="V427" s="58"/>
      <c r="W427" s="58"/>
      <c r="X427" s="58"/>
      <c r="Y427" s="58"/>
      <c r="Z427" s="58"/>
      <c r="AA427" s="95">
        <f t="shared" si="383"/>
        <v>1</v>
      </c>
      <c r="AB427" s="96">
        <f t="shared" si="374"/>
        <v>153.14735086610062</v>
      </c>
      <c r="AC427" s="58"/>
      <c r="AD427" s="58"/>
      <c r="AE427" s="58"/>
      <c r="AF427" s="58"/>
      <c r="AG427" s="58"/>
      <c r="AH427" s="58"/>
      <c r="AI427" s="58"/>
      <c r="AJ427" s="58"/>
      <c r="AK427" s="58"/>
      <c r="AL427" s="58"/>
      <c r="AM427" s="89">
        <f t="shared" si="375"/>
        <v>52</v>
      </c>
      <c r="AN427" s="36">
        <f t="shared" si="384"/>
        <v>35.624499999999998</v>
      </c>
      <c r="AO427" s="35">
        <f t="shared" si="385"/>
        <v>2.0534573956385671</v>
      </c>
      <c r="AP427" s="35">
        <f>IF((OR(R427="A",R427="B",R427="C")),INDEX(Coefficients!$S$4:$S$22,MATCH(J427,Coefficients!$R$4:$R$22)),INDEX(Coefficients!$T$4:$T$22,MATCH(J427,Coefficients!$R$4:$R$22)))</f>
        <v>1.3</v>
      </c>
      <c r="AQ427" s="27">
        <f>IF((OR(R427="A",R427="B",R427="C")),INDEX(Coefficients!$S$4:$S$22,MATCH(K427,Coefficients!$R$4:$R$22)),INDEX(Coefficients!$T$4:$T$22,MATCH(K427,Coefficients!$R$4:$R$22)))</f>
        <v>25</v>
      </c>
      <c r="AR427" s="27">
        <f>IF(OR(R427="A",R427="B",R427="C",R427="D"),IF(AN427&gt;=11,IF(AN427&gt;=26,Coefficients!$M$6,Coefficients!$M$5),Coefficients!$M$4),IF(AN427&gt;=11,IF(AN427&gt;=26,Coefficients!$N$6,Coefficients!$N$5),Coefficients!$N$4))</f>
        <v>1</v>
      </c>
      <c r="AS427" s="27">
        <f>INDEX(Coefficients!$X$3:$X$4,MATCH(S427,Coefficients!$W$3:$W$4))</f>
        <v>1</v>
      </c>
      <c r="AT427" s="27">
        <f>INDEX(Coefficients!$X$7:$X$8,MATCH(O427,Coefficients!$W$7:$W$8))</f>
        <v>1</v>
      </c>
      <c r="AU427" s="27">
        <f>INDEX(Coefficients!$X$11:$X$12,MATCH(P427,Coefficients!$W$11:$W$12))</f>
        <v>1</v>
      </c>
      <c r="AV427" s="27">
        <f>INDEX(Coefficients!$X$15:$X$17,MATCH(Q427,Coefficients!$W$15:$W$17))</f>
        <v>1</v>
      </c>
      <c r="AW427" s="27">
        <f t="shared" si="376"/>
        <v>1</v>
      </c>
      <c r="AX427" s="27">
        <f t="shared" si="377"/>
        <v>1</v>
      </c>
      <c r="AY427" s="27">
        <f t="shared" si="378"/>
        <v>1.3</v>
      </c>
      <c r="AZ427" s="35">
        <f t="shared" si="379"/>
        <v>51.336434890964178</v>
      </c>
      <c r="BA427" s="35">
        <f t="shared" si="380"/>
        <v>0</v>
      </c>
      <c r="BB427" s="35">
        <f t="shared" si="381"/>
        <v>2.6694946143301372</v>
      </c>
      <c r="BC427" s="35">
        <f t="shared" si="382"/>
        <v>1.7330505385669863</v>
      </c>
      <c r="BD427" s="35">
        <f t="shared" si="386"/>
        <v>0.38958685079084521</v>
      </c>
      <c r="BE427" s="16">
        <f t="shared" si="387"/>
        <v>153.14735086610062</v>
      </c>
      <c r="BF427" s="16">
        <f t="shared" si="388"/>
        <v>93.705298267798753</v>
      </c>
      <c r="BG427" s="25">
        <f t="shared" si="389"/>
        <v>1</v>
      </c>
      <c r="BH427" s="35">
        <f t="shared" si="390"/>
        <v>336.92417190542142</v>
      </c>
      <c r="BI427" s="35">
        <f t="shared" si="391"/>
        <v>-273.84834381084283</v>
      </c>
      <c r="BJ427" s="35">
        <f t="shared" si="392"/>
        <v>32.090856680961309</v>
      </c>
    </row>
    <row r="428" spans="2:62">
      <c r="B428" s="35" t="s">
        <v>133</v>
      </c>
      <c r="C428" s="85" t="str">
        <f>'Hotter&amp;Drier'!$B$1</f>
        <v>CSIRO Mk3.5</v>
      </c>
      <c r="D428" s="89">
        <v>2058</v>
      </c>
      <c r="E428" s="57">
        <f>'Cooler&amp;Wetter'!AA86</f>
        <v>35.628</v>
      </c>
      <c r="F428" s="90">
        <f>'Hotter&amp;Drier'!AD86</f>
        <v>23.277999999999999</v>
      </c>
      <c r="G428" s="35">
        <f t="shared" si="372"/>
        <v>2005</v>
      </c>
      <c r="H428" s="91" t="str">
        <f t="shared" si="352"/>
        <v>Pile 32 @ Berth 201</v>
      </c>
      <c r="I428" s="35" t="str">
        <f t="shared" si="353"/>
        <v>Turpentine Gum</v>
      </c>
      <c r="J428" s="35" t="str">
        <f t="shared" si="354"/>
        <v>HW1</v>
      </c>
      <c r="K428" s="35" t="str">
        <f t="shared" si="373"/>
        <v>SPHU</v>
      </c>
      <c r="L428" s="35">
        <f t="shared" si="355"/>
        <v>400</v>
      </c>
      <c r="M428" s="35">
        <f t="shared" si="356"/>
        <v>20</v>
      </c>
      <c r="N428" s="35">
        <f t="shared" si="357"/>
        <v>200</v>
      </c>
      <c r="O428" s="35" t="str">
        <f t="shared" si="358"/>
        <v>MTN2</v>
      </c>
      <c r="P428" s="35" t="str">
        <f t="shared" si="359"/>
        <v>CNT2</v>
      </c>
      <c r="Q428" s="35" t="str">
        <f t="shared" si="360"/>
        <v>KNT3</v>
      </c>
      <c r="R428" s="35" t="str">
        <f t="shared" si="361"/>
        <v>E</v>
      </c>
      <c r="S428" s="35" t="str">
        <f t="shared" si="362"/>
        <v>EXP1</v>
      </c>
      <c r="T428" s="58"/>
      <c r="U428" s="58"/>
      <c r="V428" s="58"/>
      <c r="W428" s="58"/>
      <c r="X428" s="58"/>
      <c r="Y428" s="58"/>
      <c r="Z428" s="58"/>
      <c r="AA428" s="95">
        <f t="shared" si="383"/>
        <v>1</v>
      </c>
      <c r="AB428" s="96">
        <f t="shared" si="374"/>
        <v>156.37238067541659</v>
      </c>
      <c r="AC428" s="58"/>
      <c r="AD428" s="58"/>
      <c r="AE428" s="58"/>
      <c r="AF428" s="58"/>
      <c r="AG428" s="58"/>
      <c r="AH428" s="58"/>
      <c r="AI428" s="58"/>
      <c r="AJ428" s="58"/>
      <c r="AK428" s="58"/>
      <c r="AL428" s="58"/>
      <c r="AM428" s="89">
        <f t="shared" si="375"/>
        <v>53</v>
      </c>
      <c r="AN428" s="36">
        <f t="shared" si="384"/>
        <v>35.628</v>
      </c>
      <c r="AO428" s="35">
        <f t="shared" si="385"/>
        <v>2.0617495263637653</v>
      </c>
      <c r="AP428" s="35">
        <f>IF((OR(R428="A",R428="B",R428="C")),INDEX(Coefficients!$S$4:$S$22,MATCH(J428,Coefficients!$R$4:$R$22)),INDEX(Coefficients!$T$4:$T$22,MATCH(J428,Coefficients!$R$4:$R$22)))</f>
        <v>1.3</v>
      </c>
      <c r="AQ428" s="27">
        <f>IF((OR(R428="A",R428="B",R428="C")),INDEX(Coefficients!$S$4:$S$22,MATCH(K428,Coefficients!$R$4:$R$22)),INDEX(Coefficients!$T$4:$T$22,MATCH(K428,Coefficients!$R$4:$R$22)))</f>
        <v>25</v>
      </c>
      <c r="AR428" s="27">
        <f>IF(OR(R428="A",R428="B",R428="C",R428="D"),IF(AN428&gt;=11,IF(AN428&gt;=26,Coefficients!$M$6,Coefficients!$M$5),Coefficients!$M$4),IF(AN428&gt;=11,IF(AN428&gt;=26,Coefficients!$N$6,Coefficients!$N$5),Coefficients!$N$4))</f>
        <v>1</v>
      </c>
      <c r="AS428" s="27">
        <f>INDEX(Coefficients!$X$3:$X$4,MATCH(S428,Coefficients!$W$3:$W$4))</f>
        <v>1</v>
      </c>
      <c r="AT428" s="27">
        <f>INDEX(Coefficients!$X$7:$X$8,MATCH(O428,Coefficients!$W$7:$W$8))</f>
        <v>1</v>
      </c>
      <c r="AU428" s="27">
        <f>INDEX(Coefficients!$X$11:$X$12,MATCH(P428,Coefficients!$W$11:$W$12))</f>
        <v>1</v>
      </c>
      <c r="AV428" s="27">
        <f>INDEX(Coefficients!$X$15:$X$17,MATCH(Q428,Coefficients!$W$15:$W$17))</f>
        <v>1</v>
      </c>
      <c r="AW428" s="27">
        <f t="shared" si="376"/>
        <v>1</v>
      </c>
      <c r="AX428" s="27">
        <f t="shared" si="377"/>
        <v>1</v>
      </c>
      <c r="AY428" s="27">
        <f t="shared" si="378"/>
        <v>1.3</v>
      </c>
      <c r="AZ428" s="35">
        <f t="shared" si="379"/>
        <v>51.543738159094133</v>
      </c>
      <c r="BA428" s="35">
        <f t="shared" si="380"/>
        <v>0</v>
      </c>
      <c r="BB428" s="35">
        <f t="shared" si="381"/>
        <v>2.6802743842728951</v>
      </c>
      <c r="BC428" s="35">
        <f t="shared" si="382"/>
        <v>1.7319725615727104</v>
      </c>
      <c r="BD428" s="35">
        <f t="shared" si="386"/>
        <v>0.38801997515718201</v>
      </c>
      <c r="BE428" s="16">
        <f t="shared" si="387"/>
        <v>156.37238067541659</v>
      </c>
      <c r="BF428" s="16">
        <f t="shared" si="388"/>
        <v>87.255238649166813</v>
      </c>
      <c r="BG428" s="25">
        <f t="shared" si="389"/>
        <v>1</v>
      </c>
      <c r="BH428" s="35">
        <f t="shared" si="390"/>
        <v>344.01923748591651</v>
      </c>
      <c r="BI428" s="35">
        <f t="shared" si="391"/>
        <v>-288.03847497183301</v>
      </c>
      <c r="BJ428" s="35">
        <f t="shared" si="392"/>
        <v>31.967682933436198</v>
      </c>
    </row>
    <row r="429" spans="2:62">
      <c r="B429" s="35" t="s">
        <v>133</v>
      </c>
      <c r="C429" s="85" t="str">
        <f>'Hotter&amp;Drier'!$B$1</f>
        <v>CSIRO Mk3.5</v>
      </c>
      <c r="D429" s="89">
        <v>2059</v>
      </c>
      <c r="E429" s="57">
        <f>'Cooler&amp;Wetter'!AA87</f>
        <v>35.631500000000003</v>
      </c>
      <c r="F429" s="90">
        <f>'Hotter&amp;Drier'!AD87</f>
        <v>23.308999999999997</v>
      </c>
      <c r="G429" s="35">
        <f t="shared" si="372"/>
        <v>2005</v>
      </c>
      <c r="H429" s="91" t="str">
        <f t="shared" si="352"/>
        <v>Pile 32 @ Berth 201</v>
      </c>
      <c r="I429" s="35" t="str">
        <f t="shared" si="353"/>
        <v>Turpentine Gum</v>
      </c>
      <c r="J429" s="35" t="str">
        <f t="shared" si="354"/>
        <v>HW1</v>
      </c>
      <c r="K429" s="35" t="str">
        <f t="shared" si="373"/>
        <v>SPHU</v>
      </c>
      <c r="L429" s="35">
        <f t="shared" si="355"/>
        <v>400</v>
      </c>
      <c r="M429" s="35">
        <f t="shared" si="356"/>
        <v>20</v>
      </c>
      <c r="N429" s="35">
        <f t="shared" si="357"/>
        <v>200</v>
      </c>
      <c r="O429" s="35" t="str">
        <f t="shared" si="358"/>
        <v>MTN2</v>
      </c>
      <c r="P429" s="35" t="str">
        <f t="shared" si="359"/>
        <v>CNT2</v>
      </c>
      <c r="Q429" s="35" t="str">
        <f t="shared" si="360"/>
        <v>KNT3</v>
      </c>
      <c r="R429" s="35" t="str">
        <f t="shared" si="361"/>
        <v>E</v>
      </c>
      <c r="S429" s="35" t="str">
        <f t="shared" si="362"/>
        <v>EXP1</v>
      </c>
      <c r="T429" s="58"/>
      <c r="U429" s="58"/>
      <c r="V429" s="58"/>
      <c r="W429" s="58"/>
      <c r="X429" s="58"/>
      <c r="Y429" s="58"/>
      <c r="Z429" s="58"/>
      <c r="AA429" s="95">
        <f t="shared" si="383"/>
        <v>1</v>
      </c>
      <c r="AB429" s="96">
        <f t="shared" si="374"/>
        <v>159.6212802604939</v>
      </c>
      <c r="AC429" s="58"/>
      <c r="AD429" s="58"/>
      <c r="AE429" s="58"/>
      <c r="AF429" s="58"/>
      <c r="AG429" s="58"/>
      <c r="AH429" s="58"/>
      <c r="AI429" s="58"/>
      <c r="AJ429" s="58"/>
      <c r="AK429" s="58"/>
      <c r="AL429" s="58"/>
      <c r="AM429" s="89">
        <f t="shared" si="375"/>
        <v>54</v>
      </c>
      <c r="AN429" s="36">
        <f t="shared" si="384"/>
        <v>35.631500000000003</v>
      </c>
      <c r="AO429" s="35">
        <f t="shared" si="385"/>
        <v>2.0700751418021652</v>
      </c>
      <c r="AP429" s="35">
        <f>IF((OR(R429="A",R429="B",R429="C")),INDEX(Coefficients!$S$4:$S$22,MATCH(J429,Coefficients!$R$4:$R$22)),INDEX(Coefficients!$T$4:$T$22,MATCH(J429,Coefficients!$R$4:$R$22)))</f>
        <v>1.3</v>
      </c>
      <c r="AQ429" s="27">
        <f>IF((OR(R429="A",R429="B",R429="C")),INDEX(Coefficients!$S$4:$S$22,MATCH(K429,Coefficients!$R$4:$R$22)),INDEX(Coefficients!$T$4:$T$22,MATCH(K429,Coefficients!$R$4:$R$22)))</f>
        <v>25</v>
      </c>
      <c r="AR429" s="27">
        <f>IF(OR(R429="A",R429="B",R429="C",R429="D"),IF(AN429&gt;=11,IF(AN429&gt;=26,Coefficients!$M$6,Coefficients!$M$5),Coefficients!$M$4),IF(AN429&gt;=11,IF(AN429&gt;=26,Coefficients!$N$6,Coefficients!$N$5),Coefficients!$N$4))</f>
        <v>1</v>
      </c>
      <c r="AS429" s="27">
        <f>INDEX(Coefficients!$X$3:$X$4,MATCH(S429,Coefficients!$W$3:$W$4))</f>
        <v>1</v>
      </c>
      <c r="AT429" s="27">
        <f>INDEX(Coefficients!$X$7:$X$8,MATCH(O429,Coefficients!$W$7:$W$8))</f>
        <v>1</v>
      </c>
      <c r="AU429" s="27">
        <f>INDEX(Coefficients!$X$11:$X$12,MATCH(P429,Coefficients!$W$11:$W$12))</f>
        <v>1</v>
      </c>
      <c r="AV429" s="27">
        <f>INDEX(Coefficients!$X$15:$X$17,MATCH(Q429,Coefficients!$W$15:$W$17))</f>
        <v>1</v>
      </c>
      <c r="AW429" s="27">
        <f t="shared" si="376"/>
        <v>1</v>
      </c>
      <c r="AX429" s="27">
        <f t="shared" si="377"/>
        <v>1</v>
      </c>
      <c r="AY429" s="27">
        <f t="shared" si="378"/>
        <v>1.3</v>
      </c>
      <c r="AZ429" s="35">
        <f t="shared" si="379"/>
        <v>51.751878545054133</v>
      </c>
      <c r="BA429" s="35">
        <f t="shared" si="380"/>
        <v>0</v>
      </c>
      <c r="BB429" s="35">
        <f t="shared" si="381"/>
        <v>2.6910976843428149</v>
      </c>
      <c r="BC429" s="35">
        <f t="shared" si="382"/>
        <v>1.7308902315657184</v>
      </c>
      <c r="BD429" s="35">
        <f t="shared" si="386"/>
        <v>0.38645940132566214</v>
      </c>
      <c r="BE429" s="16">
        <f t="shared" si="387"/>
        <v>159.6212802604939</v>
      </c>
      <c r="BF429" s="16">
        <f t="shared" si="388"/>
        <v>80.757439479012191</v>
      </c>
      <c r="BG429" s="25">
        <f t="shared" si="389"/>
        <v>1</v>
      </c>
      <c r="BH429" s="35">
        <f t="shared" si="390"/>
        <v>351.16681657308663</v>
      </c>
      <c r="BI429" s="35">
        <f t="shared" si="391"/>
        <v>-302.33363314617327</v>
      </c>
      <c r="BJ429" s="35">
        <f t="shared" si="392"/>
        <v>31.844995888711548</v>
      </c>
    </row>
    <row r="430" spans="2:62">
      <c r="B430" s="35" t="s">
        <v>133</v>
      </c>
      <c r="C430" s="85" t="str">
        <f>'Hotter&amp;Drier'!$B$1</f>
        <v>CSIRO Mk3.5</v>
      </c>
      <c r="D430" s="89">
        <v>2060</v>
      </c>
      <c r="E430" s="57">
        <f>'Cooler&amp;Wetter'!AA88</f>
        <v>35.634999999999998</v>
      </c>
      <c r="F430" s="90">
        <f>'Hotter&amp;Drier'!AD88</f>
        <v>23.34</v>
      </c>
      <c r="G430" s="35">
        <f t="shared" si="372"/>
        <v>2005</v>
      </c>
      <c r="H430" s="91" t="str">
        <f t="shared" si="352"/>
        <v>Pile 32 @ Berth 201</v>
      </c>
      <c r="I430" s="35" t="str">
        <f t="shared" si="353"/>
        <v>Turpentine Gum</v>
      </c>
      <c r="J430" s="35" t="str">
        <f t="shared" si="354"/>
        <v>HW1</v>
      </c>
      <c r="K430" s="35" t="str">
        <f t="shared" si="373"/>
        <v>SPHU</v>
      </c>
      <c r="L430" s="35">
        <f t="shared" si="355"/>
        <v>400</v>
      </c>
      <c r="M430" s="35">
        <f t="shared" si="356"/>
        <v>20</v>
      </c>
      <c r="N430" s="35">
        <f t="shared" si="357"/>
        <v>200</v>
      </c>
      <c r="O430" s="35" t="str">
        <f t="shared" si="358"/>
        <v>MTN2</v>
      </c>
      <c r="P430" s="35" t="str">
        <f t="shared" si="359"/>
        <v>CNT2</v>
      </c>
      <c r="Q430" s="35" t="str">
        <f t="shared" si="360"/>
        <v>KNT3</v>
      </c>
      <c r="R430" s="35" t="str">
        <f t="shared" si="361"/>
        <v>E</v>
      </c>
      <c r="S430" s="35" t="str">
        <f t="shared" si="362"/>
        <v>EXP1</v>
      </c>
      <c r="T430" s="58"/>
      <c r="U430" s="58"/>
      <c r="V430" s="58"/>
      <c r="W430" s="58"/>
      <c r="X430" s="58"/>
      <c r="Y430" s="58"/>
      <c r="Z430" s="58"/>
      <c r="AA430" s="95">
        <f t="shared" si="383"/>
        <v>1</v>
      </c>
      <c r="AB430" s="96">
        <f t="shared" si="374"/>
        <v>162.89418990574808</v>
      </c>
      <c r="AC430" s="58"/>
      <c r="AD430" s="58"/>
      <c r="AE430" s="58"/>
      <c r="AF430" s="58"/>
      <c r="AG430" s="58"/>
      <c r="AH430" s="58"/>
      <c r="AI430" s="58"/>
      <c r="AJ430" s="58"/>
      <c r="AK430" s="58"/>
      <c r="AL430" s="58"/>
      <c r="AM430" s="89">
        <f t="shared" si="375"/>
        <v>55</v>
      </c>
      <c r="AN430" s="36">
        <f t="shared" si="384"/>
        <v>35.634999999999998</v>
      </c>
      <c r="AO430" s="35">
        <f t="shared" si="385"/>
        <v>2.0784343771694385</v>
      </c>
      <c r="AP430" s="35">
        <f>IF((OR(R430="A",R430="B",R430="C")),INDEX(Coefficients!$S$4:$S$22,MATCH(J430,Coefficients!$R$4:$R$22)),INDEX(Coefficients!$T$4:$T$22,MATCH(J430,Coefficients!$R$4:$R$22)))</f>
        <v>1.3</v>
      </c>
      <c r="AQ430" s="27">
        <f>IF((OR(R430="A",R430="B",R430="C")),INDEX(Coefficients!$S$4:$S$22,MATCH(K430,Coefficients!$R$4:$R$22)),INDEX(Coefficients!$T$4:$T$22,MATCH(K430,Coefficients!$R$4:$R$22)))</f>
        <v>25</v>
      </c>
      <c r="AR430" s="27">
        <f>IF(OR(R430="A",R430="B",R430="C",R430="D"),IF(AN430&gt;=11,IF(AN430&gt;=26,Coefficients!$M$6,Coefficients!$M$5),Coefficients!$M$4),IF(AN430&gt;=11,IF(AN430&gt;=26,Coefficients!$N$6,Coefficients!$N$5),Coefficients!$N$4))</f>
        <v>1</v>
      </c>
      <c r="AS430" s="27">
        <f>INDEX(Coefficients!$X$3:$X$4,MATCH(S430,Coefficients!$W$3:$W$4))</f>
        <v>1</v>
      </c>
      <c r="AT430" s="27">
        <f>INDEX(Coefficients!$X$7:$X$8,MATCH(O430,Coefficients!$W$7:$W$8))</f>
        <v>1</v>
      </c>
      <c r="AU430" s="27">
        <f>INDEX(Coefficients!$X$11:$X$12,MATCH(P430,Coefficients!$W$11:$W$12))</f>
        <v>1</v>
      </c>
      <c r="AV430" s="27">
        <f>INDEX(Coefficients!$X$15:$X$17,MATCH(Q430,Coefficients!$W$15:$W$17))</f>
        <v>1</v>
      </c>
      <c r="AW430" s="27">
        <f t="shared" si="376"/>
        <v>1</v>
      </c>
      <c r="AX430" s="27">
        <f t="shared" si="377"/>
        <v>1</v>
      </c>
      <c r="AY430" s="27">
        <f t="shared" si="378"/>
        <v>1.3</v>
      </c>
      <c r="AZ430" s="35">
        <f t="shared" si="379"/>
        <v>51.96085942923596</v>
      </c>
      <c r="BA430" s="35">
        <f t="shared" si="380"/>
        <v>0</v>
      </c>
      <c r="BB430" s="35">
        <f t="shared" si="381"/>
        <v>2.7019646903202701</v>
      </c>
      <c r="BC430" s="35">
        <f t="shared" si="382"/>
        <v>1.7298035309679729</v>
      </c>
      <c r="BD430" s="35">
        <f t="shared" si="386"/>
        <v>0.3849051039511277</v>
      </c>
      <c r="BE430" s="16">
        <f t="shared" si="387"/>
        <v>162.89418990574808</v>
      </c>
      <c r="BF430" s="16">
        <f t="shared" si="388"/>
        <v>74.211620188503844</v>
      </c>
      <c r="BG430" s="25">
        <f t="shared" si="389"/>
        <v>1</v>
      </c>
      <c r="BH430" s="35">
        <f t="shared" si="390"/>
        <v>358.36721779264582</v>
      </c>
      <c r="BI430" s="35">
        <f t="shared" si="391"/>
        <v>-316.73443558529164</v>
      </c>
      <c r="BJ430" s="35">
        <f t="shared" si="392"/>
        <v>31.722793554236613</v>
      </c>
    </row>
    <row r="431" spans="2:62">
      <c r="B431" s="35" t="s">
        <v>133</v>
      </c>
      <c r="C431" s="85" t="str">
        <f>'Hotter&amp;Drier'!$B$1</f>
        <v>CSIRO Mk3.5</v>
      </c>
      <c r="D431" s="89">
        <v>2061</v>
      </c>
      <c r="E431" s="57">
        <f>'Cooler&amp;Wetter'!AA89</f>
        <v>35.638500000000001</v>
      </c>
      <c r="F431" s="90">
        <f>'Hotter&amp;Drier'!AD89</f>
        <v>23.370999999999999</v>
      </c>
      <c r="G431" s="35">
        <f t="shared" si="372"/>
        <v>2005</v>
      </c>
      <c r="H431" s="91" t="str">
        <f t="shared" si="352"/>
        <v>Pile 32 @ Berth 201</v>
      </c>
      <c r="I431" s="35" t="str">
        <f t="shared" si="353"/>
        <v>Turpentine Gum</v>
      </c>
      <c r="J431" s="35" t="str">
        <f t="shared" si="354"/>
        <v>HW1</v>
      </c>
      <c r="K431" s="35" t="str">
        <f t="shared" si="373"/>
        <v>SPHU</v>
      </c>
      <c r="L431" s="35">
        <f t="shared" si="355"/>
        <v>400</v>
      </c>
      <c r="M431" s="35">
        <f t="shared" si="356"/>
        <v>20</v>
      </c>
      <c r="N431" s="35">
        <f t="shared" si="357"/>
        <v>200</v>
      </c>
      <c r="O431" s="35" t="str">
        <f t="shared" si="358"/>
        <v>MTN2</v>
      </c>
      <c r="P431" s="35" t="str">
        <f t="shared" si="359"/>
        <v>CNT2</v>
      </c>
      <c r="Q431" s="35" t="str">
        <f t="shared" si="360"/>
        <v>KNT3</v>
      </c>
      <c r="R431" s="35" t="str">
        <f t="shared" si="361"/>
        <v>E</v>
      </c>
      <c r="S431" s="35" t="str">
        <f t="shared" si="362"/>
        <v>EXP1</v>
      </c>
      <c r="T431" s="58"/>
      <c r="U431" s="58"/>
      <c r="V431" s="58"/>
      <c r="W431" s="58"/>
      <c r="X431" s="58"/>
      <c r="Y431" s="58"/>
      <c r="Z431" s="58"/>
      <c r="AA431" s="95">
        <f t="shared" si="383"/>
        <v>1</v>
      </c>
      <c r="AB431" s="96">
        <f t="shared" si="374"/>
        <v>166.19125064010268</v>
      </c>
      <c r="AC431" s="58"/>
      <c r="AD431" s="58"/>
      <c r="AE431" s="58"/>
      <c r="AF431" s="58"/>
      <c r="AG431" s="58"/>
      <c r="AH431" s="58"/>
      <c r="AI431" s="58"/>
      <c r="AJ431" s="58"/>
      <c r="AK431" s="58"/>
      <c r="AL431" s="58"/>
      <c r="AM431" s="89">
        <f t="shared" si="375"/>
        <v>56</v>
      </c>
      <c r="AN431" s="36">
        <f t="shared" si="384"/>
        <v>35.638500000000001</v>
      </c>
      <c r="AO431" s="35">
        <f t="shared" si="385"/>
        <v>2.0868273682272713</v>
      </c>
      <c r="AP431" s="35">
        <f>IF((OR(R431="A",R431="B",R431="C")),INDEX(Coefficients!$S$4:$S$22,MATCH(J431,Coefficients!$R$4:$R$22)),INDEX(Coefficients!$T$4:$T$22,MATCH(J431,Coefficients!$R$4:$R$22)))</f>
        <v>1.3</v>
      </c>
      <c r="AQ431" s="27">
        <f>IF((OR(R431="A",R431="B",R431="C")),INDEX(Coefficients!$S$4:$S$22,MATCH(K431,Coefficients!$R$4:$R$22)),INDEX(Coefficients!$T$4:$T$22,MATCH(K431,Coefficients!$R$4:$R$22)))</f>
        <v>25</v>
      </c>
      <c r="AR431" s="27">
        <f>IF(OR(R431="A",R431="B",R431="C",R431="D"),IF(AN431&gt;=11,IF(AN431&gt;=26,Coefficients!$M$6,Coefficients!$M$5),Coefficients!$M$4),IF(AN431&gt;=11,IF(AN431&gt;=26,Coefficients!$N$6,Coefficients!$N$5),Coefficients!$N$4))</f>
        <v>1</v>
      </c>
      <c r="AS431" s="27">
        <f>INDEX(Coefficients!$X$3:$X$4,MATCH(S431,Coefficients!$W$3:$W$4))</f>
        <v>1</v>
      </c>
      <c r="AT431" s="27">
        <f>INDEX(Coefficients!$X$7:$X$8,MATCH(O431,Coefficients!$W$7:$W$8))</f>
        <v>1</v>
      </c>
      <c r="AU431" s="27">
        <f>INDEX(Coefficients!$X$11:$X$12,MATCH(P431,Coefficients!$W$11:$W$12))</f>
        <v>1</v>
      </c>
      <c r="AV431" s="27">
        <f>INDEX(Coefficients!$X$15:$X$17,MATCH(Q431,Coefficients!$W$15:$W$17))</f>
        <v>1</v>
      </c>
      <c r="AW431" s="27">
        <f t="shared" si="376"/>
        <v>1</v>
      </c>
      <c r="AX431" s="27">
        <f t="shared" si="377"/>
        <v>1</v>
      </c>
      <c r="AY431" s="27">
        <f t="shared" si="378"/>
        <v>1.3</v>
      </c>
      <c r="AZ431" s="35">
        <f t="shared" si="379"/>
        <v>52.170684205681781</v>
      </c>
      <c r="BA431" s="35">
        <f t="shared" si="380"/>
        <v>0</v>
      </c>
      <c r="BB431" s="35">
        <f t="shared" si="381"/>
        <v>2.7128755786954528</v>
      </c>
      <c r="BC431" s="35">
        <f t="shared" si="382"/>
        <v>1.7287124421304547</v>
      </c>
      <c r="BD431" s="35">
        <f t="shared" si="386"/>
        <v>0.38335705779035673</v>
      </c>
      <c r="BE431" s="16">
        <f t="shared" si="387"/>
        <v>166.19125064010268</v>
      </c>
      <c r="BF431" s="16">
        <f t="shared" si="388"/>
        <v>67.617498719794639</v>
      </c>
      <c r="BG431" s="25">
        <f t="shared" si="389"/>
        <v>1</v>
      </c>
      <c r="BH431" s="35">
        <f t="shared" si="390"/>
        <v>365.62075140822594</v>
      </c>
      <c r="BI431" s="35">
        <f t="shared" si="391"/>
        <v>-331.24150281645188</v>
      </c>
      <c r="BJ431" s="35">
        <f t="shared" si="392"/>
        <v>31.60107394533286</v>
      </c>
    </row>
    <row r="432" spans="2:62">
      <c r="B432" s="35" t="s">
        <v>133</v>
      </c>
      <c r="C432" s="85" t="str">
        <f>'Hotter&amp;Drier'!$B$1</f>
        <v>CSIRO Mk3.5</v>
      </c>
      <c r="D432" s="89">
        <v>2062</v>
      </c>
      <c r="E432" s="57">
        <f>'Cooler&amp;Wetter'!AA90</f>
        <v>35.642000000000003</v>
      </c>
      <c r="F432" s="90">
        <f>'Hotter&amp;Drier'!AD90</f>
        <v>23.401999999999997</v>
      </c>
      <c r="G432" s="35">
        <f t="shared" si="372"/>
        <v>2005</v>
      </c>
      <c r="H432" s="91" t="str">
        <f t="shared" si="352"/>
        <v>Pile 32 @ Berth 201</v>
      </c>
      <c r="I432" s="35" t="str">
        <f t="shared" si="353"/>
        <v>Turpentine Gum</v>
      </c>
      <c r="J432" s="35" t="str">
        <f t="shared" si="354"/>
        <v>HW1</v>
      </c>
      <c r="K432" s="35" t="str">
        <f t="shared" si="373"/>
        <v>SPHU</v>
      </c>
      <c r="L432" s="35">
        <f t="shared" si="355"/>
        <v>400</v>
      </c>
      <c r="M432" s="35">
        <f t="shared" si="356"/>
        <v>20</v>
      </c>
      <c r="N432" s="35">
        <f t="shared" si="357"/>
        <v>200</v>
      </c>
      <c r="O432" s="35" t="str">
        <f t="shared" si="358"/>
        <v>MTN2</v>
      </c>
      <c r="P432" s="35" t="str">
        <f t="shared" si="359"/>
        <v>CNT2</v>
      </c>
      <c r="Q432" s="35" t="str">
        <f t="shared" si="360"/>
        <v>KNT3</v>
      </c>
      <c r="R432" s="35" t="str">
        <f t="shared" si="361"/>
        <v>E</v>
      </c>
      <c r="S432" s="35" t="str">
        <f t="shared" si="362"/>
        <v>EXP1</v>
      </c>
      <c r="T432" s="58"/>
      <c r="U432" s="58"/>
      <c r="V432" s="58"/>
      <c r="W432" s="58"/>
      <c r="X432" s="58"/>
      <c r="Y432" s="58"/>
      <c r="Z432" s="58"/>
      <c r="AA432" s="95">
        <f t="shared" si="383"/>
        <v>1</v>
      </c>
      <c r="AB432" s="96">
        <f t="shared" si="374"/>
        <v>169.51260424072149</v>
      </c>
      <c r="AC432" s="58"/>
      <c r="AD432" s="58"/>
      <c r="AE432" s="58"/>
      <c r="AF432" s="58"/>
      <c r="AG432" s="58"/>
      <c r="AH432" s="58"/>
      <c r="AI432" s="58"/>
      <c r="AJ432" s="58"/>
      <c r="AK432" s="58"/>
      <c r="AL432" s="58"/>
      <c r="AM432" s="89">
        <f t="shared" si="375"/>
        <v>57</v>
      </c>
      <c r="AN432" s="36">
        <f t="shared" si="384"/>
        <v>35.642000000000003</v>
      </c>
      <c r="AO432" s="35">
        <f t="shared" si="385"/>
        <v>2.0952542512855787</v>
      </c>
      <c r="AP432" s="35">
        <f>IF((OR(R432="A",R432="B",R432="C")),INDEX(Coefficients!$S$4:$S$22,MATCH(J432,Coefficients!$R$4:$R$22)),INDEX(Coefficients!$T$4:$T$22,MATCH(J432,Coefficients!$R$4:$R$22)))</f>
        <v>1.3</v>
      </c>
      <c r="AQ432" s="27">
        <f>IF((OR(R432="A",R432="B",R432="C")),INDEX(Coefficients!$S$4:$S$22,MATCH(K432,Coefficients!$R$4:$R$22)),INDEX(Coefficients!$T$4:$T$22,MATCH(K432,Coefficients!$R$4:$R$22)))</f>
        <v>25</v>
      </c>
      <c r="AR432" s="27">
        <f>IF(OR(R432="A",R432="B",R432="C",R432="D"),IF(AN432&gt;=11,IF(AN432&gt;=26,Coefficients!$M$6,Coefficients!$M$5),Coefficients!$M$4),IF(AN432&gt;=11,IF(AN432&gt;=26,Coefficients!$N$6,Coefficients!$N$5),Coefficients!$N$4))</f>
        <v>1</v>
      </c>
      <c r="AS432" s="27">
        <f>INDEX(Coefficients!$X$3:$X$4,MATCH(S432,Coefficients!$W$3:$W$4))</f>
        <v>1</v>
      </c>
      <c r="AT432" s="27">
        <f>INDEX(Coefficients!$X$7:$X$8,MATCH(O432,Coefficients!$W$7:$W$8))</f>
        <v>1</v>
      </c>
      <c r="AU432" s="27">
        <f>INDEX(Coefficients!$X$11:$X$12,MATCH(P432,Coefficients!$W$11:$W$12))</f>
        <v>1</v>
      </c>
      <c r="AV432" s="27">
        <f>INDEX(Coefficients!$X$15:$X$17,MATCH(Q432,Coefficients!$W$15:$W$17))</f>
        <v>1</v>
      </c>
      <c r="AW432" s="27">
        <f t="shared" si="376"/>
        <v>1</v>
      </c>
      <c r="AX432" s="27">
        <f t="shared" si="377"/>
        <v>1</v>
      </c>
      <c r="AY432" s="27">
        <f t="shared" si="378"/>
        <v>1.3</v>
      </c>
      <c r="AZ432" s="35">
        <f t="shared" si="379"/>
        <v>52.381356282139471</v>
      </c>
      <c r="BA432" s="35">
        <f t="shared" si="380"/>
        <v>0</v>
      </c>
      <c r="BB432" s="35">
        <f t="shared" si="381"/>
        <v>2.7238305266712524</v>
      </c>
      <c r="BC432" s="35">
        <f t="shared" si="382"/>
        <v>1.7276169473328746</v>
      </c>
      <c r="BD432" s="35">
        <f t="shared" si="386"/>
        <v>0.38181523770165193</v>
      </c>
      <c r="BE432" s="16">
        <f t="shared" si="387"/>
        <v>169.51260424072149</v>
      </c>
      <c r="BF432" s="16">
        <f t="shared" si="388"/>
        <v>60.974791518557026</v>
      </c>
      <c r="BG432" s="25">
        <f t="shared" si="389"/>
        <v>1</v>
      </c>
      <c r="BH432" s="35">
        <f t="shared" si="390"/>
        <v>372.92772932958729</v>
      </c>
      <c r="BI432" s="35">
        <f t="shared" si="391"/>
        <v>-345.85545865917459</v>
      </c>
      <c r="BJ432" s="35">
        <f t="shared" si="392"/>
        <v>31.479835085161596</v>
      </c>
    </row>
    <row r="433" spans="1:62">
      <c r="B433" s="35" t="s">
        <v>133</v>
      </c>
      <c r="C433" s="85" t="str">
        <f>'Hotter&amp;Drier'!$B$1</f>
        <v>CSIRO Mk3.5</v>
      </c>
      <c r="D433" s="89">
        <v>2063</v>
      </c>
      <c r="E433" s="57">
        <f>'Cooler&amp;Wetter'!AA91</f>
        <v>35.645499999999998</v>
      </c>
      <c r="F433" s="90">
        <f>'Hotter&amp;Drier'!AD91</f>
        <v>23.433</v>
      </c>
      <c r="G433" s="35">
        <f t="shared" si="372"/>
        <v>2005</v>
      </c>
      <c r="H433" s="91" t="str">
        <f t="shared" si="352"/>
        <v>Pile 32 @ Berth 201</v>
      </c>
      <c r="I433" s="35" t="str">
        <f t="shared" si="353"/>
        <v>Turpentine Gum</v>
      </c>
      <c r="J433" s="35" t="str">
        <f t="shared" si="354"/>
        <v>HW1</v>
      </c>
      <c r="K433" s="35" t="str">
        <f t="shared" si="373"/>
        <v>SPHU</v>
      </c>
      <c r="L433" s="35">
        <f t="shared" si="355"/>
        <v>400</v>
      </c>
      <c r="M433" s="35">
        <f t="shared" si="356"/>
        <v>20</v>
      </c>
      <c r="N433" s="35">
        <f t="shared" si="357"/>
        <v>200</v>
      </c>
      <c r="O433" s="35" t="str">
        <f t="shared" si="358"/>
        <v>MTN2</v>
      </c>
      <c r="P433" s="35" t="str">
        <f t="shared" si="359"/>
        <v>CNT2</v>
      </c>
      <c r="Q433" s="35" t="str">
        <f t="shared" si="360"/>
        <v>KNT3</v>
      </c>
      <c r="R433" s="35" t="str">
        <f t="shared" si="361"/>
        <v>E</v>
      </c>
      <c r="S433" s="35" t="str">
        <f t="shared" si="362"/>
        <v>EXP1</v>
      </c>
      <c r="T433" s="58"/>
      <c r="U433" s="58"/>
      <c r="V433" s="58"/>
      <c r="W433" s="58"/>
      <c r="X433" s="58"/>
      <c r="Y433" s="58"/>
      <c r="Z433" s="58"/>
      <c r="AA433" s="95">
        <f t="shared" si="383"/>
        <v>1</v>
      </c>
      <c r="AB433" s="96">
        <f t="shared" si="374"/>
        <v>172.85839323675762</v>
      </c>
      <c r="AC433" s="58"/>
      <c r="AD433" s="58"/>
      <c r="AE433" s="58"/>
      <c r="AF433" s="58"/>
      <c r="AG433" s="58"/>
      <c r="AH433" s="58"/>
      <c r="AI433" s="58"/>
      <c r="AJ433" s="58"/>
      <c r="AK433" s="58"/>
      <c r="AL433" s="58"/>
      <c r="AM433" s="89">
        <f t="shared" si="375"/>
        <v>58</v>
      </c>
      <c r="AN433" s="36">
        <f t="shared" si="384"/>
        <v>35.645499999999998</v>
      </c>
      <c r="AO433" s="35">
        <f t="shared" si="385"/>
        <v>2.1037151632047113</v>
      </c>
      <c r="AP433" s="35">
        <f>IF((OR(R433="A",R433="B",R433="C")),INDEX(Coefficients!$S$4:$S$22,MATCH(J433,Coefficients!$R$4:$R$22)),INDEX(Coefficients!$T$4:$T$22,MATCH(J433,Coefficients!$R$4:$R$22)))</f>
        <v>1.3</v>
      </c>
      <c r="AQ433" s="27">
        <f>IF((OR(R433="A",R433="B",R433="C")),INDEX(Coefficients!$S$4:$S$22,MATCH(K433,Coefficients!$R$4:$R$22)),INDEX(Coefficients!$T$4:$T$22,MATCH(K433,Coefficients!$R$4:$R$22)))</f>
        <v>25</v>
      </c>
      <c r="AR433" s="27">
        <f>IF(OR(R433="A",R433="B",R433="C",R433="D"),IF(AN433&gt;=11,IF(AN433&gt;=26,Coefficients!$M$6,Coefficients!$M$5),Coefficients!$M$4),IF(AN433&gt;=11,IF(AN433&gt;=26,Coefficients!$N$6,Coefficients!$N$5),Coefficients!$N$4))</f>
        <v>1</v>
      </c>
      <c r="AS433" s="27">
        <f>INDEX(Coefficients!$X$3:$X$4,MATCH(S433,Coefficients!$W$3:$W$4))</f>
        <v>1</v>
      </c>
      <c r="AT433" s="27">
        <f>INDEX(Coefficients!$X$7:$X$8,MATCH(O433,Coefficients!$W$7:$W$8))</f>
        <v>1</v>
      </c>
      <c r="AU433" s="27">
        <f>INDEX(Coefficients!$X$11:$X$12,MATCH(P433,Coefficients!$W$11:$W$12))</f>
        <v>1</v>
      </c>
      <c r="AV433" s="27">
        <f>INDEX(Coefficients!$X$15:$X$17,MATCH(Q433,Coefficients!$W$15:$W$17))</f>
        <v>1</v>
      </c>
      <c r="AW433" s="27">
        <f t="shared" si="376"/>
        <v>1</v>
      </c>
      <c r="AX433" s="27">
        <f t="shared" si="377"/>
        <v>1</v>
      </c>
      <c r="AY433" s="27">
        <f t="shared" si="378"/>
        <v>1.3</v>
      </c>
      <c r="AZ433" s="35">
        <f t="shared" si="379"/>
        <v>52.592879080117783</v>
      </c>
      <c r="BA433" s="35">
        <f t="shared" si="380"/>
        <v>0</v>
      </c>
      <c r="BB433" s="35">
        <f t="shared" si="381"/>
        <v>2.7348297121661247</v>
      </c>
      <c r="BC433" s="35">
        <f t="shared" si="382"/>
        <v>1.7265170287833875</v>
      </c>
      <c r="BD433" s="35">
        <f t="shared" si="386"/>
        <v>0.3802796186444336</v>
      </c>
      <c r="BE433" s="16">
        <f t="shared" si="387"/>
        <v>172.85839323675762</v>
      </c>
      <c r="BF433" s="16">
        <f t="shared" si="388"/>
        <v>54.283213526484758</v>
      </c>
      <c r="BG433" s="25">
        <f t="shared" si="389"/>
        <v>1</v>
      </c>
      <c r="BH433" s="35">
        <f t="shared" si="390"/>
        <v>380.28846512086682</v>
      </c>
      <c r="BI433" s="35">
        <f t="shared" si="391"/>
        <v>-360.57693024173363</v>
      </c>
      <c r="BJ433" s="35">
        <f t="shared" si="392"/>
        <v>31.359075004691945</v>
      </c>
    </row>
    <row r="434" spans="1:62">
      <c r="B434" s="35" t="s">
        <v>133</v>
      </c>
      <c r="C434" s="85" t="str">
        <f>'Hotter&amp;Drier'!$B$1</f>
        <v>CSIRO Mk3.5</v>
      </c>
      <c r="D434" s="89">
        <v>2064</v>
      </c>
      <c r="E434" s="57">
        <f>'Cooler&amp;Wetter'!AA92</f>
        <v>35.649000000000001</v>
      </c>
      <c r="F434" s="90">
        <f>'Hotter&amp;Drier'!AD92</f>
        <v>23.463999999999999</v>
      </c>
      <c r="G434" s="35">
        <f t="shared" si="372"/>
        <v>2005</v>
      </c>
      <c r="H434" s="91" t="str">
        <f t="shared" ref="H434:H440" si="393">$H$10</f>
        <v>Pile 32 @ Berth 201</v>
      </c>
      <c r="I434" s="35" t="str">
        <f t="shared" ref="I434:I440" si="394">$I$10</f>
        <v>Turpentine Gum</v>
      </c>
      <c r="J434" s="35" t="str">
        <f t="shared" ref="J434:J440" si="395">$J$10</f>
        <v>HW1</v>
      </c>
      <c r="K434" s="35" t="str">
        <f t="shared" si="373"/>
        <v>SPHU</v>
      </c>
      <c r="L434" s="35">
        <f t="shared" ref="L434:L440" si="396">$L$10</f>
        <v>400</v>
      </c>
      <c r="M434" s="35">
        <f t="shared" ref="M434:M440" si="397">$M$10</f>
        <v>20</v>
      </c>
      <c r="N434" s="35">
        <f t="shared" ref="N434:N440" si="398">$N$10</f>
        <v>200</v>
      </c>
      <c r="O434" s="35" t="str">
        <f t="shared" ref="O434:O440" si="399">$O$10</f>
        <v>MTN2</v>
      </c>
      <c r="P434" s="35" t="str">
        <f t="shared" ref="P434:P440" si="400">$P$10</f>
        <v>CNT2</v>
      </c>
      <c r="Q434" s="35" t="str">
        <f t="shared" ref="Q434:Q440" si="401">$Q$10</f>
        <v>KNT3</v>
      </c>
      <c r="R434" s="35" t="str">
        <f t="shared" ref="R434:R440" si="402">$R$10</f>
        <v>E</v>
      </c>
      <c r="S434" s="35" t="str">
        <f t="shared" ref="S434:S440" si="403">$S$10</f>
        <v>EXP1</v>
      </c>
      <c r="T434" s="58"/>
      <c r="U434" s="58"/>
      <c r="V434" s="58"/>
      <c r="W434" s="58"/>
      <c r="X434" s="58"/>
      <c r="Y434" s="58"/>
      <c r="Z434" s="58"/>
      <c r="AA434" s="95">
        <f t="shared" si="383"/>
        <v>1</v>
      </c>
      <c r="AB434" s="96">
        <f t="shared" si="374"/>
        <v>176.22876091312125</v>
      </c>
      <c r="AC434" s="58"/>
      <c r="AD434" s="58"/>
      <c r="AE434" s="58"/>
      <c r="AF434" s="58"/>
      <c r="AG434" s="58"/>
      <c r="AH434" s="58"/>
      <c r="AI434" s="58"/>
      <c r="AJ434" s="58"/>
      <c r="AK434" s="58"/>
      <c r="AL434" s="58"/>
      <c r="AM434" s="89">
        <f t="shared" si="375"/>
        <v>59</v>
      </c>
      <c r="AN434" s="36">
        <f t="shared" ref="AN434:AN440" si="404">E434</f>
        <v>35.649000000000001</v>
      </c>
      <c r="AO434" s="35">
        <f t="shared" ref="AO434:AO440" si="405">0.1*EXP(0.13*F434)</f>
        <v>2.1122102413976793</v>
      </c>
      <c r="AP434" s="35">
        <f>IF((OR(R434="A",R434="B",R434="C")),INDEX(Coefficients!$S$4:$S$22,MATCH(J434,Coefficients!$R$4:$R$22)),INDEX(Coefficients!$T$4:$T$22,MATCH(J434,Coefficients!$R$4:$R$22)))</f>
        <v>1.3</v>
      </c>
      <c r="AQ434" s="27">
        <f>IF((OR(R434="A",R434="B",R434="C")),INDEX(Coefficients!$S$4:$S$22,MATCH(K434,Coefficients!$R$4:$R$22)),INDEX(Coefficients!$T$4:$T$22,MATCH(K434,Coefficients!$R$4:$R$22)))</f>
        <v>25</v>
      </c>
      <c r="AR434" s="27">
        <f>IF(OR(R434="A",R434="B",R434="C",R434="D"),IF(AN434&gt;=11,IF(AN434&gt;=26,Coefficients!$M$6,Coefficients!$M$5),Coefficients!$M$4),IF(AN434&gt;=11,IF(AN434&gt;=26,Coefficients!$N$6,Coefficients!$N$5),Coefficients!$N$4))</f>
        <v>1</v>
      </c>
      <c r="AS434" s="27">
        <f>INDEX(Coefficients!$X$3:$X$4,MATCH(S434,Coefficients!$W$3:$W$4))</f>
        <v>1</v>
      </c>
      <c r="AT434" s="27">
        <f>INDEX(Coefficients!$X$7:$X$8,MATCH(O434,Coefficients!$W$7:$W$8))</f>
        <v>1</v>
      </c>
      <c r="AU434" s="27">
        <f>INDEX(Coefficients!$X$11:$X$12,MATCH(P434,Coefficients!$W$11:$W$12))</f>
        <v>1</v>
      </c>
      <c r="AV434" s="27">
        <f>INDEX(Coefficients!$X$15:$X$17,MATCH(Q434,Coefficients!$W$15:$W$17))</f>
        <v>1</v>
      </c>
      <c r="AW434" s="27">
        <f t="shared" si="376"/>
        <v>1</v>
      </c>
      <c r="AX434" s="27">
        <f t="shared" si="377"/>
        <v>1</v>
      </c>
      <c r="AY434" s="27">
        <f t="shared" si="378"/>
        <v>1.3</v>
      </c>
      <c r="AZ434" s="35">
        <f t="shared" si="379"/>
        <v>52.805256034941984</v>
      </c>
      <c r="BA434" s="35">
        <f t="shared" si="380"/>
        <v>0</v>
      </c>
      <c r="BB434" s="35">
        <f t="shared" si="381"/>
        <v>2.7458733138169831</v>
      </c>
      <c r="BC434" s="35">
        <f t="shared" si="382"/>
        <v>1.7254126686183016</v>
      </c>
      <c r="BD434" s="35">
        <f t="shared" ref="BD434:BD440" si="406">M434/AZ434+BA434</f>
        <v>0.3787501756788324</v>
      </c>
      <c r="BE434" s="16">
        <f t="shared" ref="BE434:BE440" si="407">IF(AM434&lt;=0,0,IF(AM434&gt;(BD434+BC434),M434+(AM434-BD434-BC434)*BB434,M434))</f>
        <v>176.22876091312125</v>
      </c>
      <c r="BF434" s="16">
        <f t="shared" ref="BF434:BF440" si="408">L434-2*BE434</f>
        <v>47.542478173757502</v>
      </c>
      <c r="BG434" s="25">
        <f t="shared" ref="BG434:BG440" si="409">IF(2*BE434&gt;(L434-N434),1,BE434/((L434-N434)/2))</f>
        <v>1</v>
      </c>
      <c r="BH434" s="35">
        <f t="shared" ref="BH434:BH440" si="410">BE434*(1+$BF$1*$BF$2)</f>
        <v>387.7032740088668</v>
      </c>
      <c r="BI434" s="35">
        <f t="shared" ref="BI434:BI440" si="411">L434-2*BH434</f>
        <v>-375.4065480177336</v>
      </c>
      <c r="BJ434" s="35">
        <f t="shared" ref="BJ434:BJ440" si="412">($BF$3/2-M434)/BB434+BD434+BC434</f>
        <v>31.238791742668855</v>
      </c>
    </row>
    <row r="435" spans="1:62">
      <c r="B435" s="35" t="s">
        <v>133</v>
      </c>
      <c r="C435" s="85" t="str">
        <f>'Hotter&amp;Drier'!$B$1</f>
        <v>CSIRO Mk3.5</v>
      </c>
      <c r="D435" s="89">
        <v>2065</v>
      </c>
      <c r="E435" s="57">
        <f>'Cooler&amp;Wetter'!AA93</f>
        <v>35.652500000000003</v>
      </c>
      <c r="F435" s="90">
        <f>'Hotter&amp;Drier'!AD93</f>
        <v>23.494999999999997</v>
      </c>
      <c r="G435" s="35">
        <f t="shared" ref="G435:G440" si="413">$G$10</f>
        <v>2005</v>
      </c>
      <c r="H435" s="91" t="str">
        <f t="shared" si="393"/>
        <v>Pile 32 @ Berth 201</v>
      </c>
      <c r="I435" s="35" t="str">
        <f t="shared" si="394"/>
        <v>Turpentine Gum</v>
      </c>
      <c r="J435" s="35" t="str">
        <f t="shared" si="395"/>
        <v>HW1</v>
      </c>
      <c r="K435" s="35" t="str">
        <f t="shared" ref="K435:K440" si="414">$K$10</f>
        <v>SPHU</v>
      </c>
      <c r="L435" s="35">
        <f t="shared" si="396"/>
        <v>400</v>
      </c>
      <c r="M435" s="35">
        <f t="shared" si="397"/>
        <v>20</v>
      </c>
      <c r="N435" s="35">
        <f t="shared" si="398"/>
        <v>200</v>
      </c>
      <c r="O435" s="35" t="str">
        <f t="shared" si="399"/>
        <v>MTN2</v>
      </c>
      <c r="P435" s="35" t="str">
        <f t="shared" si="400"/>
        <v>CNT2</v>
      </c>
      <c r="Q435" s="35" t="str">
        <f t="shared" si="401"/>
        <v>KNT3</v>
      </c>
      <c r="R435" s="35" t="str">
        <f t="shared" si="402"/>
        <v>E</v>
      </c>
      <c r="S435" s="35" t="str">
        <f t="shared" si="403"/>
        <v>EXP1</v>
      </c>
      <c r="T435" s="58"/>
      <c r="U435" s="58"/>
      <c r="V435" s="58"/>
      <c r="W435" s="58"/>
      <c r="X435" s="58"/>
      <c r="Y435" s="58"/>
      <c r="Z435" s="58"/>
      <c r="AA435" s="95">
        <f t="shared" si="383"/>
        <v>1</v>
      </c>
      <c r="AB435" s="96">
        <f t="shared" ref="AB435:AB440" si="415">BE435</f>
        <v>179.62385131426535</v>
      </c>
      <c r="AC435" s="58"/>
      <c r="AD435" s="58"/>
      <c r="AE435" s="58"/>
      <c r="AF435" s="58"/>
      <c r="AG435" s="58"/>
      <c r="AH435" s="58"/>
      <c r="AI435" s="58"/>
      <c r="AJ435" s="58"/>
      <c r="AK435" s="58"/>
      <c r="AL435" s="58"/>
      <c r="AM435" s="89">
        <f t="shared" ref="AM435:AM440" si="416">MAX(0,D435-G435)</f>
        <v>60</v>
      </c>
      <c r="AN435" s="36">
        <f t="shared" si="404"/>
        <v>35.652500000000003</v>
      </c>
      <c r="AO435" s="35">
        <f t="shared" si="405"/>
        <v>2.120739623832383</v>
      </c>
      <c r="AP435" s="35">
        <f>IF((OR(R435="A",R435="B",R435="C")),INDEX(Coefficients!$S$4:$S$22,MATCH(J435,Coefficients!$R$4:$R$22)),INDEX(Coefficients!$T$4:$T$22,MATCH(J435,Coefficients!$R$4:$R$22)))</f>
        <v>1.3</v>
      </c>
      <c r="AQ435" s="27">
        <f>IF((OR(R435="A",R435="B",R435="C")),INDEX(Coefficients!$S$4:$S$22,MATCH(K435,Coefficients!$R$4:$R$22)),INDEX(Coefficients!$T$4:$T$22,MATCH(K435,Coefficients!$R$4:$R$22)))</f>
        <v>25</v>
      </c>
      <c r="AR435" s="27">
        <f>IF(OR(R435="A",R435="B",R435="C",R435="D"),IF(AN435&gt;=11,IF(AN435&gt;=26,Coefficients!$M$6,Coefficients!$M$5),Coefficients!$M$4),IF(AN435&gt;=11,IF(AN435&gt;=26,Coefficients!$N$6,Coefficients!$N$5),Coefficients!$N$4))</f>
        <v>1</v>
      </c>
      <c r="AS435" s="27">
        <f>INDEX(Coefficients!$X$3:$X$4,MATCH(S435,Coefficients!$W$3:$W$4))</f>
        <v>1</v>
      </c>
      <c r="AT435" s="27">
        <f>INDEX(Coefficients!$X$7:$X$8,MATCH(O435,Coefficients!$W$7:$W$8))</f>
        <v>1</v>
      </c>
      <c r="AU435" s="27">
        <f>INDEX(Coefficients!$X$11:$X$12,MATCH(P435,Coefficients!$W$11:$W$12))</f>
        <v>1</v>
      </c>
      <c r="AV435" s="27">
        <f>INDEX(Coefficients!$X$15:$X$17,MATCH(Q435,Coefficients!$W$15:$W$17))</f>
        <v>1</v>
      </c>
      <c r="AW435" s="27">
        <f t="shared" ref="AW435:AW440" si="417">AR435*AS435</f>
        <v>1</v>
      </c>
      <c r="AX435" s="27">
        <f t="shared" ref="AX435:AX440" si="418">AT435*AU435*AV435</f>
        <v>1</v>
      </c>
      <c r="AY435" s="27">
        <f t="shared" ref="AY435:AY440" si="419">AP435*AR435*AS435*AT435*AU435*AV435</f>
        <v>1.3</v>
      </c>
      <c r="AZ435" s="35">
        <f t="shared" ref="AZ435:AZ440" si="420">AO435*AQ435*AW435*AX435</f>
        <v>53.018490595809574</v>
      </c>
      <c r="BA435" s="35">
        <f t="shared" ref="BA435:BA440" si="421">IF(AZ435&gt;=20,0,2-0.1*AZ435)</f>
        <v>0</v>
      </c>
      <c r="BB435" s="35">
        <f t="shared" ref="BB435:BB440" si="422">AO435*AP435*AR435*AS435*AT435*AU435*AV435</f>
        <v>2.756961510982098</v>
      </c>
      <c r="BC435" s="35">
        <f t="shared" ref="BC435:BC440" si="423">IF(BB435&gt;=20,0,2-0.1*BB435)</f>
        <v>1.7243038489017901</v>
      </c>
      <c r="BD435" s="35">
        <f t="shared" si="406"/>
        <v>0.37722688396528475</v>
      </c>
      <c r="BE435" s="16">
        <f t="shared" si="407"/>
        <v>179.62385131426535</v>
      </c>
      <c r="BF435" s="16">
        <f t="shared" si="408"/>
        <v>40.752297371469297</v>
      </c>
      <c r="BG435" s="25">
        <f t="shared" si="409"/>
        <v>1</v>
      </c>
      <c r="BH435" s="35">
        <f t="shared" si="410"/>
        <v>395.17247289138379</v>
      </c>
      <c r="BI435" s="35">
        <f t="shared" si="411"/>
        <v>-390.34494578276758</v>
      </c>
      <c r="BJ435" s="35">
        <f t="shared" si="412"/>
        <v>31.118983345581288</v>
      </c>
    </row>
    <row r="436" spans="1:62">
      <c r="B436" s="35" t="s">
        <v>133</v>
      </c>
      <c r="C436" s="85" t="str">
        <f>'Hotter&amp;Drier'!$B$1</f>
        <v>CSIRO Mk3.5</v>
      </c>
      <c r="D436" s="89">
        <v>2066</v>
      </c>
      <c r="E436" s="57">
        <f>'Cooler&amp;Wetter'!AA94</f>
        <v>35.655999999999999</v>
      </c>
      <c r="F436" s="90">
        <f>'Hotter&amp;Drier'!AD94</f>
        <v>23.526</v>
      </c>
      <c r="G436" s="35">
        <f t="shared" si="413"/>
        <v>2005</v>
      </c>
      <c r="H436" s="91" t="str">
        <f t="shared" si="393"/>
        <v>Pile 32 @ Berth 201</v>
      </c>
      <c r="I436" s="35" t="str">
        <f t="shared" si="394"/>
        <v>Turpentine Gum</v>
      </c>
      <c r="J436" s="35" t="str">
        <f t="shared" si="395"/>
        <v>HW1</v>
      </c>
      <c r="K436" s="35" t="str">
        <f t="shared" si="414"/>
        <v>SPHU</v>
      </c>
      <c r="L436" s="35">
        <f t="shared" si="396"/>
        <v>400</v>
      </c>
      <c r="M436" s="35">
        <f t="shared" si="397"/>
        <v>20</v>
      </c>
      <c r="N436" s="35">
        <f t="shared" si="398"/>
        <v>200</v>
      </c>
      <c r="O436" s="35" t="str">
        <f t="shared" si="399"/>
        <v>MTN2</v>
      </c>
      <c r="P436" s="35" t="str">
        <f t="shared" si="400"/>
        <v>CNT2</v>
      </c>
      <c r="Q436" s="35" t="str">
        <f t="shared" si="401"/>
        <v>KNT3</v>
      </c>
      <c r="R436" s="35" t="str">
        <f t="shared" si="402"/>
        <v>E</v>
      </c>
      <c r="S436" s="35" t="str">
        <f t="shared" si="403"/>
        <v>EXP1</v>
      </c>
      <c r="T436" s="58"/>
      <c r="U436" s="58"/>
      <c r="V436" s="58"/>
      <c r="W436" s="58"/>
      <c r="X436" s="58"/>
      <c r="Y436" s="58"/>
      <c r="Z436" s="58"/>
      <c r="AA436" s="95">
        <f t="shared" si="383"/>
        <v>1</v>
      </c>
      <c r="AB436" s="96">
        <f t="shared" si="415"/>
        <v>183.04380924799045</v>
      </c>
      <c r="AC436" s="58"/>
      <c r="AD436" s="58"/>
      <c r="AE436" s="58"/>
      <c r="AF436" s="58"/>
      <c r="AG436" s="58"/>
      <c r="AH436" s="58"/>
      <c r="AI436" s="58"/>
      <c r="AJ436" s="58"/>
      <c r="AK436" s="58"/>
      <c r="AL436" s="58"/>
      <c r="AM436" s="89">
        <f t="shared" si="416"/>
        <v>61</v>
      </c>
      <c r="AN436" s="36">
        <f t="shared" si="404"/>
        <v>35.655999999999999</v>
      </c>
      <c r="AO436" s="35">
        <f t="shared" si="405"/>
        <v>2.1293034490338596</v>
      </c>
      <c r="AP436" s="35">
        <f>IF((OR(R436="A",R436="B",R436="C")),INDEX(Coefficients!$S$4:$S$22,MATCH(J436,Coefficients!$R$4:$R$22)),INDEX(Coefficients!$T$4:$T$22,MATCH(J436,Coefficients!$R$4:$R$22)))</f>
        <v>1.3</v>
      </c>
      <c r="AQ436" s="27">
        <f>IF((OR(R436="A",R436="B",R436="C")),INDEX(Coefficients!$S$4:$S$22,MATCH(K436,Coefficients!$R$4:$R$22)),INDEX(Coefficients!$T$4:$T$22,MATCH(K436,Coefficients!$R$4:$R$22)))</f>
        <v>25</v>
      </c>
      <c r="AR436" s="27">
        <f>IF(OR(R436="A",R436="B",R436="C",R436="D"),IF(AN436&gt;=11,IF(AN436&gt;=26,Coefficients!$M$6,Coefficients!$M$5),Coefficients!$M$4),IF(AN436&gt;=11,IF(AN436&gt;=26,Coefficients!$N$6,Coefficients!$N$5),Coefficients!$N$4))</f>
        <v>1</v>
      </c>
      <c r="AS436" s="27">
        <f>INDEX(Coefficients!$X$3:$X$4,MATCH(S436,Coefficients!$W$3:$W$4))</f>
        <v>1</v>
      </c>
      <c r="AT436" s="27">
        <f>INDEX(Coefficients!$X$7:$X$8,MATCH(O436,Coefficients!$W$7:$W$8))</f>
        <v>1</v>
      </c>
      <c r="AU436" s="27">
        <f>INDEX(Coefficients!$X$11:$X$12,MATCH(P436,Coefficients!$W$11:$W$12))</f>
        <v>1</v>
      </c>
      <c r="AV436" s="27">
        <f>INDEX(Coefficients!$X$15:$X$17,MATCH(Q436,Coefficients!$W$15:$W$17))</f>
        <v>1</v>
      </c>
      <c r="AW436" s="27">
        <f t="shared" si="417"/>
        <v>1</v>
      </c>
      <c r="AX436" s="27">
        <f t="shared" si="418"/>
        <v>1</v>
      </c>
      <c r="AY436" s="27">
        <f t="shared" si="419"/>
        <v>1.3</v>
      </c>
      <c r="AZ436" s="35">
        <f t="shared" si="420"/>
        <v>53.232586225846489</v>
      </c>
      <c r="BA436" s="35">
        <f t="shared" si="421"/>
        <v>0</v>
      </c>
      <c r="BB436" s="35">
        <f t="shared" si="422"/>
        <v>2.7680944837440178</v>
      </c>
      <c r="BC436" s="35">
        <f t="shared" si="423"/>
        <v>1.7231905516255983</v>
      </c>
      <c r="BD436" s="35">
        <f t="shared" si="406"/>
        <v>0.3757097187641284</v>
      </c>
      <c r="BE436" s="16">
        <f t="shared" si="407"/>
        <v>183.04380924799045</v>
      </c>
      <c r="BF436" s="16">
        <f t="shared" si="408"/>
        <v>33.912381504019095</v>
      </c>
      <c r="BG436" s="25">
        <f t="shared" si="409"/>
        <v>1</v>
      </c>
      <c r="BH436" s="35">
        <f t="shared" si="410"/>
        <v>402.69638034557903</v>
      </c>
      <c r="BI436" s="35">
        <f t="shared" si="411"/>
        <v>-405.39276069115806</v>
      </c>
      <c r="BJ436" s="35">
        <f t="shared" si="412"/>
        <v>30.999647867630369</v>
      </c>
    </row>
    <row r="437" spans="1:62">
      <c r="B437" s="35" t="s">
        <v>133</v>
      </c>
      <c r="C437" s="85" t="str">
        <f>'Hotter&amp;Drier'!$B$1</f>
        <v>CSIRO Mk3.5</v>
      </c>
      <c r="D437" s="89">
        <v>2067</v>
      </c>
      <c r="E437" s="57">
        <f>'Cooler&amp;Wetter'!AA95</f>
        <v>35.659500000000001</v>
      </c>
      <c r="F437" s="90">
        <f>'Hotter&amp;Drier'!AD95</f>
        <v>23.556999999999999</v>
      </c>
      <c r="G437" s="35">
        <f t="shared" si="413"/>
        <v>2005</v>
      </c>
      <c r="H437" s="91" t="str">
        <f t="shared" si="393"/>
        <v>Pile 32 @ Berth 201</v>
      </c>
      <c r="I437" s="35" t="str">
        <f t="shared" si="394"/>
        <v>Turpentine Gum</v>
      </c>
      <c r="J437" s="35" t="str">
        <f t="shared" si="395"/>
        <v>HW1</v>
      </c>
      <c r="K437" s="35" t="str">
        <f t="shared" si="414"/>
        <v>SPHU</v>
      </c>
      <c r="L437" s="35">
        <f t="shared" si="396"/>
        <v>400</v>
      </c>
      <c r="M437" s="35">
        <f t="shared" si="397"/>
        <v>20</v>
      </c>
      <c r="N437" s="35">
        <f t="shared" si="398"/>
        <v>200</v>
      </c>
      <c r="O437" s="35" t="str">
        <f t="shared" si="399"/>
        <v>MTN2</v>
      </c>
      <c r="P437" s="35" t="str">
        <f t="shared" si="400"/>
        <v>CNT2</v>
      </c>
      <c r="Q437" s="35" t="str">
        <f t="shared" si="401"/>
        <v>KNT3</v>
      </c>
      <c r="R437" s="35" t="str">
        <f t="shared" si="402"/>
        <v>E</v>
      </c>
      <c r="S437" s="35" t="str">
        <f t="shared" si="403"/>
        <v>EXP1</v>
      </c>
      <c r="T437" s="58"/>
      <c r="U437" s="58"/>
      <c r="V437" s="58"/>
      <c r="W437" s="58"/>
      <c r="X437" s="58"/>
      <c r="Y437" s="58"/>
      <c r="Z437" s="58"/>
      <c r="AA437" s="95">
        <f t="shared" si="383"/>
        <v>1</v>
      </c>
      <c r="AB437" s="96">
        <f t="shared" si="415"/>
        <v>186.48878028926654</v>
      </c>
      <c r="AC437" s="58"/>
      <c r="AD437" s="58"/>
      <c r="AE437" s="58"/>
      <c r="AF437" s="58"/>
      <c r="AG437" s="58"/>
      <c r="AH437" s="58"/>
      <c r="AI437" s="58"/>
      <c r="AJ437" s="58"/>
      <c r="AK437" s="58"/>
      <c r="AL437" s="58"/>
      <c r="AM437" s="89">
        <f t="shared" si="416"/>
        <v>62</v>
      </c>
      <c r="AN437" s="36">
        <f t="shared" si="404"/>
        <v>35.659500000000001</v>
      </c>
      <c r="AO437" s="35">
        <f t="shared" si="405"/>
        <v>2.1379018560865242</v>
      </c>
      <c r="AP437" s="35">
        <f>IF((OR(R437="A",R437="B",R437="C")),INDEX(Coefficients!$S$4:$S$22,MATCH(J437,Coefficients!$R$4:$R$22)),INDEX(Coefficients!$T$4:$T$22,MATCH(J437,Coefficients!$R$4:$R$22)))</f>
        <v>1.3</v>
      </c>
      <c r="AQ437" s="27">
        <f>IF((OR(R437="A",R437="B",R437="C")),INDEX(Coefficients!$S$4:$S$22,MATCH(K437,Coefficients!$R$4:$R$22)),INDEX(Coefficients!$T$4:$T$22,MATCH(K437,Coefficients!$R$4:$R$22)))</f>
        <v>25</v>
      </c>
      <c r="AR437" s="27">
        <f>IF(OR(R437="A",R437="B",R437="C",R437="D"),IF(AN437&gt;=11,IF(AN437&gt;=26,Coefficients!$M$6,Coefficients!$M$5),Coefficients!$M$4),IF(AN437&gt;=11,IF(AN437&gt;=26,Coefficients!$N$6,Coefficients!$N$5),Coefficients!$N$4))</f>
        <v>1</v>
      </c>
      <c r="AS437" s="27">
        <f>INDEX(Coefficients!$X$3:$X$4,MATCH(S437,Coefficients!$W$3:$W$4))</f>
        <v>1</v>
      </c>
      <c r="AT437" s="27">
        <f>INDEX(Coefficients!$X$7:$X$8,MATCH(O437,Coefficients!$W$7:$W$8))</f>
        <v>1</v>
      </c>
      <c r="AU437" s="27">
        <f>INDEX(Coefficients!$X$11:$X$12,MATCH(P437,Coefficients!$W$11:$W$12))</f>
        <v>1</v>
      </c>
      <c r="AV437" s="27">
        <f>INDEX(Coefficients!$X$15:$X$17,MATCH(Q437,Coefficients!$W$15:$W$17))</f>
        <v>1</v>
      </c>
      <c r="AW437" s="27">
        <f t="shared" si="417"/>
        <v>1</v>
      </c>
      <c r="AX437" s="27">
        <f t="shared" si="418"/>
        <v>1</v>
      </c>
      <c r="AY437" s="27">
        <f t="shared" si="419"/>
        <v>1.3</v>
      </c>
      <c r="AZ437" s="35">
        <f t="shared" si="420"/>
        <v>53.447546402163105</v>
      </c>
      <c r="BA437" s="35">
        <f t="shared" si="421"/>
        <v>0</v>
      </c>
      <c r="BB437" s="35">
        <f t="shared" si="422"/>
        <v>2.7792724129124817</v>
      </c>
      <c r="BC437" s="35">
        <f t="shared" si="423"/>
        <v>1.7220727587087519</v>
      </c>
      <c r="BD437" s="35">
        <f t="shared" si="406"/>
        <v>0.37419865543520198</v>
      </c>
      <c r="BE437" s="16">
        <f t="shared" si="407"/>
        <v>186.48878028926654</v>
      </c>
      <c r="BF437" s="16">
        <f t="shared" si="408"/>
        <v>27.022439421466913</v>
      </c>
      <c r="BG437" s="25">
        <f t="shared" si="409"/>
        <v>1</v>
      </c>
      <c r="BH437" s="35">
        <f t="shared" si="410"/>
        <v>410.27531663638644</v>
      </c>
      <c r="BI437" s="35">
        <f t="shared" si="411"/>
        <v>-420.55063327277287</v>
      </c>
      <c r="BJ437" s="35">
        <f t="shared" si="412"/>
        <v>30.880783370697948</v>
      </c>
    </row>
    <row r="438" spans="1:62">
      <c r="B438" s="35" t="s">
        <v>133</v>
      </c>
      <c r="C438" s="85" t="str">
        <f>'Hotter&amp;Drier'!$B$1</f>
        <v>CSIRO Mk3.5</v>
      </c>
      <c r="D438" s="89">
        <v>2068</v>
      </c>
      <c r="E438" s="57">
        <f>'Cooler&amp;Wetter'!AA96</f>
        <v>35.662999999999997</v>
      </c>
      <c r="F438" s="90">
        <f>'Hotter&amp;Drier'!AD96</f>
        <v>23.588000000000001</v>
      </c>
      <c r="G438" s="35">
        <f t="shared" si="413"/>
        <v>2005</v>
      </c>
      <c r="H438" s="91" t="str">
        <f t="shared" si="393"/>
        <v>Pile 32 @ Berth 201</v>
      </c>
      <c r="I438" s="35" t="str">
        <f t="shared" si="394"/>
        <v>Turpentine Gum</v>
      </c>
      <c r="J438" s="35" t="str">
        <f t="shared" si="395"/>
        <v>HW1</v>
      </c>
      <c r="K438" s="35" t="str">
        <f t="shared" si="414"/>
        <v>SPHU</v>
      </c>
      <c r="L438" s="35">
        <f t="shared" si="396"/>
        <v>400</v>
      </c>
      <c r="M438" s="35">
        <f t="shared" si="397"/>
        <v>20</v>
      </c>
      <c r="N438" s="35">
        <f t="shared" si="398"/>
        <v>200</v>
      </c>
      <c r="O438" s="35" t="str">
        <f t="shared" si="399"/>
        <v>MTN2</v>
      </c>
      <c r="P438" s="35" t="str">
        <f t="shared" si="400"/>
        <v>CNT2</v>
      </c>
      <c r="Q438" s="35" t="str">
        <f t="shared" si="401"/>
        <v>KNT3</v>
      </c>
      <c r="R438" s="35" t="str">
        <f t="shared" si="402"/>
        <v>E</v>
      </c>
      <c r="S438" s="35" t="str">
        <f t="shared" si="403"/>
        <v>EXP1</v>
      </c>
      <c r="T438" s="58"/>
      <c r="U438" s="58"/>
      <c r="V438" s="58"/>
      <c r="W438" s="58"/>
      <c r="X438" s="58"/>
      <c r="Y438" s="58"/>
      <c r="Z438" s="58"/>
      <c r="AA438" s="95">
        <f t="shared" si="383"/>
        <v>1</v>
      </c>
      <c r="AB438" s="96">
        <f t="shared" si="415"/>
        <v>189.9589107840747</v>
      </c>
      <c r="AC438" s="58"/>
      <c r="AD438" s="58"/>
      <c r="AE438" s="58"/>
      <c r="AF438" s="58"/>
      <c r="AG438" s="58"/>
      <c r="AH438" s="58"/>
      <c r="AI438" s="58"/>
      <c r="AJ438" s="58"/>
      <c r="AK438" s="58"/>
      <c r="AL438" s="58"/>
      <c r="AM438" s="89">
        <f t="shared" si="416"/>
        <v>63</v>
      </c>
      <c r="AN438" s="36">
        <f t="shared" si="404"/>
        <v>35.662999999999997</v>
      </c>
      <c r="AO438" s="35">
        <f t="shared" si="405"/>
        <v>2.1465349846364363</v>
      </c>
      <c r="AP438" s="35">
        <f>IF((OR(R438="A",R438="B",R438="C")),INDEX(Coefficients!$S$4:$S$22,MATCH(J438,Coefficients!$R$4:$R$22)),INDEX(Coefficients!$T$4:$T$22,MATCH(J438,Coefficients!$R$4:$R$22)))</f>
        <v>1.3</v>
      </c>
      <c r="AQ438" s="27">
        <f>IF((OR(R438="A",R438="B",R438="C")),INDEX(Coefficients!$S$4:$S$22,MATCH(K438,Coefficients!$R$4:$R$22)),INDEX(Coefficients!$T$4:$T$22,MATCH(K438,Coefficients!$R$4:$R$22)))</f>
        <v>25</v>
      </c>
      <c r="AR438" s="27">
        <f>IF(OR(R438="A",R438="B",R438="C",R438="D"),IF(AN438&gt;=11,IF(AN438&gt;=26,Coefficients!$M$6,Coefficients!$M$5),Coefficients!$M$4),IF(AN438&gt;=11,IF(AN438&gt;=26,Coefficients!$N$6,Coefficients!$N$5),Coefficients!$N$4))</f>
        <v>1</v>
      </c>
      <c r="AS438" s="27">
        <f>INDEX(Coefficients!$X$3:$X$4,MATCH(S438,Coefficients!$W$3:$W$4))</f>
        <v>1</v>
      </c>
      <c r="AT438" s="27">
        <f>INDEX(Coefficients!$X$7:$X$8,MATCH(O438,Coefficients!$W$7:$W$8))</f>
        <v>1</v>
      </c>
      <c r="AU438" s="27">
        <f>INDEX(Coefficients!$X$11:$X$12,MATCH(P438,Coefficients!$W$11:$W$12))</f>
        <v>1</v>
      </c>
      <c r="AV438" s="27">
        <f>INDEX(Coefficients!$X$15:$X$17,MATCH(Q438,Coefficients!$W$15:$W$17))</f>
        <v>1</v>
      </c>
      <c r="AW438" s="27">
        <f t="shared" si="417"/>
        <v>1</v>
      </c>
      <c r="AX438" s="27">
        <f t="shared" si="418"/>
        <v>1</v>
      </c>
      <c r="AY438" s="27">
        <f t="shared" si="419"/>
        <v>1.3</v>
      </c>
      <c r="AZ438" s="35">
        <f t="shared" si="420"/>
        <v>53.663374615910911</v>
      </c>
      <c r="BA438" s="35">
        <f t="shared" si="421"/>
        <v>0</v>
      </c>
      <c r="BB438" s="35">
        <f t="shared" si="422"/>
        <v>2.7904954800273671</v>
      </c>
      <c r="BC438" s="35">
        <f t="shared" si="423"/>
        <v>1.7209504519972634</v>
      </c>
      <c r="BD438" s="35">
        <f t="shared" si="406"/>
        <v>0.37269366943744353</v>
      </c>
      <c r="BE438" s="16">
        <f t="shared" si="407"/>
        <v>189.9589107840747</v>
      </c>
      <c r="BF438" s="16">
        <f t="shared" si="408"/>
        <v>20.082178431850593</v>
      </c>
      <c r="BG438" s="25">
        <f t="shared" si="409"/>
        <v>1</v>
      </c>
      <c r="BH438" s="35">
        <f t="shared" si="410"/>
        <v>417.90960372496437</v>
      </c>
      <c r="BI438" s="35">
        <f t="shared" si="411"/>
        <v>-435.81920744992874</v>
      </c>
      <c r="BJ438" s="35">
        <f t="shared" si="412"/>
        <v>30.762387924314982</v>
      </c>
    </row>
    <row r="439" spans="1:62">
      <c r="B439" s="35" t="s">
        <v>133</v>
      </c>
      <c r="C439" s="85" t="str">
        <f>'Hotter&amp;Drier'!$B$1</f>
        <v>CSIRO Mk3.5</v>
      </c>
      <c r="D439" s="89">
        <v>2069</v>
      </c>
      <c r="E439" s="57">
        <f>'Cooler&amp;Wetter'!AA97</f>
        <v>35.666499999999999</v>
      </c>
      <c r="F439" s="90">
        <f>'Hotter&amp;Drier'!AD97</f>
        <v>23.619</v>
      </c>
      <c r="G439" s="35">
        <f t="shared" si="413"/>
        <v>2005</v>
      </c>
      <c r="H439" s="91" t="str">
        <f t="shared" si="393"/>
        <v>Pile 32 @ Berth 201</v>
      </c>
      <c r="I439" s="35" t="str">
        <f t="shared" si="394"/>
        <v>Turpentine Gum</v>
      </c>
      <c r="J439" s="35" t="str">
        <f t="shared" si="395"/>
        <v>HW1</v>
      </c>
      <c r="K439" s="35" t="str">
        <f t="shared" si="414"/>
        <v>SPHU</v>
      </c>
      <c r="L439" s="35">
        <f t="shared" si="396"/>
        <v>400</v>
      </c>
      <c r="M439" s="35">
        <f t="shared" si="397"/>
        <v>20</v>
      </c>
      <c r="N439" s="35">
        <f t="shared" si="398"/>
        <v>200</v>
      </c>
      <c r="O439" s="35" t="str">
        <f t="shared" si="399"/>
        <v>MTN2</v>
      </c>
      <c r="P439" s="35" t="str">
        <f t="shared" si="400"/>
        <v>CNT2</v>
      </c>
      <c r="Q439" s="35" t="str">
        <f t="shared" si="401"/>
        <v>KNT3</v>
      </c>
      <c r="R439" s="35" t="str">
        <f t="shared" si="402"/>
        <v>E</v>
      </c>
      <c r="S439" s="35" t="str">
        <f t="shared" si="403"/>
        <v>EXP1</v>
      </c>
      <c r="T439" s="58"/>
      <c r="U439" s="58"/>
      <c r="V439" s="58"/>
      <c r="W439" s="58"/>
      <c r="X439" s="58"/>
      <c r="Y439" s="58"/>
      <c r="Z439" s="58"/>
      <c r="AA439" s="95">
        <f t="shared" si="383"/>
        <v>1</v>
      </c>
      <c r="AB439" s="96">
        <f t="shared" si="415"/>
        <v>193.45434785326646</v>
      </c>
      <c r="AC439" s="58"/>
      <c r="AD439" s="58"/>
      <c r="AE439" s="58"/>
      <c r="AF439" s="58"/>
      <c r="AG439" s="58"/>
      <c r="AH439" s="58"/>
      <c r="AI439" s="58"/>
      <c r="AJ439" s="58"/>
      <c r="AK439" s="58"/>
      <c r="AL439" s="58"/>
      <c r="AM439" s="89">
        <f t="shared" si="416"/>
        <v>64</v>
      </c>
      <c r="AN439" s="36">
        <f t="shared" si="404"/>
        <v>35.666499999999999</v>
      </c>
      <c r="AO439" s="35">
        <f t="shared" si="405"/>
        <v>2.1552029748935624</v>
      </c>
      <c r="AP439" s="35">
        <f>IF((OR(R439="A",R439="B",R439="C")),INDEX(Coefficients!$S$4:$S$22,MATCH(J439,Coefficients!$R$4:$R$22)),INDEX(Coefficients!$T$4:$T$22,MATCH(J439,Coefficients!$R$4:$R$22)))</f>
        <v>1.3</v>
      </c>
      <c r="AQ439" s="27">
        <f>IF((OR(R439="A",R439="B",R439="C")),INDEX(Coefficients!$S$4:$S$22,MATCH(K439,Coefficients!$R$4:$R$22)),INDEX(Coefficients!$T$4:$T$22,MATCH(K439,Coefficients!$R$4:$R$22)))</f>
        <v>25</v>
      </c>
      <c r="AR439" s="27">
        <f>IF(OR(R439="A",R439="B",R439="C",R439="D"),IF(AN439&gt;=11,IF(AN439&gt;=26,Coefficients!$M$6,Coefficients!$M$5),Coefficients!$M$4),IF(AN439&gt;=11,IF(AN439&gt;=26,Coefficients!$N$6,Coefficients!$N$5),Coefficients!$N$4))</f>
        <v>1</v>
      </c>
      <c r="AS439" s="27">
        <f>INDEX(Coefficients!$X$3:$X$4,MATCH(S439,Coefficients!$W$3:$W$4))</f>
        <v>1</v>
      </c>
      <c r="AT439" s="27">
        <f>INDEX(Coefficients!$X$7:$X$8,MATCH(O439,Coefficients!$W$7:$W$8))</f>
        <v>1</v>
      </c>
      <c r="AU439" s="27">
        <f>INDEX(Coefficients!$X$11:$X$12,MATCH(P439,Coefficients!$W$11:$W$12))</f>
        <v>1</v>
      </c>
      <c r="AV439" s="27">
        <f>INDEX(Coefficients!$X$15:$X$17,MATCH(Q439,Coefficients!$W$15:$W$17))</f>
        <v>1</v>
      </c>
      <c r="AW439" s="27">
        <f t="shared" si="417"/>
        <v>1</v>
      </c>
      <c r="AX439" s="27">
        <f t="shared" si="418"/>
        <v>1</v>
      </c>
      <c r="AY439" s="27">
        <f t="shared" si="419"/>
        <v>1.3</v>
      </c>
      <c r="AZ439" s="35">
        <f t="shared" si="420"/>
        <v>53.88007437233906</v>
      </c>
      <c r="BA439" s="35">
        <f t="shared" si="421"/>
        <v>0</v>
      </c>
      <c r="BB439" s="35">
        <f t="shared" si="422"/>
        <v>2.8017638673616312</v>
      </c>
      <c r="BC439" s="35">
        <f t="shared" si="423"/>
        <v>1.7198236132638369</v>
      </c>
      <c r="BD439" s="35">
        <f t="shared" si="406"/>
        <v>0.3711947363284932</v>
      </c>
      <c r="BE439" s="16">
        <f t="shared" si="407"/>
        <v>193.45434785326646</v>
      </c>
      <c r="BF439" s="16">
        <f t="shared" si="408"/>
        <v>13.09130429346709</v>
      </c>
      <c r="BG439" s="25">
        <f t="shared" si="409"/>
        <v>1</v>
      </c>
      <c r="BH439" s="35">
        <f t="shared" si="410"/>
        <v>425.59956527718623</v>
      </c>
      <c r="BI439" s="35">
        <f t="shared" si="411"/>
        <v>-451.19913055437246</v>
      </c>
      <c r="BJ439" s="35">
        <f t="shared" si="412"/>
        <v>30.644459605630267</v>
      </c>
    </row>
    <row r="440" spans="1:62">
      <c r="B440" s="35" t="s">
        <v>133</v>
      </c>
      <c r="C440" s="85" t="str">
        <f>'Hotter&amp;Drier'!$B$1</f>
        <v>CSIRO Mk3.5</v>
      </c>
      <c r="D440" s="89">
        <v>2070</v>
      </c>
      <c r="E440" s="57">
        <f>'Cooler&amp;Wetter'!AA98</f>
        <v>35.67</v>
      </c>
      <c r="F440" s="90">
        <f>'Hotter&amp;Drier'!AD98</f>
        <v>23.65</v>
      </c>
      <c r="G440" s="35">
        <f t="shared" si="413"/>
        <v>2005</v>
      </c>
      <c r="H440" s="91" t="str">
        <f t="shared" si="393"/>
        <v>Pile 32 @ Berth 201</v>
      </c>
      <c r="I440" s="35" t="str">
        <f t="shared" si="394"/>
        <v>Turpentine Gum</v>
      </c>
      <c r="J440" s="35" t="str">
        <f t="shared" si="395"/>
        <v>HW1</v>
      </c>
      <c r="K440" s="35" t="str">
        <f t="shared" si="414"/>
        <v>SPHU</v>
      </c>
      <c r="L440" s="35">
        <f t="shared" si="396"/>
        <v>400</v>
      </c>
      <c r="M440" s="35">
        <f t="shared" si="397"/>
        <v>20</v>
      </c>
      <c r="N440" s="35">
        <f t="shared" si="398"/>
        <v>200</v>
      </c>
      <c r="O440" s="35" t="str">
        <f t="shared" si="399"/>
        <v>MTN2</v>
      </c>
      <c r="P440" s="35" t="str">
        <f t="shared" si="400"/>
        <v>CNT2</v>
      </c>
      <c r="Q440" s="35" t="str">
        <f t="shared" si="401"/>
        <v>KNT3</v>
      </c>
      <c r="R440" s="35" t="str">
        <f t="shared" si="402"/>
        <v>E</v>
      </c>
      <c r="S440" s="35" t="str">
        <f t="shared" si="403"/>
        <v>EXP1</v>
      </c>
      <c r="T440" s="58"/>
      <c r="U440" s="58"/>
      <c r="V440" s="58"/>
      <c r="W440" s="58"/>
      <c r="X440" s="58"/>
      <c r="Y440" s="58"/>
      <c r="Z440" s="58"/>
      <c r="AA440" s="95">
        <f t="shared" si="383"/>
        <v>1</v>
      </c>
      <c r="AB440" s="96">
        <f t="shared" si="415"/>
        <v>196.97523939644202</v>
      </c>
      <c r="AC440" s="58"/>
      <c r="AD440" s="58"/>
      <c r="AE440" s="58"/>
      <c r="AF440" s="58"/>
      <c r="AG440" s="58"/>
      <c r="AH440" s="58"/>
      <c r="AI440" s="58"/>
      <c r="AJ440" s="58"/>
      <c r="AK440" s="58"/>
      <c r="AL440" s="58"/>
      <c r="AM440" s="89">
        <f t="shared" si="416"/>
        <v>65</v>
      </c>
      <c r="AN440" s="36">
        <f t="shared" si="404"/>
        <v>35.67</v>
      </c>
      <c r="AO440" s="35">
        <f t="shared" si="405"/>
        <v>2.1639059676340557</v>
      </c>
      <c r="AP440" s="35">
        <f>IF((OR(R440="A",R440="B",R440="C")),INDEX(Coefficients!$S$4:$S$22,MATCH(J440,Coefficients!$R$4:$R$22)),INDEX(Coefficients!$T$4:$T$22,MATCH(J440,Coefficients!$R$4:$R$22)))</f>
        <v>1.3</v>
      </c>
      <c r="AQ440" s="27">
        <f>IF((OR(R440="A",R440="B",R440="C")),INDEX(Coefficients!$S$4:$S$22,MATCH(K440,Coefficients!$R$4:$R$22)),INDEX(Coefficients!$T$4:$T$22,MATCH(K440,Coefficients!$R$4:$R$22)))</f>
        <v>25</v>
      </c>
      <c r="AR440" s="27">
        <f>IF(OR(R440="A",R440="B",R440="C",R440="D"),IF(AN440&gt;=11,IF(AN440&gt;=26,Coefficients!$M$6,Coefficients!$M$5),Coefficients!$M$4),IF(AN440&gt;=11,IF(AN440&gt;=26,Coefficients!$N$6,Coefficients!$N$5),Coefficients!$N$4))</f>
        <v>1</v>
      </c>
      <c r="AS440" s="27">
        <f>INDEX(Coefficients!$X$3:$X$4,MATCH(S440,Coefficients!$W$3:$W$4))</f>
        <v>1</v>
      </c>
      <c r="AT440" s="27">
        <f>INDEX(Coefficients!$X$7:$X$8,MATCH(O440,Coefficients!$W$7:$W$8))</f>
        <v>1</v>
      </c>
      <c r="AU440" s="27">
        <f>INDEX(Coefficients!$X$11:$X$12,MATCH(P440,Coefficients!$W$11:$W$12))</f>
        <v>1</v>
      </c>
      <c r="AV440" s="27">
        <f>INDEX(Coefficients!$X$15:$X$17,MATCH(Q440,Coefficients!$W$15:$W$17))</f>
        <v>1</v>
      </c>
      <c r="AW440" s="27">
        <f t="shared" si="417"/>
        <v>1</v>
      </c>
      <c r="AX440" s="27">
        <f t="shared" si="418"/>
        <v>1</v>
      </c>
      <c r="AY440" s="27">
        <f t="shared" si="419"/>
        <v>1.3</v>
      </c>
      <c r="AZ440" s="35">
        <f t="shared" si="420"/>
        <v>54.097649190851392</v>
      </c>
      <c r="BA440" s="35">
        <f t="shared" si="421"/>
        <v>0</v>
      </c>
      <c r="BB440" s="35">
        <f t="shared" si="422"/>
        <v>2.8130777579242725</v>
      </c>
      <c r="BC440" s="35">
        <f t="shared" si="423"/>
        <v>1.7186922242075728</v>
      </c>
      <c r="BD440" s="35">
        <f t="shared" si="406"/>
        <v>0.36970183176429516</v>
      </c>
      <c r="BE440" s="16">
        <f t="shared" si="407"/>
        <v>196.97523939644202</v>
      </c>
      <c r="BF440" s="16">
        <f t="shared" si="408"/>
        <v>6.0495212071159585</v>
      </c>
      <c r="BG440" s="25">
        <f t="shared" si="409"/>
        <v>1</v>
      </c>
      <c r="BH440" s="35">
        <f t="shared" si="410"/>
        <v>433.34552667217247</v>
      </c>
      <c r="BI440" s="35">
        <f t="shared" si="411"/>
        <v>-466.69105334434494</v>
      </c>
      <c r="BJ440" s="35">
        <f t="shared" si="412"/>
        <v>30.526996499379187</v>
      </c>
    </row>
    <row r="441" spans="1:62" s="86" customFormat="1">
      <c r="A441" s="86" t="s">
        <v>202</v>
      </c>
      <c r="B441" s="86" t="str">
        <f>B442&amp;" "&amp;C442</f>
        <v>A1B MIROC-Medres</v>
      </c>
      <c r="H441" s="77"/>
      <c r="AA441" s="97"/>
    </row>
    <row r="442" spans="1:62">
      <c r="B442" s="35" t="s">
        <v>133</v>
      </c>
      <c r="C442" s="35" t="str">
        <f>'Cooler&amp;Wetter'!$B$1</f>
        <v>MIROC-Medres</v>
      </c>
      <c r="D442" s="89">
        <v>2000</v>
      </c>
      <c r="E442" s="36">
        <f>'Cooler&amp;Wetter'!AB28</f>
        <v>35.508333333333333</v>
      </c>
      <c r="F442" s="36">
        <f>'Cooler&amp;Wetter'!AD28</f>
        <v>21.663333333333334</v>
      </c>
      <c r="G442" s="35">
        <f>$G$10</f>
        <v>2005</v>
      </c>
      <c r="H442" s="91" t="str">
        <f t="shared" ref="H442:H505" si="424">$H$10</f>
        <v>Pile 32 @ Berth 201</v>
      </c>
      <c r="I442" s="35" t="str">
        <f t="shared" ref="I442:I505" si="425">$I$10</f>
        <v>Turpentine Gum</v>
      </c>
      <c r="J442" s="35" t="str">
        <f t="shared" ref="J442:J505" si="426">$J$10</f>
        <v>HW1</v>
      </c>
      <c r="K442" s="35" t="str">
        <f>$K$10</f>
        <v>SPHU</v>
      </c>
      <c r="L442" s="35">
        <f t="shared" ref="L442:L505" si="427">$L$10</f>
        <v>400</v>
      </c>
      <c r="M442" s="35">
        <f t="shared" ref="M442:M505" si="428">$M$10</f>
        <v>20</v>
      </c>
      <c r="N442" s="35">
        <f t="shared" ref="N442:N505" si="429">$N$10</f>
        <v>200</v>
      </c>
      <c r="O442" s="35" t="str">
        <f t="shared" ref="O442:O505" si="430">$O$10</f>
        <v>MTN2</v>
      </c>
      <c r="P442" s="35" t="str">
        <f t="shared" ref="P442:P505" si="431">$P$10</f>
        <v>CNT2</v>
      </c>
      <c r="Q442" s="35" t="str">
        <f t="shared" ref="Q442:Q505" si="432">$Q$10</f>
        <v>KNT3</v>
      </c>
      <c r="R442" s="35" t="str">
        <f t="shared" ref="R442:R505" si="433">$R$10</f>
        <v>E</v>
      </c>
      <c r="S442" s="35" t="str">
        <f t="shared" ref="S442:S505" si="434">$S$10</f>
        <v>EXP1</v>
      </c>
      <c r="T442" s="58"/>
      <c r="U442" s="58"/>
      <c r="V442" s="58"/>
      <c r="W442" s="58"/>
      <c r="X442" s="58"/>
      <c r="Y442" s="58"/>
      <c r="Z442" s="58"/>
      <c r="AA442" s="95">
        <f t="shared" si="383"/>
        <v>0</v>
      </c>
      <c r="AB442" s="96">
        <f>BE442</f>
        <v>0</v>
      </c>
      <c r="AC442" s="58"/>
      <c r="AD442" s="58"/>
      <c r="AE442" s="58"/>
      <c r="AF442" s="58"/>
      <c r="AG442" s="58"/>
      <c r="AH442" s="58"/>
      <c r="AI442" s="58"/>
      <c r="AJ442" s="58"/>
      <c r="AK442" s="58"/>
      <c r="AL442" s="58"/>
      <c r="AM442" s="89">
        <f>MAX(0,D442-G442)</f>
        <v>0</v>
      </c>
      <c r="AN442" s="36">
        <f t="shared" ref="AN442:AN473" si="435">E442</f>
        <v>35.508333333333333</v>
      </c>
      <c r="AO442" s="35">
        <f t="shared" ref="AO442:AO473" si="436">0.1*EXP(0.13*F442)</f>
        <v>1.6713776731769081</v>
      </c>
      <c r="AP442" s="35">
        <f>IF((OR(R442="A",R442="B",R442="C")),INDEX(Coefficients!$S$4:$S$22,MATCH(J442,Coefficients!$R$4:$R$22)),INDEX(Coefficients!$T$4:$T$22,MATCH(J442,Coefficients!$R$4:$R$22)))</f>
        <v>1.3</v>
      </c>
      <c r="AQ442" s="27">
        <f>IF((OR(R442="A",R442="B",R442="C")),INDEX(Coefficients!$S$4:$S$22,MATCH(K442,Coefficients!$R$4:$R$22)),INDEX(Coefficients!$T$4:$T$22,MATCH(K442,Coefficients!$R$4:$R$22)))</f>
        <v>25</v>
      </c>
      <c r="AR442" s="27">
        <f>IF(OR(R442="A",R442="B",R442="C",R442="D"),IF(AN442&gt;=11,IF(AN442&gt;=26,Coefficients!$M$6,Coefficients!$M$5),Coefficients!$M$4),IF(AN442&gt;=11,IF(AN442&gt;=26,Coefficients!$N$6,Coefficients!$N$5),Coefficients!$N$4))</f>
        <v>1</v>
      </c>
      <c r="AS442" s="27">
        <f>INDEX(Coefficients!$X$3:$X$4,MATCH(S442,Coefficients!$W$3:$W$4))</f>
        <v>1</v>
      </c>
      <c r="AT442" s="27">
        <f>INDEX(Coefficients!$X$7:$X$8,MATCH(O442,Coefficients!$W$7:$W$8))</f>
        <v>1</v>
      </c>
      <c r="AU442" s="27">
        <f>INDEX(Coefficients!$X$11:$X$12,MATCH(P442,Coefficients!$W$11:$W$12))</f>
        <v>1</v>
      </c>
      <c r="AV442" s="27">
        <f>INDEX(Coefficients!$X$15:$X$17,MATCH(Q442,Coefficients!$W$15:$W$17))</f>
        <v>1</v>
      </c>
      <c r="AW442" s="27">
        <f>AR442*AS442</f>
        <v>1</v>
      </c>
      <c r="AX442" s="27">
        <f>AT442*AU442*AV442</f>
        <v>1</v>
      </c>
      <c r="AY442" s="27">
        <f>AP442*AR442*AS442*AT442*AU442*AV442</f>
        <v>1.3</v>
      </c>
      <c r="AZ442" s="35">
        <f>AO442*AQ442*AW442*AX442</f>
        <v>41.784441829422704</v>
      </c>
      <c r="BA442" s="35">
        <f>IF(AZ442&gt;=20,0,2-0.1*AZ442)</f>
        <v>0</v>
      </c>
      <c r="BB442" s="35">
        <f>AO442*AP442*AR442*AS442*AT442*AU442*AV442</f>
        <v>2.1727909751299808</v>
      </c>
      <c r="BC442" s="35">
        <f>IF(BB442&gt;=20,0,2-0.1*BB442)</f>
        <v>1.7827209024870019</v>
      </c>
      <c r="BD442" s="35">
        <f t="shared" ref="BD442:BD473" si="437">M442/AZ442+BA442</f>
        <v>0.47864705436646299</v>
      </c>
      <c r="BE442" s="16">
        <f t="shared" ref="BE442:BE473" si="438">IF(AM442&lt;=0,0,IF(AM442&gt;(BD442+BC442),M442+(AM442-BD442-BC442)*BB442,M442))</f>
        <v>0</v>
      </c>
      <c r="BF442" s="16">
        <f t="shared" ref="BF442:BF473" si="439">L442-2*BE442</f>
        <v>400</v>
      </c>
      <c r="BG442" s="25">
        <f t="shared" ref="BG442:BG473" si="440">IF(2*BE442&gt;(L442-N442),1,BE442/((L442-N442)/2))</f>
        <v>0</v>
      </c>
      <c r="BH442" s="35">
        <f t="shared" ref="BH442:BH473" si="441">BE442*(1+$BF$1*$BF$2)</f>
        <v>0</v>
      </c>
      <c r="BI442" s="35">
        <f t="shared" ref="BI442:BI473" si="442">L442-2*BH442</f>
        <v>400</v>
      </c>
      <c r="BJ442" s="35">
        <f t="shared" ref="BJ442:BJ473" si="443">($BF$3/2-M442)/BB442+BD442+BC442</f>
        <v>39.080372138889075</v>
      </c>
    </row>
    <row r="443" spans="1:62">
      <c r="B443" s="35" t="s">
        <v>133</v>
      </c>
      <c r="C443" s="88" t="str">
        <f>'Cooler&amp;Wetter'!$B$1</f>
        <v>MIROC-Medres</v>
      </c>
      <c r="D443" s="89">
        <v>2001</v>
      </c>
      <c r="E443" s="90">
        <f>'Cooler&amp;Wetter'!AB29</f>
        <v>35.509166666666665</v>
      </c>
      <c r="F443" s="90">
        <f>'Cooler&amp;Wetter'!AD29</f>
        <v>21.679666666666666</v>
      </c>
      <c r="G443" s="35">
        <f t="shared" ref="G443:G506" si="444">$G$10</f>
        <v>2005</v>
      </c>
      <c r="H443" s="91" t="str">
        <f t="shared" si="424"/>
        <v>Pile 32 @ Berth 201</v>
      </c>
      <c r="I443" s="35" t="str">
        <f t="shared" si="425"/>
        <v>Turpentine Gum</v>
      </c>
      <c r="J443" s="35" t="str">
        <f t="shared" si="426"/>
        <v>HW1</v>
      </c>
      <c r="K443" s="35" t="str">
        <f t="shared" ref="K443:K506" si="445">$K$10</f>
        <v>SPHU</v>
      </c>
      <c r="L443" s="35">
        <f t="shared" si="427"/>
        <v>400</v>
      </c>
      <c r="M443" s="35">
        <f t="shared" si="428"/>
        <v>20</v>
      </c>
      <c r="N443" s="35">
        <f t="shared" si="429"/>
        <v>200</v>
      </c>
      <c r="O443" s="35" t="str">
        <f t="shared" si="430"/>
        <v>MTN2</v>
      </c>
      <c r="P443" s="35" t="str">
        <f t="shared" si="431"/>
        <v>CNT2</v>
      </c>
      <c r="Q443" s="35" t="str">
        <f t="shared" si="432"/>
        <v>KNT3</v>
      </c>
      <c r="R443" s="35" t="str">
        <f t="shared" si="433"/>
        <v>E</v>
      </c>
      <c r="S443" s="35" t="str">
        <f t="shared" si="434"/>
        <v>EXP1</v>
      </c>
      <c r="T443" s="58"/>
      <c r="U443" s="58"/>
      <c r="V443" s="58"/>
      <c r="W443" s="58"/>
      <c r="X443" s="58"/>
      <c r="Y443" s="58"/>
      <c r="Z443" s="58"/>
      <c r="AA443" s="95">
        <f t="shared" si="383"/>
        <v>0</v>
      </c>
      <c r="AB443" s="96">
        <f t="shared" ref="AB443:AB506" si="446">BE443</f>
        <v>0</v>
      </c>
      <c r="AC443" s="58"/>
      <c r="AD443" s="58"/>
      <c r="AE443" s="58"/>
      <c r="AF443" s="58"/>
      <c r="AG443" s="58"/>
      <c r="AH443" s="58"/>
      <c r="AI443" s="58"/>
      <c r="AJ443" s="58"/>
      <c r="AK443" s="58"/>
      <c r="AL443" s="58"/>
      <c r="AM443" s="89">
        <f t="shared" ref="AM443:AM506" si="447">MAX(0,D443-G443)</f>
        <v>0</v>
      </c>
      <c r="AN443" s="36">
        <f t="shared" si="435"/>
        <v>35.509166666666665</v>
      </c>
      <c r="AO443" s="35">
        <f t="shared" si="436"/>
        <v>1.6749303355113547</v>
      </c>
      <c r="AP443" s="35">
        <f>IF((OR(R443="A",R443="B",R443="C")),INDEX(Coefficients!$S$4:$S$22,MATCH(J443,Coefficients!$R$4:$R$22)),INDEX(Coefficients!$T$4:$T$22,MATCH(J443,Coefficients!$R$4:$R$22)))</f>
        <v>1.3</v>
      </c>
      <c r="AQ443" s="27">
        <f>IF((OR(R443="A",R443="B",R443="C")),INDEX(Coefficients!$S$4:$S$22,MATCH(K443,Coefficients!$R$4:$R$22)),INDEX(Coefficients!$T$4:$T$22,MATCH(K443,Coefficients!$R$4:$R$22)))</f>
        <v>25</v>
      </c>
      <c r="AR443" s="27">
        <f>IF(OR(R443="A",R443="B",R443="C",R443="D"),IF(AN443&gt;=11,IF(AN443&gt;=26,Coefficients!$M$6,Coefficients!$M$5),Coefficients!$M$4),IF(AN443&gt;=11,IF(AN443&gt;=26,Coefficients!$N$6,Coefficients!$N$5),Coefficients!$N$4))</f>
        <v>1</v>
      </c>
      <c r="AS443" s="27">
        <f>INDEX(Coefficients!$X$3:$X$4,MATCH(S443,Coefficients!$W$3:$W$4))</f>
        <v>1</v>
      </c>
      <c r="AT443" s="27">
        <f>INDEX(Coefficients!$X$7:$X$8,MATCH(O443,Coefficients!$W$7:$W$8))</f>
        <v>1</v>
      </c>
      <c r="AU443" s="27">
        <f>INDEX(Coefficients!$X$11:$X$12,MATCH(P443,Coefficients!$W$11:$W$12))</f>
        <v>1</v>
      </c>
      <c r="AV443" s="27">
        <f>INDEX(Coefficients!$X$15:$X$17,MATCH(Q443,Coefficients!$W$15:$W$17))</f>
        <v>1</v>
      </c>
      <c r="AW443" s="27">
        <f t="shared" ref="AW443:AW506" si="448">AR443*AS443</f>
        <v>1</v>
      </c>
      <c r="AX443" s="27">
        <f t="shared" ref="AX443:AX506" si="449">AT443*AU443*AV443</f>
        <v>1</v>
      </c>
      <c r="AY443" s="27">
        <f t="shared" ref="AY443:AY506" si="450">AP443*AR443*AS443*AT443*AU443*AV443</f>
        <v>1.3</v>
      </c>
      <c r="AZ443" s="35">
        <f t="shared" ref="AZ443:AZ506" si="451">AO443*AQ443*AW443*AX443</f>
        <v>41.873258387783871</v>
      </c>
      <c r="BA443" s="35">
        <f t="shared" ref="BA443:BA506" si="452">IF(AZ443&gt;=20,0,2-0.1*AZ443)</f>
        <v>0</v>
      </c>
      <c r="BB443" s="35">
        <f t="shared" ref="BB443:BB506" si="453">AO443*AP443*AR443*AS443*AT443*AU443*AV443</f>
        <v>2.1774094361647611</v>
      </c>
      <c r="BC443" s="35">
        <f t="shared" ref="BC443:BC506" si="454">IF(BB443&gt;=20,0,2-0.1*BB443)</f>
        <v>1.7822590563835239</v>
      </c>
      <c r="BD443" s="35">
        <f t="shared" si="437"/>
        <v>0.47763180535849609</v>
      </c>
      <c r="BE443" s="16">
        <f t="shared" si="438"/>
        <v>0</v>
      </c>
      <c r="BF443" s="16">
        <f t="shared" si="439"/>
        <v>400</v>
      </c>
      <c r="BG443" s="25">
        <f t="shared" si="440"/>
        <v>0</v>
      </c>
      <c r="BH443" s="35">
        <f t="shared" si="441"/>
        <v>0</v>
      </c>
      <c r="BI443" s="35">
        <f t="shared" si="442"/>
        <v>400</v>
      </c>
      <c r="BJ443" s="35">
        <f t="shared" si="443"/>
        <v>39.000798966241724</v>
      </c>
    </row>
    <row r="444" spans="1:62">
      <c r="B444" s="35" t="s">
        <v>133</v>
      </c>
      <c r="C444" s="88" t="str">
        <f>'Cooler&amp;Wetter'!$B$1</f>
        <v>MIROC-Medres</v>
      </c>
      <c r="D444" s="89">
        <v>2002</v>
      </c>
      <c r="E444" s="90">
        <f>'Cooler&amp;Wetter'!AB30</f>
        <v>35.51</v>
      </c>
      <c r="F444" s="90">
        <f>'Cooler&amp;Wetter'!AD30</f>
        <v>21.696000000000002</v>
      </c>
      <c r="G444" s="35">
        <f t="shared" si="444"/>
        <v>2005</v>
      </c>
      <c r="H444" s="91" t="str">
        <f t="shared" si="424"/>
        <v>Pile 32 @ Berth 201</v>
      </c>
      <c r="I444" s="35" t="str">
        <f t="shared" si="425"/>
        <v>Turpentine Gum</v>
      </c>
      <c r="J444" s="35" t="str">
        <f t="shared" si="426"/>
        <v>HW1</v>
      </c>
      <c r="K444" s="35" t="str">
        <f t="shared" si="445"/>
        <v>SPHU</v>
      </c>
      <c r="L444" s="35">
        <f t="shared" si="427"/>
        <v>400</v>
      </c>
      <c r="M444" s="35">
        <f t="shared" si="428"/>
        <v>20</v>
      </c>
      <c r="N444" s="35">
        <f t="shared" si="429"/>
        <v>200</v>
      </c>
      <c r="O444" s="35" t="str">
        <f t="shared" si="430"/>
        <v>MTN2</v>
      </c>
      <c r="P444" s="35" t="str">
        <f t="shared" si="431"/>
        <v>CNT2</v>
      </c>
      <c r="Q444" s="35" t="str">
        <f t="shared" si="432"/>
        <v>KNT3</v>
      </c>
      <c r="R444" s="35" t="str">
        <f t="shared" si="433"/>
        <v>E</v>
      </c>
      <c r="S444" s="35" t="str">
        <f t="shared" si="434"/>
        <v>EXP1</v>
      </c>
      <c r="T444" s="58"/>
      <c r="U444" s="58"/>
      <c r="V444" s="58"/>
      <c r="W444" s="58"/>
      <c r="X444" s="58"/>
      <c r="Y444" s="58"/>
      <c r="Z444" s="58"/>
      <c r="AA444" s="95">
        <f t="shared" si="383"/>
        <v>0</v>
      </c>
      <c r="AB444" s="96">
        <f t="shared" si="446"/>
        <v>0</v>
      </c>
      <c r="AC444" s="58"/>
      <c r="AD444" s="58"/>
      <c r="AE444" s="58"/>
      <c r="AF444" s="58"/>
      <c r="AG444" s="58"/>
      <c r="AH444" s="58"/>
      <c r="AI444" s="58"/>
      <c r="AJ444" s="58"/>
      <c r="AK444" s="58"/>
      <c r="AL444" s="58"/>
      <c r="AM444" s="89">
        <f t="shared" si="447"/>
        <v>0</v>
      </c>
      <c r="AN444" s="36">
        <f t="shared" si="435"/>
        <v>35.51</v>
      </c>
      <c r="AO444" s="35">
        <f t="shared" si="436"/>
        <v>1.6784905493464972</v>
      </c>
      <c r="AP444" s="35">
        <f>IF((OR(R444="A",R444="B",R444="C")),INDEX(Coefficients!$S$4:$S$22,MATCH(J444,Coefficients!$R$4:$R$22)),INDEX(Coefficients!$T$4:$T$22,MATCH(J444,Coefficients!$R$4:$R$22)))</f>
        <v>1.3</v>
      </c>
      <c r="AQ444" s="27">
        <f>IF((OR(R444="A",R444="B",R444="C")),INDEX(Coefficients!$S$4:$S$22,MATCH(K444,Coefficients!$R$4:$R$22)),INDEX(Coefficients!$T$4:$T$22,MATCH(K444,Coefficients!$R$4:$R$22)))</f>
        <v>25</v>
      </c>
      <c r="AR444" s="27">
        <f>IF(OR(R444="A",R444="B",R444="C",R444="D"),IF(AN444&gt;=11,IF(AN444&gt;=26,Coefficients!$M$6,Coefficients!$M$5),Coefficients!$M$4),IF(AN444&gt;=11,IF(AN444&gt;=26,Coefficients!$N$6,Coefficients!$N$5),Coefficients!$N$4))</f>
        <v>1</v>
      </c>
      <c r="AS444" s="27">
        <f>INDEX(Coefficients!$X$3:$X$4,MATCH(S444,Coefficients!$W$3:$W$4))</f>
        <v>1</v>
      </c>
      <c r="AT444" s="27">
        <f>INDEX(Coefficients!$X$7:$X$8,MATCH(O444,Coefficients!$W$7:$W$8))</f>
        <v>1</v>
      </c>
      <c r="AU444" s="27">
        <f>INDEX(Coefficients!$X$11:$X$12,MATCH(P444,Coefficients!$W$11:$W$12))</f>
        <v>1</v>
      </c>
      <c r="AV444" s="27">
        <f>INDEX(Coefficients!$X$15:$X$17,MATCH(Q444,Coefficients!$W$15:$W$17))</f>
        <v>1</v>
      </c>
      <c r="AW444" s="27">
        <f t="shared" si="448"/>
        <v>1</v>
      </c>
      <c r="AX444" s="27">
        <f t="shared" si="449"/>
        <v>1</v>
      </c>
      <c r="AY444" s="27">
        <f t="shared" si="450"/>
        <v>1.3</v>
      </c>
      <c r="AZ444" s="35">
        <f t="shared" si="451"/>
        <v>41.962263733662432</v>
      </c>
      <c r="BA444" s="35">
        <f t="shared" si="452"/>
        <v>0</v>
      </c>
      <c r="BB444" s="35">
        <f t="shared" si="453"/>
        <v>2.1820377141504466</v>
      </c>
      <c r="BC444" s="35">
        <f t="shared" si="454"/>
        <v>1.7817962285849553</v>
      </c>
      <c r="BD444" s="35">
        <f t="shared" si="437"/>
        <v>0.47661870977556092</v>
      </c>
      <c r="BE444" s="16">
        <f t="shared" si="438"/>
        <v>0</v>
      </c>
      <c r="BF444" s="16">
        <f t="shared" si="439"/>
        <v>400</v>
      </c>
      <c r="BG444" s="25">
        <f t="shared" si="440"/>
        <v>0</v>
      </c>
      <c r="BH444" s="35">
        <f t="shared" si="441"/>
        <v>0</v>
      </c>
      <c r="BI444" s="35">
        <f t="shared" si="442"/>
        <v>400</v>
      </c>
      <c r="BJ444" s="35">
        <f t="shared" si="443"/>
        <v>38.921392613403654</v>
      </c>
    </row>
    <row r="445" spans="1:62">
      <c r="B445" s="35" t="s">
        <v>133</v>
      </c>
      <c r="C445" s="88" t="str">
        <f>'Cooler&amp;Wetter'!$B$1</f>
        <v>MIROC-Medres</v>
      </c>
      <c r="D445" s="89">
        <v>2003</v>
      </c>
      <c r="E445" s="90">
        <f>'Cooler&amp;Wetter'!AB31</f>
        <v>35.510833333333331</v>
      </c>
      <c r="F445" s="90">
        <f>'Cooler&amp;Wetter'!AD31</f>
        <v>21.712333333333333</v>
      </c>
      <c r="G445" s="35">
        <f t="shared" si="444"/>
        <v>2005</v>
      </c>
      <c r="H445" s="91" t="str">
        <f t="shared" si="424"/>
        <v>Pile 32 @ Berth 201</v>
      </c>
      <c r="I445" s="35" t="str">
        <f t="shared" si="425"/>
        <v>Turpentine Gum</v>
      </c>
      <c r="J445" s="35" t="str">
        <f t="shared" si="426"/>
        <v>HW1</v>
      </c>
      <c r="K445" s="35" t="str">
        <f t="shared" si="445"/>
        <v>SPHU</v>
      </c>
      <c r="L445" s="35">
        <f t="shared" si="427"/>
        <v>400</v>
      </c>
      <c r="M445" s="35">
        <f t="shared" si="428"/>
        <v>20</v>
      </c>
      <c r="N445" s="35">
        <f t="shared" si="429"/>
        <v>200</v>
      </c>
      <c r="O445" s="35" t="str">
        <f t="shared" si="430"/>
        <v>MTN2</v>
      </c>
      <c r="P445" s="35" t="str">
        <f t="shared" si="431"/>
        <v>CNT2</v>
      </c>
      <c r="Q445" s="35" t="str">
        <f t="shared" si="432"/>
        <v>KNT3</v>
      </c>
      <c r="R445" s="35" t="str">
        <f t="shared" si="433"/>
        <v>E</v>
      </c>
      <c r="S445" s="35" t="str">
        <f t="shared" si="434"/>
        <v>EXP1</v>
      </c>
      <c r="T445" s="58"/>
      <c r="U445" s="58"/>
      <c r="V445" s="58"/>
      <c r="W445" s="58"/>
      <c r="X445" s="58"/>
      <c r="Y445" s="58"/>
      <c r="Z445" s="58"/>
      <c r="AA445" s="95">
        <f t="shared" si="383"/>
        <v>0</v>
      </c>
      <c r="AB445" s="96">
        <f t="shared" si="446"/>
        <v>0</v>
      </c>
      <c r="AC445" s="58"/>
      <c r="AD445" s="58"/>
      <c r="AE445" s="58"/>
      <c r="AF445" s="58"/>
      <c r="AG445" s="58"/>
      <c r="AH445" s="58"/>
      <c r="AI445" s="58"/>
      <c r="AJ445" s="58"/>
      <c r="AK445" s="58"/>
      <c r="AL445" s="58"/>
      <c r="AM445" s="89">
        <f t="shared" si="447"/>
        <v>0</v>
      </c>
      <c r="AN445" s="36">
        <f t="shared" si="435"/>
        <v>35.510833333333331</v>
      </c>
      <c r="AO445" s="35">
        <f t="shared" si="436"/>
        <v>1.6820583307337236</v>
      </c>
      <c r="AP445" s="35">
        <f>IF((OR(R445="A",R445="B",R445="C")),INDEX(Coefficients!$S$4:$S$22,MATCH(J445,Coefficients!$R$4:$R$22)),INDEX(Coefficients!$T$4:$T$22,MATCH(J445,Coefficients!$R$4:$R$22)))</f>
        <v>1.3</v>
      </c>
      <c r="AQ445" s="27">
        <f>IF((OR(R445="A",R445="B",R445="C")),INDEX(Coefficients!$S$4:$S$22,MATCH(K445,Coefficients!$R$4:$R$22)),INDEX(Coefficients!$T$4:$T$22,MATCH(K445,Coefficients!$R$4:$R$22)))</f>
        <v>25</v>
      </c>
      <c r="AR445" s="27">
        <f>IF(OR(R445="A",R445="B",R445="C",R445="D"),IF(AN445&gt;=11,IF(AN445&gt;=26,Coefficients!$M$6,Coefficients!$M$5),Coefficients!$M$4),IF(AN445&gt;=11,IF(AN445&gt;=26,Coefficients!$N$6,Coefficients!$N$5),Coefficients!$N$4))</f>
        <v>1</v>
      </c>
      <c r="AS445" s="27">
        <f>INDEX(Coefficients!$X$3:$X$4,MATCH(S445,Coefficients!$W$3:$W$4))</f>
        <v>1</v>
      </c>
      <c r="AT445" s="27">
        <f>INDEX(Coefficients!$X$7:$X$8,MATCH(O445,Coefficients!$W$7:$W$8))</f>
        <v>1</v>
      </c>
      <c r="AU445" s="27">
        <f>INDEX(Coefficients!$X$11:$X$12,MATCH(P445,Coefficients!$W$11:$W$12))</f>
        <v>1</v>
      </c>
      <c r="AV445" s="27">
        <f>INDEX(Coefficients!$X$15:$X$17,MATCH(Q445,Coefficients!$W$15:$W$17))</f>
        <v>1</v>
      </c>
      <c r="AW445" s="27">
        <f t="shared" si="448"/>
        <v>1</v>
      </c>
      <c r="AX445" s="27">
        <f t="shared" si="449"/>
        <v>1</v>
      </c>
      <c r="AY445" s="27">
        <f t="shared" si="450"/>
        <v>1.3</v>
      </c>
      <c r="AZ445" s="35">
        <f t="shared" si="451"/>
        <v>42.05145826834309</v>
      </c>
      <c r="BA445" s="35">
        <f t="shared" si="452"/>
        <v>0</v>
      </c>
      <c r="BB445" s="35">
        <f t="shared" si="453"/>
        <v>2.1866758299538409</v>
      </c>
      <c r="BC445" s="35">
        <f t="shared" si="454"/>
        <v>1.7813324170046159</v>
      </c>
      <c r="BD445" s="35">
        <f t="shared" si="437"/>
        <v>0.47560776305006935</v>
      </c>
      <c r="BE445" s="16">
        <f t="shared" si="438"/>
        <v>0</v>
      </c>
      <c r="BF445" s="16">
        <f t="shared" si="439"/>
        <v>400</v>
      </c>
      <c r="BG445" s="25">
        <f t="shared" si="440"/>
        <v>0</v>
      </c>
      <c r="BH445" s="35">
        <f t="shared" si="441"/>
        <v>0</v>
      </c>
      <c r="BI445" s="35">
        <f t="shared" si="442"/>
        <v>400</v>
      </c>
      <c r="BJ445" s="35">
        <f t="shared" si="443"/>
        <v>38.842152722367707</v>
      </c>
    </row>
    <row r="446" spans="1:62">
      <c r="B446" s="35" t="s">
        <v>133</v>
      </c>
      <c r="C446" s="88" t="str">
        <f>'Cooler&amp;Wetter'!$B$1</f>
        <v>MIROC-Medres</v>
      </c>
      <c r="D446" s="89">
        <v>2004</v>
      </c>
      <c r="E446" s="90">
        <f>'Cooler&amp;Wetter'!AB32</f>
        <v>35.511666666666663</v>
      </c>
      <c r="F446" s="90">
        <f>'Cooler&amp;Wetter'!AD32</f>
        <v>21.728666666666665</v>
      </c>
      <c r="G446" s="35">
        <f t="shared" si="444"/>
        <v>2005</v>
      </c>
      <c r="H446" s="91" t="str">
        <f t="shared" si="424"/>
        <v>Pile 32 @ Berth 201</v>
      </c>
      <c r="I446" s="35" t="str">
        <f t="shared" si="425"/>
        <v>Turpentine Gum</v>
      </c>
      <c r="J446" s="35" t="str">
        <f t="shared" si="426"/>
        <v>HW1</v>
      </c>
      <c r="K446" s="35" t="str">
        <f t="shared" si="445"/>
        <v>SPHU</v>
      </c>
      <c r="L446" s="35">
        <f t="shared" si="427"/>
        <v>400</v>
      </c>
      <c r="M446" s="35">
        <f t="shared" si="428"/>
        <v>20</v>
      </c>
      <c r="N446" s="35">
        <f t="shared" si="429"/>
        <v>200</v>
      </c>
      <c r="O446" s="35" t="str">
        <f t="shared" si="430"/>
        <v>MTN2</v>
      </c>
      <c r="P446" s="35" t="str">
        <f t="shared" si="431"/>
        <v>CNT2</v>
      </c>
      <c r="Q446" s="35" t="str">
        <f t="shared" si="432"/>
        <v>KNT3</v>
      </c>
      <c r="R446" s="35" t="str">
        <f t="shared" si="433"/>
        <v>E</v>
      </c>
      <c r="S446" s="35" t="str">
        <f t="shared" si="434"/>
        <v>EXP1</v>
      </c>
      <c r="T446" s="58"/>
      <c r="U446" s="58"/>
      <c r="V446" s="58"/>
      <c r="W446" s="58"/>
      <c r="X446" s="58"/>
      <c r="Y446" s="58"/>
      <c r="Z446" s="58"/>
      <c r="AA446" s="95">
        <f t="shared" si="383"/>
        <v>0</v>
      </c>
      <c r="AB446" s="96">
        <f t="shared" si="446"/>
        <v>0</v>
      </c>
      <c r="AC446" s="58"/>
      <c r="AD446" s="58"/>
      <c r="AE446" s="58"/>
      <c r="AF446" s="58"/>
      <c r="AG446" s="58"/>
      <c r="AH446" s="58"/>
      <c r="AI446" s="58"/>
      <c r="AJ446" s="58"/>
      <c r="AK446" s="58"/>
      <c r="AL446" s="58"/>
      <c r="AM446" s="89">
        <f t="shared" si="447"/>
        <v>0</v>
      </c>
      <c r="AN446" s="36">
        <f t="shared" si="435"/>
        <v>35.511666666666663</v>
      </c>
      <c r="AO446" s="35">
        <f t="shared" si="436"/>
        <v>1.6856336957585414</v>
      </c>
      <c r="AP446" s="35">
        <f>IF((OR(R446="A",R446="B",R446="C")),INDEX(Coefficients!$S$4:$S$22,MATCH(J446,Coefficients!$R$4:$R$22)),INDEX(Coefficients!$T$4:$T$22,MATCH(J446,Coefficients!$R$4:$R$22)))</f>
        <v>1.3</v>
      </c>
      <c r="AQ446" s="27">
        <f>IF((OR(R446="A",R446="B",R446="C")),INDEX(Coefficients!$S$4:$S$22,MATCH(K446,Coefficients!$R$4:$R$22)),INDEX(Coefficients!$T$4:$T$22,MATCH(K446,Coefficients!$R$4:$R$22)))</f>
        <v>25</v>
      </c>
      <c r="AR446" s="27">
        <f>IF(OR(R446="A",R446="B",R446="C",R446="D"),IF(AN446&gt;=11,IF(AN446&gt;=26,Coefficients!$M$6,Coefficients!$M$5),Coefficients!$M$4),IF(AN446&gt;=11,IF(AN446&gt;=26,Coefficients!$N$6,Coefficients!$N$5),Coefficients!$N$4))</f>
        <v>1</v>
      </c>
      <c r="AS446" s="27">
        <f>INDEX(Coefficients!$X$3:$X$4,MATCH(S446,Coefficients!$W$3:$W$4))</f>
        <v>1</v>
      </c>
      <c r="AT446" s="27">
        <f>INDEX(Coefficients!$X$7:$X$8,MATCH(O446,Coefficients!$W$7:$W$8))</f>
        <v>1</v>
      </c>
      <c r="AU446" s="27">
        <f>INDEX(Coefficients!$X$11:$X$12,MATCH(P446,Coefficients!$W$11:$W$12))</f>
        <v>1</v>
      </c>
      <c r="AV446" s="27">
        <f>INDEX(Coefficients!$X$15:$X$17,MATCH(Q446,Coefficients!$W$15:$W$17))</f>
        <v>1</v>
      </c>
      <c r="AW446" s="27">
        <f t="shared" si="448"/>
        <v>1</v>
      </c>
      <c r="AX446" s="27">
        <f t="shared" si="449"/>
        <v>1</v>
      </c>
      <c r="AY446" s="27">
        <f t="shared" si="450"/>
        <v>1.3</v>
      </c>
      <c r="AZ446" s="35">
        <f t="shared" si="451"/>
        <v>42.140842393963531</v>
      </c>
      <c r="BA446" s="35">
        <f t="shared" si="452"/>
        <v>0</v>
      </c>
      <c r="BB446" s="35">
        <f t="shared" si="453"/>
        <v>2.1913238044861041</v>
      </c>
      <c r="BC446" s="35">
        <f t="shared" si="454"/>
        <v>1.7808676195513895</v>
      </c>
      <c r="BD446" s="35">
        <f t="shared" si="437"/>
        <v>0.47459896062412132</v>
      </c>
      <c r="BE446" s="16">
        <f t="shared" si="438"/>
        <v>0</v>
      </c>
      <c r="BF446" s="16">
        <f t="shared" si="439"/>
        <v>400</v>
      </c>
      <c r="BG446" s="25">
        <f t="shared" si="440"/>
        <v>0</v>
      </c>
      <c r="BH446" s="35">
        <f t="shared" si="441"/>
        <v>0</v>
      </c>
      <c r="BI446" s="35">
        <f t="shared" si="442"/>
        <v>400</v>
      </c>
      <c r="BJ446" s="35">
        <f t="shared" si="443"/>
        <v>38.763078935877139</v>
      </c>
    </row>
    <row r="447" spans="1:62">
      <c r="B447" s="35" t="s">
        <v>133</v>
      </c>
      <c r="C447" s="88" t="str">
        <f>'Cooler&amp;Wetter'!$B$1</f>
        <v>MIROC-Medres</v>
      </c>
      <c r="D447" s="89">
        <v>2005</v>
      </c>
      <c r="E447" s="90">
        <f>'Cooler&amp;Wetter'!AB33</f>
        <v>35.512500000000003</v>
      </c>
      <c r="F447" s="90">
        <f>'Cooler&amp;Wetter'!AD33</f>
        <v>21.745000000000001</v>
      </c>
      <c r="G447" s="35">
        <f t="shared" si="444"/>
        <v>2005</v>
      </c>
      <c r="H447" s="91" t="str">
        <f t="shared" si="424"/>
        <v>Pile 32 @ Berth 201</v>
      </c>
      <c r="I447" s="35" t="str">
        <f t="shared" si="425"/>
        <v>Turpentine Gum</v>
      </c>
      <c r="J447" s="35" t="str">
        <f t="shared" si="426"/>
        <v>HW1</v>
      </c>
      <c r="K447" s="35" t="str">
        <f t="shared" si="445"/>
        <v>SPHU</v>
      </c>
      <c r="L447" s="35">
        <f t="shared" si="427"/>
        <v>400</v>
      </c>
      <c r="M447" s="35">
        <f t="shared" si="428"/>
        <v>20</v>
      </c>
      <c r="N447" s="35">
        <f t="shared" si="429"/>
        <v>200</v>
      </c>
      <c r="O447" s="35" t="str">
        <f t="shared" si="430"/>
        <v>MTN2</v>
      </c>
      <c r="P447" s="35" t="str">
        <f t="shared" si="431"/>
        <v>CNT2</v>
      </c>
      <c r="Q447" s="35" t="str">
        <f t="shared" si="432"/>
        <v>KNT3</v>
      </c>
      <c r="R447" s="35" t="str">
        <f t="shared" si="433"/>
        <v>E</v>
      </c>
      <c r="S447" s="35" t="str">
        <f t="shared" si="434"/>
        <v>EXP1</v>
      </c>
      <c r="T447" s="58"/>
      <c r="U447" s="58"/>
      <c r="V447" s="58"/>
      <c r="W447" s="58"/>
      <c r="X447" s="58"/>
      <c r="Y447" s="58"/>
      <c r="Z447" s="58"/>
      <c r="AA447" s="95">
        <f t="shared" si="383"/>
        <v>0</v>
      </c>
      <c r="AB447" s="96">
        <f t="shared" si="446"/>
        <v>0</v>
      </c>
      <c r="AC447" s="58"/>
      <c r="AD447" s="58"/>
      <c r="AE447" s="58"/>
      <c r="AF447" s="58"/>
      <c r="AG447" s="58"/>
      <c r="AH447" s="58"/>
      <c r="AI447" s="58"/>
      <c r="AJ447" s="58"/>
      <c r="AK447" s="58"/>
      <c r="AL447" s="58"/>
      <c r="AM447" s="89">
        <f t="shared" si="447"/>
        <v>0</v>
      </c>
      <c r="AN447" s="36">
        <f t="shared" si="435"/>
        <v>35.512500000000003</v>
      </c>
      <c r="AO447" s="35">
        <f t="shared" si="436"/>
        <v>1.6892166605406507</v>
      </c>
      <c r="AP447" s="35">
        <f>IF((OR(R447="A",R447="B",R447="C")),INDEX(Coefficients!$S$4:$S$22,MATCH(J447,Coefficients!$R$4:$R$22)),INDEX(Coefficients!$T$4:$T$22,MATCH(J447,Coefficients!$R$4:$R$22)))</f>
        <v>1.3</v>
      </c>
      <c r="AQ447" s="27">
        <f>IF((OR(R447="A",R447="B",R447="C")),INDEX(Coefficients!$S$4:$S$22,MATCH(K447,Coefficients!$R$4:$R$22)),INDEX(Coefficients!$T$4:$T$22,MATCH(K447,Coefficients!$R$4:$R$22)))</f>
        <v>25</v>
      </c>
      <c r="AR447" s="27">
        <f>IF(OR(R447="A",R447="B",R447="C",R447="D"),IF(AN447&gt;=11,IF(AN447&gt;=26,Coefficients!$M$6,Coefficients!$M$5),Coefficients!$M$4),IF(AN447&gt;=11,IF(AN447&gt;=26,Coefficients!$N$6,Coefficients!$N$5),Coefficients!$N$4))</f>
        <v>1</v>
      </c>
      <c r="AS447" s="27">
        <f>INDEX(Coefficients!$X$3:$X$4,MATCH(S447,Coefficients!$W$3:$W$4))</f>
        <v>1</v>
      </c>
      <c r="AT447" s="27">
        <f>INDEX(Coefficients!$X$7:$X$8,MATCH(O447,Coefficients!$W$7:$W$8))</f>
        <v>1</v>
      </c>
      <c r="AU447" s="27">
        <f>INDEX(Coefficients!$X$11:$X$12,MATCH(P447,Coefficients!$W$11:$W$12))</f>
        <v>1</v>
      </c>
      <c r="AV447" s="27">
        <f>INDEX(Coefficients!$X$15:$X$17,MATCH(Q447,Coefficients!$W$15:$W$17))</f>
        <v>1</v>
      </c>
      <c r="AW447" s="27">
        <f t="shared" si="448"/>
        <v>1</v>
      </c>
      <c r="AX447" s="27">
        <f t="shared" si="449"/>
        <v>1</v>
      </c>
      <c r="AY447" s="27">
        <f t="shared" si="450"/>
        <v>1.3</v>
      </c>
      <c r="AZ447" s="35">
        <f t="shared" si="451"/>
        <v>42.230416513516268</v>
      </c>
      <c r="BA447" s="35">
        <f t="shared" si="452"/>
        <v>0</v>
      </c>
      <c r="BB447" s="35">
        <f t="shared" si="453"/>
        <v>2.1959816587028458</v>
      </c>
      <c r="BC447" s="35">
        <f t="shared" si="454"/>
        <v>1.7804018341297154</v>
      </c>
      <c r="BD447" s="35">
        <f t="shared" si="437"/>
        <v>0.47359229794948388</v>
      </c>
      <c r="BE447" s="16">
        <f t="shared" si="438"/>
        <v>0</v>
      </c>
      <c r="BF447" s="16">
        <f t="shared" si="439"/>
        <v>400</v>
      </c>
      <c r="BG447" s="25">
        <f t="shared" si="440"/>
        <v>0</v>
      </c>
      <c r="BH447" s="35">
        <f t="shared" si="441"/>
        <v>0</v>
      </c>
      <c r="BI447" s="35">
        <f t="shared" si="442"/>
        <v>400</v>
      </c>
      <c r="BJ447" s="35">
        <f t="shared" si="443"/>
        <v>38.684170897424117</v>
      </c>
    </row>
    <row r="448" spans="1:62">
      <c r="B448" s="35" t="s">
        <v>133</v>
      </c>
      <c r="C448" s="88" t="str">
        <f>'Cooler&amp;Wetter'!$B$1</f>
        <v>MIROC-Medres</v>
      </c>
      <c r="D448" s="89">
        <v>2006</v>
      </c>
      <c r="E448" s="90">
        <f>'Cooler&amp;Wetter'!AB34</f>
        <v>35.513333333333335</v>
      </c>
      <c r="F448" s="90">
        <f>'Cooler&amp;Wetter'!AD34</f>
        <v>21.761333333333333</v>
      </c>
      <c r="G448" s="35">
        <f t="shared" si="444"/>
        <v>2005</v>
      </c>
      <c r="H448" s="91" t="str">
        <f t="shared" si="424"/>
        <v>Pile 32 @ Berth 201</v>
      </c>
      <c r="I448" s="35" t="str">
        <f t="shared" si="425"/>
        <v>Turpentine Gum</v>
      </c>
      <c r="J448" s="35" t="str">
        <f t="shared" si="426"/>
        <v>HW1</v>
      </c>
      <c r="K448" s="35" t="str">
        <f t="shared" si="445"/>
        <v>SPHU</v>
      </c>
      <c r="L448" s="35">
        <f t="shared" si="427"/>
        <v>400</v>
      </c>
      <c r="M448" s="35">
        <f t="shared" si="428"/>
        <v>20</v>
      </c>
      <c r="N448" s="35">
        <f t="shared" si="429"/>
        <v>200</v>
      </c>
      <c r="O448" s="35" t="str">
        <f t="shared" si="430"/>
        <v>MTN2</v>
      </c>
      <c r="P448" s="35" t="str">
        <f t="shared" si="431"/>
        <v>CNT2</v>
      </c>
      <c r="Q448" s="35" t="str">
        <f t="shared" si="432"/>
        <v>KNT3</v>
      </c>
      <c r="R448" s="35" t="str">
        <f t="shared" si="433"/>
        <v>E</v>
      </c>
      <c r="S448" s="35" t="str">
        <f t="shared" si="434"/>
        <v>EXP1</v>
      </c>
      <c r="T448" s="58"/>
      <c r="U448" s="58"/>
      <c r="V448" s="58"/>
      <c r="W448" s="58"/>
      <c r="X448" s="58"/>
      <c r="Y448" s="58"/>
      <c r="Z448" s="58"/>
      <c r="AA448" s="95">
        <f t="shared" si="383"/>
        <v>0.2</v>
      </c>
      <c r="AB448" s="96">
        <f t="shared" si="446"/>
        <v>20</v>
      </c>
      <c r="AC448" s="58"/>
      <c r="AD448" s="58"/>
      <c r="AE448" s="58"/>
      <c r="AF448" s="58"/>
      <c r="AG448" s="58"/>
      <c r="AH448" s="58"/>
      <c r="AI448" s="58"/>
      <c r="AJ448" s="58"/>
      <c r="AK448" s="58"/>
      <c r="AL448" s="58"/>
      <c r="AM448" s="89">
        <f t="shared" si="447"/>
        <v>1</v>
      </c>
      <c r="AN448" s="36">
        <f t="shared" si="435"/>
        <v>35.513333333333335</v>
      </c>
      <c r="AO448" s="35">
        <f t="shared" si="436"/>
        <v>1.6928072412340098</v>
      </c>
      <c r="AP448" s="35">
        <f>IF((OR(R448="A",R448="B",R448="C")),INDEX(Coefficients!$S$4:$S$22,MATCH(J448,Coefficients!$R$4:$R$22)),INDEX(Coefficients!$T$4:$T$22,MATCH(J448,Coefficients!$R$4:$R$22)))</f>
        <v>1.3</v>
      </c>
      <c r="AQ448" s="27">
        <f>IF((OR(R448="A",R448="B",R448="C")),INDEX(Coefficients!$S$4:$S$22,MATCH(K448,Coefficients!$R$4:$R$22)),INDEX(Coefficients!$T$4:$T$22,MATCH(K448,Coefficients!$R$4:$R$22)))</f>
        <v>25</v>
      </c>
      <c r="AR448" s="27">
        <f>IF(OR(R448="A",R448="B",R448="C",R448="D"),IF(AN448&gt;=11,IF(AN448&gt;=26,Coefficients!$M$6,Coefficients!$M$5),Coefficients!$M$4),IF(AN448&gt;=11,IF(AN448&gt;=26,Coefficients!$N$6,Coefficients!$N$5),Coefficients!$N$4))</f>
        <v>1</v>
      </c>
      <c r="AS448" s="27">
        <f>INDEX(Coefficients!$X$3:$X$4,MATCH(S448,Coefficients!$W$3:$W$4))</f>
        <v>1</v>
      </c>
      <c r="AT448" s="27">
        <f>INDEX(Coefficients!$X$7:$X$8,MATCH(O448,Coefficients!$W$7:$W$8))</f>
        <v>1</v>
      </c>
      <c r="AU448" s="27">
        <f>INDEX(Coefficients!$X$11:$X$12,MATCH(P448,Coefficients!$W$11:$W$12))</f>
        <v>1</v>
      </c>
      <c r="AV448" s="27">
        <f>INDEX(Coefficients!$X$15:$X$17,MATCH(Q448,Coefficients!$W$15:$W$17))</f>
        <v>1</v>
      </c>
      <c r="AW448" s="27">
        <f t="shared" si="448"/>
        <v>1</v>
      </c>
      <c r="AX448" s="27">
        <f t="shared" si="449"/>
        <v>1</v>
      </c>
      <c r="AY448" s="27">
        <f t="shared" si="450"/>
        <v>1.3</v>
      </c>
      <c r="AZ448" s="35">
        <f t="shared" si="451"/>
        <v>42.320181030850243</v>
      </c>
      <c r="BA448" s="35">
        <f t="shared" si="452"/>
        <v>0</v>
      </c>
      <c r="BB448" s="35">
        <f t="shared" si="453"/>
        <v>2.200649413604213</v>
      </c>
      <c r="BC448" s="35">
        <f t="shared" si="454"/>
        <v>1.7799350586395786</v>
      </c>
      <c r="BD448" s="35">
        <f t="shared" si="437"/>
        <v>0.47258777048757311</v>
      </c>
      <c r="BE448" s="16">
        <f t="shared" si="438"/>
        <v>20</v>
      </c>
      <c r="BF448" s="16">
        <f t="shared" si="439"/>
        <v>360</v>
      </c>
      <c r="BG448" s="25">
        <f t="shared" si="440"/>
        <v>0.2</v>
      </c>
      <c r="BH448" s="35">
        <f t="shared" si="441"/>
        <v>44</v>
      </c>
      <c r="BI448" s="35">
        <f t="shared" si="442"/>
        <v>312</v>
      </c>
      <c r="BJ448" s="35">
        <f t="shared" si="443"/>
        <v>38.605428251248156</v>
      </c>
    </row>
    <row r="449" spans="2:62">
      <c r="B449" s="35" t="s">
        <v>133</v>
      </c>
      <c r="C449" s="88" t="str">
        <f>'Cooler&amp;Wetter'!$B$1</f>
        <v>MIROC-Medres</v>
      </c>
      <c r="D449" s="89">
        <v>2007</v>
      </c>
      <c r="E449" s="90">
        <f>'Cooler&amp;Wetter'!AB35</f>
        <v>35.514166666666668</v>
      </c>
      <c r="F449" s="90">
        <f>'Cooler&amp;Wetter'!AD35</f>
        <v>21.777666666666665</v>
      </c>
      <c r="G449" s="35">
        <f t="shared" si="444"/>
        <v>2005</v>
      </c>
      <c r="H449" s="91" t="str">
        <f t="shared" si="424"/>
        <v>Pile 32 @ Berth 201</v>
      </c>
      <c r="I449" s="35" t="str">
        <f t="shared" si="425"/>
        <v>Turpentine Gum</v>
      </c>
      <c r="J449" s="35" t="str">
        <f t="shared" si="426"/>
        <v>HW1</v>
      </c>
      <c r="K449" s="35" t="str">
        <f t="shared" si="445"/>
        <v>SPHU</v>
      </c>
      <c r="L449" s="35">
        <f t="shared" si="427"/>
        <v>400</v>
      </c>
      <c r="M449" s="35">
        <f t="shared" si="428"/>
        <v>20</v>
      </c>
      <c r="N449" s="35">
        <f t="shared" si="429"/>
        <v>200</v>
      </c>
      <c r="O449" s="35" t="str">
        <f t="shared" si="430"/>
        <v>MTN2</v>
      </c>
      <c r="P449" s="35" t="str">
        <f t="shared" si="431"/>
        <v>CNT2</v>
      </c>
      <c r="Q449" s="35" t="str">
        <f t="shared" si="432"/>
        <v>KNT3</v>
      </c>
      <c r="R449" s="35" t="str">
        <f t="shared" si="433"/>
        <v>E</v>
      </c>
      <c r="S449" s="35" t="str">
        <f t="shared" si="434"/>
        <v>EXP1</v>
      </c>
      <c r="T449" s="58"/>
      <c r="U449" s="58"/>
      <c r="V449" s="58"/>
      <c r="W449" s="58"/>
      <c r="X449" s="58"/>
      <c r="Y449" s="58"/>
      <c r="Z449" s="58"/>
      <c r="AA449" s="95">
        <f t="shared" si="383"/>
        <v>0.2</v>
      </c>
      <c r="AB449" s="96">
        <f t="shared" si="446"/>
        <v>20</v>
      </c>
      <c r="AC449" s="58"/>
      <c r="AD449" s="58"/>
      <c r="AE449" s="58"/>
      <c r="AF449" s="58"/>
      <c r="AG449" s="58"/>
      <c r="AH449" s="58"/>
      <c r="AI449" s="58"/>
      <c r="AJ449" s="58"/>
      <c r="AK449" s="58"/>
      <c r="AL449" s="58"/>
      <c r="AM449" s="89">
        <f t="shared" si="447"/>
        <v>2</v>
      </c>
      <c r="AN449" s="36">
        <f t="shared" si="435"/>
        <v>35.514166666666668</v>
      </c>
      <c r="AO449" s="35">
        <f t="shared" si="436"/>
        <v>1.6964054540269196</v>
      </c>
      <c r="AP449" s="35">
        <f>IF((OR(R449="A",R449="B",R449="C")),INDEX(Coefficients!$S$4:$S$22,MATCH(J449,Coefficients!$R$4:$R$22)),INDEX(Coefficients!$T$4:$T$22,MATCH(J449,Coefficients!$R$4:$R$22)))</f>
        <v>1.3</v>
      </c>
      <c r="AQ449" s="27">
        <f>IF((OR(R449="A",R449="B",R449="C")),INDEX(Coefficients!$S$4:$S$22,MATCH(K449,Coefficients!$R$4:$R$22)),INDEX(Coefficients!$T$4:$T$22,MATCH(K449,Coefficients!$R$4:$R$22)))</f>
        <v>25</v>
      </c>
      <c r="AR449" s="27">
        <f>IF(OR(R449="A",R449="B",R449="C",R449="D"),IF(AN449&gt;=11,IF(AN449&gt;=26,Coefficients!$M$6,Coefficients!$M$5),Coefficients!$M$4),IF(AN449&gt;=11,IF(AN449&gt;=26,Coefficients!$N$6,Coefficients!$N$5),Coefficients!$N$4))</f>
        <v>1</v>
      </c>
      <c r="AS449" s="27">
        <f>INDEX(Coefficients!$X$3:$X$4,MATCH(S449,Coefficients!$W$3:$W$4))</f>
        <v>1</v>
      </c>
      <c r="AT449" s="27">
        <f>INDEX(Coefficients!$X$7:$X$8,MATCH(O449,Coefficients!$W$7:$W$8))</f>
        <v>1</v>
      </c>
      <c r="AU449" s="27">
        <f>INDEX(Coefficients!$X$11:$X$12,MATCH(P449,Coefficients!$W$11:$W$12))</f>
        <v>1</v>
      </c>
      <c r="AV449" s="27">
        <f>INDEX(Coefficients!$X$15:$X$17,MATCH(Q449,Coefficients!$W$15:$W$17))</f>
        <v>1</v>
      </c>
      <c r="AW449" s="27">
        <f t="shared" si="448"/>
        <v>1</v>
      </c>
      <c r="AX449" s="27">
        <f t="shared" si="449"/>
        <v>1</v>
      </c>
      <c r="AY449" s="27">
        <f t="shared" si="450"/>
        <v>1.3</v>
      </c>
      <c r="AZ449" s="35">
        <f t="shared" si="451"/>
        <v>42.410136350672985</v>
      </c>
      <c r="BA449" s="35">
        <f t="shared" si="452"/>
        <v>0</v>
      </c>
      <c r="BB449" s="35">
        <f t="shared" si="453"/>
        <v>2.2053270902349955</v>
      </c>
      <c r="BC449" s="35">
        <f t="shared" si="454"/>
        <v>1.7794672909765004</v>
      </c>
      <c r="BD449" s="35">
        <f t="shared" si="437"/>
        <v>0.47158537370942993</v>
      </c>
      <c r="BE449" s="16">
        <f t="shared" si="438"/>
        <v>20</v>
      </c>
      <c r="BF449" s="16">
        <f t="shared" si="439"/>
        <v>360</v>
      </c>
      <c r="BG449" s="25">
        <f t="shared" si="440"/>
        <v>0.2</v>
      </c>
      <c r="BH449" s="35">
        <f t="shared" si="441"/>
        <v>44</v>
      </c>
      <c r="BI449" s="35">
        <f t="shared" si="442"/>
        <v>312</v>
      </c>
      <c r="BJ449" s="35">
        <f t="shared" si="443"/>
        <v>38.526850642334381</v>
      </c>
    </row>
    <row r="450" spans="2:62">
      <c r="B450" s="35" t="s">
        <v>133</v>
      </c>
      <c r="C450" s="88" t="str">
        <f>'Cooler&amp;Wetter'!$B$1</f>
        <v>MIROC-Medres</v>
      </c>
      <c r="D450" s="89">
        <v>2008</v>
      </c>
      <c r="E450" s="90">
        <f>'Cooler&amp;Wetter'!AB36</f>
        <v>35.515000000000001</v>
      </c>
      <c r="F450" s="90">
        <f>'Cooler&amp;Wetter'!AD36</f>
        <v>21.794</v>
      </c>
      <c r="G450" s="35">
        <f t="shared" si="444"/>
        <v>2005</v>
      </c>
      <c r="H450" s="91" t="str">
        <f t="shared" si="424"/>
        <v>Pile 32 @ Berth 201</v>
      </c>
      <c r="I450" s="35" t="str">
        <f t="shared" si="425"/>
        <v>Turpentine Gum</v>
      </c>
      <c r="J450" s="35" t="str">
        <f t="shared" si="426"/>
        <v>HW1</v>
      </c>
      <c r="K450" s="35" t="str">
        <f t="shared" si="445"/>
        <v>SPHU</v>
      </c>
      <c r="L450" s="35">
        <f t="shared" si="427"/>
        <v>400</v>
      </c>
      <c r="M450" s="35">
        <f t="shared" si="428"/>
        <v>20</v>
      </c>
      <c r="N450" s="35">
        <f t="shared" si="429"/>
        <v>200</v>
      </c>
      <c r="O450" s="35" t="str">
        <f t="shared" si="430"/>
        <v>MTN2</v>
      </c>
      <c r="P450" s="35" t="str">
        <f t="shared" si="431"/>
        <v>CNT2</v>
      </c>
      <c r="Q450" s="35" t="str">
        <f t="shared" si="432"/>
        <v>KNT3</v>
      </c>
      <c r="R450" s="35" t="str">
        <f t="shared" si="433"/>
        <v>E</v>
      </c>
      <c r="S450" s="35" t="str">
        <f t="shared" si="434"/>
        <v>EXP1</v>
      </c>
      <c r="T450" s="58"/>
      <c r="U450" s="58"/>
      <c r="V450" s="58"/>
      <c r="W450" s="58"/>
      <c r="X450" s="58"/>
      <c r="Y450" s="58"/>
      <c r="Z450" s="58"/>
      <c r="AA450" s="95">
        <f t="shared" si="383"/>
        <v>0.21658431211386997</v>
      </c>
      <c r="AB450" s="96">
        <f t="shared" si="446"/>
        <v>21.658431211386997</v>
      </c>
      <c r="AC450" s="58"/>
      <c r="AD450" s="58"/>
      <c r="AE450" s="58"/>
      <c r="AF450" s="58"/>
      <c r="AG450" s="58"/>
      <c r="AH450" s="58"/>
      <c r="AI450" s="58"/>
      <c r="AJ450" s="58"/>
      <c r="AK450" s="58"/>
      <c r="AL450" s="58"/>
      <c r="AM450" s="89">
        <f t="shared" si="447"/>
        <v>3</v>
      </c>
      <c r="AN450" s="36">
        <f t="shared" si="435"/>
        <v>35.515000000000001</v>
      </c>
      <c r="AO450" s="35">
        <f t="shared" si="436"/>
        <v>1.7000113151420895</v>
      </c>
      <c r="AP450" s="35">
        <f>IF((OR(R450="A",R450="B",R450="C")),INDEX(Coefficients!$S$4:$S$22,MATCH(J450,Coefficients!$R$4:$R$22)),INDEX(Coefficients!$T$4:$T$22,MATCH(J450,Coefficients!$R$4:$R$22)))</f>
        <v>1.3</v>
      </c>
      <c r="AQ450" s="27">
        <f>IF((OR(R450="A",R450="B",R450="C")),INDEX(Coefficients!$S$4:$S$22,MATCH(K450,Coefficients!$R$4:$R$22)),INDEX(Coefficients!$T$4:$T$22,MATCH(K450,Coefficients!$R$4:$R$22)))</f>
        <v>25</v>
      </c>
      <c r="AR450" s="27">
        <f>IF(OR(R450="A",R450="B",R450="C",R450="D"),IF(AN450&gt;=11,IF(AN450&gt;=26,Coefficients!$M$6,Coefficients!$M$5),Coefficients!$M$4),IF(AN450&gt;=11,IF(AN450&gt;=26,Coefficients!$N$6,Coefficients!$N$5),Coefficients!$N$4))</f>
        <v>1</v>
      </c>
      <c r="AS450" s="27">
        <f>INDEX(Coefficients!$X$3:$X$4,MATCH(S450,Coefficients!$W$3:$W$4))</f>
        <v>1</v>
      </c>
      <c r="AT450" s="27">
        <f>INDEX(Coefficients!$X$7:$X$8,MATCH(O450,Coefficients!$W$7:$W$8))</f>
        <v>1</v>
      </c>
      <c r="AU450" s="27">
        <f>INDEX(Coefficients!$X$11:$X$12,MATCH(P450,Coefficients!$W$11:$W$12))</f>
        <v>1</v>
      </c>
      <c r="AV450" s="27">
        <f>INDEX(Coefficients!$X$15:$X$17,MATCH(Q450,Coefficients!$W$15:$W$17))</f>
        <v>1</v>
      </c>
      <c r="AW450" s="27">
        <f t="shared" si="448"/>
        <v>1</v>
      </c>
      <c r="AX450" s="27">
        <f t="shared" si="449"/>
        <v>1</v>
      </c>
      <c r="AY450" s="27">
        <f t="shared" si="450"/>
        <v>1.3</v>
      </c>
      <c r="AZ450" s="35">
        <f t="shared" si="451"/>
        <v>42.500282878552234</v>
      </c>
      <c r="BA450" s="35">
        <f t="shared" si="452"/>
        <v>0</v>
      </c>
      <c r="BB450" s="35">
        <f t="shared" si="453"/>
        <v>2.2100147096847165</v>
      </c>
      <c r="BC450" s="35">
        <f t="shared" si="454"/>
        <v>1.7789985290315284</v>
      </c>
      <c r="BD450" s="35">
        <f t="shared" si="437"/>
        <v>0.47058510309570195</v>
      </c>
      <c r="BE450" s="16">
        <f t="shared" si="438"/>
        <v>21.658431211386997</v>
      </c>
      <c r="BF450" s="16">
        <f t="shared" si="439"/>
        <v>356.68313757722603</v>
      </c>
      <c r="BG450" s="25">
        <f t="shared" si="440"/>
        <v>0.21658431211386997</v>
      </c>
      <c r="BH450" s="35">
        <f t="shared" si="441"/>
        <v>47.648548665051401</v>
      </c>
      <c r="BI450" s="35">
        <f t="shared" si="442"/>
        <v>304.70290266989718</v>
      </c>
      <c r="BJ450" s="35">
        <f t="shared" si="443"/>
        <v>38.448437716411988</v>
      </c>
    </row>
    <row r="451" spans="2:62">
      <c r="B451" s="35" t="s">
        <v>133</v>
      </c>
      <c r="C451" s="88" t="str">
        <f>'Cooler&amp;Wetter'!$B$1</f>
        <v>MIROC-Medres</v>
      </c>
      <c r="D451" s="89">
        <v>2009</v>
      </c>
      <c r="E451" s="90">
        <f>'Cooler&amp;Wetter'!AB37</f>
        <v>35.515833333333333</v>
      </c>
      <c r="F451" s="90">
        <f>'Cooler&amp;Wetter'!AD37</f>
        <v>21.810333333333332</v>
      </c>
      <c r="G451" s="35">
        <f t="shared" si="444"/>
        <v>2005</v>
      </c>
      <c r="H451" s="91" t="str">
        <f t="shared" si="424"/>
        <v>Pile 32 @ Berth 201</v>
      </c>
      <c r="I451" s="35" t="str">
        <f t="shared" si="425"/>
        <v>Turpentine Gum</v>
      </c>
      <c r="J451" s="35" t="str">
        <f t="shared" si="426"/>
        <v>HW1</v>
      </c>
      <c r="K451" s="35" t="str">
        <f t="shared" si="445"/>
        <v>SPHU</v>
      </c>
      <c r="L451" s="35">
        <f t="shared" si="427"/>
        <v>400</v>
      </c>
      <c r="M451" s="35">
        <f t="shared" si="428"/>
        <v>20</v>
      </c>
      <c r="N451" s="35">
        <f t="shared" si="429"/>
        <v>200</v>
      </c>
      <c r="O451" s="35" t="str">
        <f t="shared" si="430"/>
        <v>MTN2</v>
      </c>
      <c r="P451" s="35" t="str">
        <f t="shared" si="431"/>
        <v>CNT2</v>
      </c>
      <c r="Q451" s="35" t="str">
        <f t="shared" si="432"/>
        <v>KNT3</v>
      </c>
      <c r="R451" s="35" t="str">
        <f t="shared" si="433"/>
        <v>E</v>
      </c>
      <c r="S451" s="35" t="str">
        <f t="shared" si="434"/>
        <v>EXP1</v>
      </c>
      <c r="T451" s="58"/>
      <c r="U451" s="58"/>
      <c r="V451" s="58"/>
      <c r="W451" s="58"/>
      <c r="X451" s="58"/>
      <c r="Y451" s="58"/>
      <c r="Z451" s="58"/>
      <c r="AA451" s="95">
        <f t="shared" si="383"/>
        <v>0.23879919640290828</v>
      </c>
      <c r="AB451" s="96">
        <f t="shared" si="446"/>
        <v>23.879919640290829</v>
      </c>
      <c r="AC451" s="58"/>
      <c r="AD451" s="58"/>
      <c r="AE451" s="58"/>
      <c r="AF451" s="58"/>
      <c r="AG451" s="58"/>
      <c r="AH451" s="58"/>
      <c r="AI451" s="58"/>
      <c r="AJ451" s="58"/>
      <c r="AK451" s="58"/>
      <c r="AL451" s="58"/>
      <c r="AM451" s="89">
        <f t="shared" si="447"/>
        <v>4</v>
      </c>
      <c r="AN451" s="36">
        <f t="shared" si="435"/>
        <v>35.515833333333333</v>
      </c>
      <c r="AO451" s="35">
        <f t="shared" si="436"/>
        <v>1.7036248408367083</v>
      </c>
      <c r="AP451" s="35">
        <f>IF((OR(R451="A",R451="B",R451="C")),INDEX(Coefficients!$S$4:$S$22,MATCH(J451,Coefficients!$R$4:$R$22)),INDEX(Coefficients!$T$4:$T$22,MATCH(J451,Coefficients!$R$4:$R$22)))</f>
        <v>1.3</v>
      </c>
      <c r="AQ451" s="27">
        <f>IF((OR(R451="A",R451="B",R451="C")),INDEX(Coefficients!$S$4:$S$22,MATCH(K451,Coefficients!$R$4:$R$22)),INDEX(Coefficients!$T$4:$T$22,MATCH(K451,Coefficients!$R$4:$R$22)))</f>
        <v>25</v>
      </c>
      <c r="AR451" s="27">
        <f>IF(OR(R451="A",R451="B",R451="C",R451="D"),IF(AN451&gt;=11,IF(AN451&gt;=26,Coefficients!$M$6,Coefficients!$M$5),Coefficients!$M$4),IF(AN451&gt;=11,IF(AN451&gt;=26,Coefficients!$N$6,Coefficients!$N$5),Coefficients!$N$4))</f>
        <v>1</v>
      </c>
      <c r="AS451" s="27">
        <f>INDEX(Coefficients!$X$3:$X$4,MATCH(S451,Coefficients!$W$3:$W$4))</f>
        <v>1</v>
      </c>
      <c r="AT451" s="27">
        <f>INDEX(Coefficients!$X$7:$X$8,MATCH(O451,Coefficients!$W$7:$W$8))</f>
        <v>1</v>
      </c>
      <c r="AU451" s="27">
        <f>INDEX(Coefficients!$X$11:$X$12,MATCH(P451,Coefficients!$W$11:$W$12))</f>
        <v>1</v>
      </c>
      <c r="AV451" s="27">
        <f>INDEX(Coefficients!$X$15:$X$17,MATCH(Q451,Coefficients!$W$15:$W$17))</f>
        <v>1</v>
      </c>
      <c r="AW451" s="27">
        <f t="shared" si="448"/>
        <v>1</v>
      </c>
      <c r="AX451" s="27">
        <f t="shared" si="449"/>
        <v>1</v>
      </c>
      <c r="AY451" s="27">
        <f t="shared" si="450"/>
        <v>1.3</v>
      </c>
      <c r="AZ451" s="35">
        <f t="shared" si="451"/>
        <v>42.590621020917709</v>
      </c>
      <c r="BA451" s="35">
        <f t="shared" si="452"/>
        <v>0</v>
      </c>
      <c r="BB451" s="35">
        <f t="shared" si="453"/>
        <v>2.2147122930877208</v>
      </c>
      <c r="BC451" s="35">
        <f t="shared" si="454"/>
        <v>1.7785287706912278</v>
      </c>
      <c r="BD451" s="35">
        <f t="shared" si="437"/>
        <v>0.46958695413662355</v>
      </c>
      <c r="BE451" s="16">
        <f t="shared" si="438"/>
        <v>23.879919640290829</v>
      </c>
      <c r="BF451" s="16">
        <f t="shared" si="439"/>
        <v>352.24016071941833</v>
      </c>
      <c r="BG451" s="25">
        <f t="shared" si="440"/>
        <v>0.23879919640290828</v>
      </c>
      <c r="BH451" s="35">
        <f t="shared" si="441"/>
        <v>52.535823208639826</v>
      </c>
      <c r="BI451" s="35">
        <f t="shared" si="442"/>
        <v>294.92835358272032</v>
      </c>
      <c r="BJ451" s="35">
        <f t="shared" si="443"/>
        <v>38.370189119952741</v>
      </c>
    </row>
    <row r="452" spans="2:62">
      <c r="B452" s="35" t="s">
        <v>133</v>
      </c>
      <c r="C452" s="88" t="str">
        <f>'Cooler&amp;Wetter'!$B$1</f>
        <v>MIROC-Medres</v>
      </c>
      <c r="D452" s="89">
        <v>2010</v>
      </c>
      <c r="E452" s="90">
        <f>'Cooler&amp;Wetter'!AB38</f>
        <v>35.516666666666666</v>
      </c>
      <c r="F452" s="90">
        <f>'Cooler&amp;Wetter'!AD38</f>
        <v>21.826666666666668</v>
      </c>
      <c r="G452" s="35">
        <f t="shared" si="444"/>
        <v>2005</v>
      </c>
      <c r="H452" s="91" t="str">
        <f t="shared" si="424"/>
        <v>Pile 32 @ Berth 201</v>
      </c>
      <c r="I452" s="35" t="str">
        <f t="shared" si="425"/>
        <v>Turpentine Gum</v>
      </c>
      <c r="J452" s="35" t="str">
        <f t="shared" si="426"/>
        <v>HW1</v>
      </c>
      <c r="K452" s="35" t="str">
        <f t="shared" si="445"/>
        <v>SPHU</v>
      </c>
      <c r="L452" s="35">
        <f t="shared" si="427"/>
        <v>400</v>
      </c>
      <c r="M452" s="35">
        <f t="shared" si="428"/>
        <v>20</v>
      </c>
      <c r="N452" s="35">
        <f t="shared" si="429"/>
        <v>200</v>
      </c>
      <c r="O452" s="35" t="str">
        <f t="shared" si="430"/>
        <v>MTN2</v>
      </c>
      <c r="P452" s="35" t="str">
        <f t="shared" si="431"/>
        <v>CNT2</v>
      </c>
      <c r="Q452" s="35" t="str">
        <f t="shared" si="432"/>
        <v>KNT3</v>
      </c>
      <c r="R452" s="35" t="str">
        <f t="shared" si="433"/>
        <v>E</v>
      </c>
      <c r="S452" s="35" t="str">
        <f t="shared" si="434"/>
        <v>EXP1</v>
      </c>
      <c r="T452" s="58"/>
      <c r="U452" s="58"/>
      <c r="V452" s="58"/>
      <c r="W452" s="58"/>
      <c r="X452" s="58"/>
      <c r="Y452" s="58"/>
      <c r="Z452" s="58"/>
      <c r="AA452" s="95">
        <f t="shared" si="383"/>
        <v>0.2611084203708664</v>
      </c>
      <c r="AB452" s="96">
        <f t="shared" si="446"/>
        <v>26.110842037086641</v>
      </c>
      <c r="AC452" s="58"/>
      <c r="AD452" s="58"/>
      <c r="AE452" s="58"/>
      <c r="AF452" s="58"/>
      <c r="AG452" s="58"/>
      <c r="AH452" s="58"/>
      <c r="AI452" s="58"/>
      <c r="AJ452" s="58"/>
      <c r="AK452" s="58"/>
      <c r="AL452" s="58"/>
      <c r="AM452" s="89">
        <f t="shared" si="447"/>
        <v>5</v>
      </c>
      <c r="AN452" s="36">
        <f t="shared" si="435"/>
        <v>35.516666666666666</v>
      </c>
      <c r="AO452" s="35">
        <f t="shared" si="436"/>
        <v>1.7072460474025251</v>
      </c>
      <c r="AP452" s="35">
        <f>IF((OR(R452="A",R452="B",R452="C")),INDEX(Coefficients!$S$4:$S$22,MATCH(J452,Coefficients!$R$4:$R$22)),INDEX(Coefficients!$T$4:$T$22,MATCH(J452,Coefficients!$R$4:$R$22)))</f>
        <v>1.3</v>
      </c>
      <c r="AQ452" s="27">
        <f>IF((OR(R452="A",R452="B",R452="C")),INDEX(Coefficients!$S$4:$S$22,MATCH(K452,Coefficients!$R$4:$R$22)),INDEX(Coefficients!$T$4:$T$22,MATCH(K452,Coefficients!$R$4:$R$22)))</f>
        <v>25</v>
      </c>
      <c r="AR452" s="27">
        <f>IF(OR(R452="A",R452="B",R452="C",R452="D"),IF(AN452&gt;=11,IF(AN452&gt;=26,Coefficients!$M$6,Coefficients!$M$5),Coefficients!$M$4),IF(AN452&gt;=11,IF(AN452&gt;=26,Coefficients!$N$6,Coefficients!$N$5),Coefficients!$N$4))</f>
        <v>1</v>
      </c>
      <c r="AS452" s="27">
        <f>INDEX(Coefficients!$X$3:$X$4,MATCH(S452,Coefficients!$W$3:$W$4))</f>
        <v>1</v>
      </c>
      <c r="AT452" s="27">
        <f>INDEX(Coefficients!$X$7:$X$8,MATCH(O452,Coefficients!$W$7:$W$8))</f>
        <v>1</v>
      </c>
      <c r="AU452" s="27">
        <f>INDEX(Coefficients!$X$11:$X$12,MATCH(P452,Coefficients!$W$11:$W$12))</f>
        <v>1</v>
      </c>
      <c r="AV452" s="27">
        <f>INDEX(Coefficients!$X$15:$X$17,MATCH(Q452,Coefficients!$W$15:$W$17))</f>
        <v>1</v>
      </c>
      <c r="AW452" s="27">
        <f t="shared" si="448"/>
        <v>1</v>
      </c>
      <c r="AX452" s="27">
        <f t="shared" si="449"/>
        <v>1</v>
      </c>
      <c r="AY452" s="27">
        <f t="shared" si="450"/>
        <v>1.3</v>
      </c>
      <c r="AZ452" s="35">
        <f t="shared" si="451"/>
        <v>42.681151185063129</v>
      </c>
      <c r="BA452" s="35">
        <f t="shared" si="452"/>
        <v>0</v>
      </c>
      <c r="BB452" s="35">
        <f t="shared" si="453"/>
        <v>2.2194198616232828</v>
      </c>
      <c r="BC452" s="35">
        <f t="shared" si="454"/>
        <v>1.7780580138376716</v>
      </c>
      <c r="BD452" s="35">
        <f t="shared" si="437"/>
        <v>0.46859092233199373</v>
      </c>
      <c r="BE452" s="16">
        <f t="shared" si="438"/>
        <v>26.110842037086641</v>
      </c>
      <c r="BF452" s="16">
        <f t="shared" si="439"/>
        <v>347.77831592582675</v>
      </c>
      <c r="BG452" s="25">
        <f t="shared" si="440"/>
        <v>0.2611084203708664</v>
      </c>
      <c r="BH452" s="35">
        <f t="shared" si="441"/>
        <v>57.443852481590618</v>
      </c>
      <c r="BI452" s="35">
        <f t="shared" si="442"/>
        <v>285.11229503681875</v>
      </c>
      <c r="BJ452" s="35">
        <f t="shared" si="443"/>
        <v>38.292104500169181</v>
      </c>
    </row>
    <row r="453" spans="2:62">
      <c r="B453" s="35" t="s">
        <v>133</v>
      </c>
      <c r="C453" s="88" t="str">
        <f>'Cooler&amp;Wetter'!$B$1</f>
        <v>MIROC-Medres</v>
      </c>
      <c r="D453" s="89">
        <v>2011</v>
      </c>
      <c r="E453" s="90">
        <f>'Cooler&amp;Wetter'!AB39</f>
        <v>35.518333333333331</v>
      </c>
      <c r="F453" s="90">
        <f>'Cooler&amp;Wetter'!AD39</f>
        <v>21.859333333333332</v>
      </c>
      <c r="G453" s="35">
        <f t="shared" si="444"/>
        <v>2005</v>
      </c>
      <c r="H453" s="91" t="str">
        <f t="shared" si="424"/>
        <v>Pile 32 @ Berth 201</v>
      </c>
      <c r="I453" s="35" t="str">
        <f t="shared" si="425"/>
        <v>Turpentine Gum</v>
      </c>
      <c r="J453" s="35" t="str">
        <f t="shared" si="426"/>
        <v>HW1</v>
      </c>
      <c r="K453" s="35" t="str">
        <f t="shared" si="445"/>
        <v>SPHU</v>
      </c>
      <c r="L453" s="35">
        <f t="shared" si="427"/>
        <v>400</v>
      </c>
      <c r="M453" s="35">
        <f t="shared" si="428"/>
        <v>20</v>
      </c>
      <c r="N453" s="35">
        <f t="shared" si="429"/>
        <v>200</v>
      </c>
      <c r="O453" s="35" t="str">
        <f t="shared" si="430"/>
        <v>MTN2</v>
      </c>
      <c r="P453" s="35" t="str">
        <f t="shared" si="431"/>
        <v>CNT2</v>
      </c>
      <c r="Q453" s="35" t="str">
        <f t="shared" si="432"/>
        <v>KNT3</v>
      </c>
      <c r="R453" s="35" t="str">
        <f t="shared" si="433"/>
        <v>E</v>
      </c>
      <c r="S453" s="35" t="str">
        <f t="shared" si="434"/>
        <v>EXP1</v>
      </c>
      <c r="T453" s="58"/>
      <c r="U453" s="58"/>
      <c r="V453" s="58"/>
      <c r="W453" s="58"/>
      <c r="X453" s="58"/>
      <c r="Y453" s="58"/>
      <c r="Z453" s="58"/>
      <c r="AA453" s="95">
        <f t="shared" si="383"/>
        <v>0.28372244092360355</v>
      </c>
      <c r="AB453" s="96">
        <f t="shared" si="446"/>
        <v>28.372244092360354</v>
      </c>
      <c r="AC453" s="58"/>
      <c r="AD453" s="58"/>
      <c r="AE453" s="58"/>
      <c r="AF453" s="58"/>
      <c r="AG453" s="58"/>
      <c r="AH453" s="58"/>
      <c r="AI453" s="58"/>
      <c r="AJ453" s="58"/>
      <c r="AK453" s="58"/>
      <c r="AL453" s="58"/>
      <c r="AM453" s="89">
        <f t="shared" si="447"/>
        <v>6</v>
      </c>
      <c r="AN453" s="36">
        <f t="shared" si="435"/>
        <v>35.518333333333331</v>
      </c>
      <c r="AO453" s="35">
        <f t="shared" si="436"/>
        <v>1.7145115684879606</v>
      </c>
      <c r="AP453" s="35">
        <f>IF((OR(R453="A",R453="B",R453="C")),INDEX(Coefficients!$S$4:$S$22,MATCH(J453,Coefficients!$R$4:$R$22)),INDEX(Coefficients!$T$4:$T$22,MATCH(J453,Coefficients!$R$4:$R$22)))</f>
        <v>1.3</v>
      </c>
      <c r="AQ453" s="27">
        <f>IF((OR(R453="A",R453="B",R453="C")),INDEX(Coefficients!$S$4:$S$22,MATCH(K453,Coefficients!$R$4:$R$22)),INDEX(Coefficients!$T$4:$T$22,MATCH(K453,Coefficients!$R$4:$R$22)))</f>
        <v>25</v>
      </c>
      <c r="AR453" s="27">
        <f>IF(OR(R453="A",R453="B",R453="C",R453="D"),IF(AN453&gt;=11,IF(AN453&gt;=26,Coefficients!$M$6,Coefficients!$M$5),Coefficients!$M$4),IF(AN453&gt;=11,IF(AN453&gt;=26,Coefficients!$N$6,Coefficients!$N$5),Coefficients!$N$4))</f>
        <v>1</v>
      </c>
      <c r="AS453" s="27">
        <f>INDEX(Coefficients!$X$3:$X$4,MATCH(S453,Coefficients!$W$3:$W$4))</f>
        <v>1</v>
      </c>
      <c r="AT453" s="27">
        <f>INDEX(Coefficients!$X$7:$X$8,MATCH(O453,Coefficients!$W$7:$W$8))</f>
        <v>1</v>
      </c>
      <c r="AU453" s="27">
        <f>INDEX(Coefficients!$X$11:$X$12,MATCH(P453,Coefficients!$W$11:$W$12))</f>
        <v>1</v>
      </c>
      <c r="AV453" s="27">
        <f>INDEX(Coefficients!$X$15:$X$17,MATCH(Q453,Coefficients!$W$15:$W$17))</f>
        <v>1</v>
      </c>
      <c r="AW453" s="27">
        <f t="shared" si="448"/>
        <v>1</v>
      </c>
      <c r="AX453" s="27">
        <f t="shared" si="449"/>
        <v>1</v>
      </c>
      <c r="AY453" s="27">
        <f t="shared" si="450"/>
        <v>1.3</v>
      </c>
      <c r="AZ453" s="35">
        <f t="shared" si="451"/>
        <v>42.862789212199019</v>
      </c>
      <c r="BA453" s="35">
        <f t="shared" si="452"/>
        <v>0</v>
      </c>
      <c r="BB453" s="35">
        <f t="shared" si="453"/>
        <v>2.228865039034349</v>
      </c>
      <c r="BC453" s="35">
        <f t="shared" si="454"/>
        <v>1.7771134960965651</v>
      </c>
      <c r="BD453" s="35">
        <f t="shared" si="437"/>
        <v>0.46660519223298408</v>
      </c>
      <c r="BE453" s="16">
        <f t="shared" si="438"/>
        <v>28.372244092360354</v>
      </c>
      <c r="BF453" s="16">
        <f t="shared" si="439"/>
        <v>343.25551181527931</v>
      </c>
      <c r="BG453" s="25">
        <f t="shared" si="440"/>
        <v>0.28372244092360355</v>
      </c>
      <c r="BH453" s="35">
        <f t="shared" si="441"/>
        <v>62.418937003192788</v>
      </c>
      <c r="BI453" s="35">
        <f t="shared" si="442"/>
        <v>275.16212599361444</v>
      </c>
      <c r="BJ453" s="35">
        <f t="shared" si="443"/>
        <v>38.136425783174481</v>
      </c>
    </row>
    <row r="454" spans="2:62">
      <c r="B454" s="35" t="s">
        <v>133</v>
      </c>
      <c r="C454" s="88" t="str">
        <f>'Cooler&amp;Wetter'!$B$1</f>
        <v>MIROC-Medres</v>
      </c>
      <c r="D454" s="89">
        <v>2012</v>
      </c>
      <c r="E454" s="90">
        <f>'Cooler&amp;Wetter'!AB40</f>
        <v>35.520000000000003</v>
      </c>
      <c r="F454" s="90">
        <f>'Cooler&amp;Wetter'!AD40</f>
        <v>21.891999999999999</v>
      </c>
      <c r="G454" s="35">
        <f t="shared" si="444"/>
        <v>2005</v>
      </c>
      <c r="H454" s="91" t="str">
        <f t="shared" si="424"/>
        <v>Pile 32 @ Berth 201</v>
      </c>
      <c r="I454" s="35" t="str">
        <f t="shared" si="425"/>
        <v>Turpentine Gum</v>
      </c>
      <c r="J454" s="35" t="str">
        <f t="shared" si="426"/>
        <v>HW1</v>
      </c>
      <c r="K454" s="35" t="str">
        <f t="shared" si="445"/>
        <v>SPHU</v>
      </c>
      <c r="L454" s="35">
        <f t="shared" si="427"/>
        <v>400</v>
      </c>
      <c r="M454" s="35">
        <f t="shared" si="428"/>
        <v>20</v>
      </c>
      <c r="N454" s="35">
        <f t="shared" si="429"/>
        <v>200</v>
      </c>
      <c r="O454" s="35" t="str">
        <f t="shared" si="430"/>
        <v>MTN2</v>
      </c>
      <c r="P454" s="35" t="str">
        <f t="shared" si="431"/>
        <v>CNT2</v>
      </c>
      <c r="Q454" s="35" t="str">
        <f t="shared" si="432"/>
        <v>KNT3</v>
      </c>
      <c r="R454" s="35" t="str">
        <f t="shared" si="433"/>
        <v>E</v>
      </c>
      <c r="S454" s="35" t="str">
        <f t="shared" si="434"/>
        <v>EXP1</v>
      </c>
      <c r="T454" s="58"/>
      <c r="U454" s="58"/>
      <c r="V454" s="58"/>
      <c r="W454" s="58"/>
      <c r="X454" s="58"/>
      <c r="Y454" s="58"/>
      <c r="Z454" s="58"/>
      <c r="AA454" s="95">
        <f t="shared" si="383"/>
        <v>0.30652773318074744</v>
      </c>
      <c r="AB454" s="96">
        <f t="shared" si="446"/>
        <v>30.652773318074743</v>
      </c>
      <c r="AC454" s="58"/>
      <c r="AD454" s="58"/>
      <c r="AE454" s="58"/>
      <c r="AF454" s="58"/>
      <c r="AG454" s="58"/>
      <c r="AH454" s="58"/>
      <c r="AI454" s="58"/>
      <c r="AJ454" s="58"/>
      <c r="AK454" s="58"/>
      <c r="AL454" s="58"/>
      <c r="AM454" s="89">
        <f t="shared" si="447"/>
        <v>7</v>
      </c>
      <c r="AN454" s="36">
        <f t="shared" si="435"/>
        <v>35.520000000000003</v>
      </c>
      <c r="AO454" s="35">
        <f t="shared" si="436"/>
        <v>1.721808009426292</v>
      </c>
      <c r="AP454" s="35">
        <f>IF((OR(R454="A",R454="B",R454="C")),INDEX(Coefficients!$S$4:$S$22,MATCH(J454,Coefficients!$R$4:$R$22)),INDEX(Coefficients!$T$4:$T$22,MATCH(J454,Coefficients!$R$4:$R$22)))</f>
        <v>1.3</v>
      </c>
      <c r="AQ454" s="27">
        <f>IF((OR(R454="A",R454="B",R454="C")),INDEX(Coefficients!$S$4:$S$22,MATCH(K454,Coefficients!$R$4:$R$22)),INDEX(Coefficients!$T$4:$T$22,MATCH(K454,Coefficients!$R$4:$R$22)))</f>
        <v>25</v>
      </c>
      <c r="AR454" s="27">
        <f>IF(OR(R454="A",R454="B",R454="C",R454="D"),IF(AN454&gt;=11,IF(AN454&gt;=26,Coefficients!$M$6,Coefficients!$M$5),Coefficients!$M$4),IF(AN454&gt;=11,IF(AN454&gt;=26,Coefficients!$N$6,Coefficients!$N$5),Coefficients!$N$4))</f>
        <v>1</v>
      </c>
      <c r="AS454" s="27">
        <f>INDEX(Coefficients!$X$3:$X$4,MATCH(S454,Coefficients!$W$3:$W$4))</f>
        <v>1</v>
      </c>
      <c r="AT454" s="27">
        <f>INDEX(Coefficients!$X$7:$X$8,MATCH(O454,Coefficients!$W$7:$W$8))</f>
        <v>1</v>
      </c>
      <c r="AU454" s="27">
        <f>INDEX(Coefficients!$X$11:$X$12,MATCH(P454,Coefficients!$W$11:$W$12))</f>
        <v>1</v>
      </c>
      <c r="AV454" s="27">
        <f>INDEX(Coefficients!$X$15:$X$17,MATCH(Q454,Coefficients!$W$15:$W$17))</f>
        <v>1</v>
      </c>
      <c r="AW454" s="27">
        <f t="shared" si="448"/>
        <v>1</v>
      </c>
      <c r="AX454" s="27">
        <f t="shared" si="449"/>
        <v>1</v>
      </c>
      <c r="AY454" s="27">
        <f t="shared" si="450"/>
        <v>1.3</v>
      </c>
      <c r="AZ454" s="35">
        <f t="shared" si="451"/>
        <v>43.045200235657298</v>
      </c>
      <c r="BA454" s="35">
        <f t="shared" si="452"/>
        <v>0</v>
      </c>
      <c r="BB454" s="35">
        <f t="shared" si="453"/>
        <v>2.2383504122541797</v>
      </c>
      <c r="BC454" s="35">
        <f t="shared" si="454"/>
        <v>1.776164958774582</v>
      </c>
      <c r="BD454" s="35">
        <f t="shared" si="437"/>
        <v>0.46462787698760954</v>
      </c>
      <c r="BE454" s="16">
        <f t="shared" si="438"/>
        <v>30.652773318074743</v>
      </c>
      <c r="BF454" s="16">
        <f t="shared" si="439"/>
        <v>338.69445336385053</v>
      </c>
      <c r="BG454" s="25">
        <f t="shared" si="440"/>
        <v>0.30652773318074744</v>
      </c>
      <c r="BH454" s="35">
        <f t="shared" si="441"/>
        <v>67.436101299764445</v>
      </c>
      <c r="BI454" s="35">
        <f t="shared" si="442"/>
        <v>265.12779740047108</v>
      </c>
      <c r="BJ454" s="35">
        <f t="shared" si="443"/>
        <v>37.981398757885991</v>
      </c>
    </row>
    <row r="455" spans="2:62">
      <c r="B455" s="35" t="s">
        <v>133</v>
      </c>
      <c r="C455" s="88" t="str">
        <f>'Cooler&amp;Wetter'!$B$1</f>
        <v>MIROC-Medres</v>
      </c>
      <c r="D455" s="89">
        <v>2013</v>
      </c>
      <c r="E455" s="90">
        <f>'Cooler&amp;Wetter'!AB41</f>
        <v>35.521666666666668</v>
      </c>
      <c r="F455" s="90">
        <f>'Cooler&amp;Wetter'!AD41</f>
        <v>21.924666666666667</v>
      </c>
      <c r="G455" s="35">
        <f t="shared" si="444"/>
        <v>2005</v>
      </c>
      <c r="H455" s="91" t="str">
        <f t="shared" si="424"/>
        <v>Pile 32 @ Berth 201</v>
      </c>
      <c r="I455" s="35" t="str">
        <f t="shared" si="425"/>
        <v>Turpentine Gum</v>
      </c>
      <c r="J455" s="35" t="str">
        <f t="shared" si="426"/>
        <v>HW1</v>
      </c>
      <c r="K455" s="35" t="str">
        <f t="shared" si="445"/>
        <v>SPHU</v>
      </c>
      <c r="L455" s="35">
        <f t="shared" si="427"/>
        <v>400</v>
      </c>
      <c r="M455" s="35">
        <f t="shared" si="428"/>
        <v>20</v>
      </c>
      <c r="N455" s="35">
        <f t="shared" si="429"/>
        <v>200</v>
      </c>
      <c r="O455" s="35" t="str">
        <f t="shared" si="430"/>
        <v>MTN2</v>
      </c>
      <c r="P455" s="35" t="str">
        <f t="shared" si="431"/>
        <v>CNT2</v>
      </c>
      <c r="Q455" s="35" t="str">
        <f t="shared" si="432"/>
        <v>KNT3</v>
      </c>
      <c r="R455" s="35" t="str">
        <f t="shared" si="433"/>
        <v>E</v>
      </c>
      <c r="S455" s="35" t="str">
        <f t="shared" si="434"/>
        <v>EXP1</v>
      </c>
      <c r="T455" s="58"/>
      <c r="U455" s="58"/>
      <c r="V455" s="58"/>
      <c r="W455" s="58"/>
      <c r="X455" s="58"/>
      <c r="Y455" s="58"/>
      <c r="Z455" s="58"/>
      <c r="AA455" s="95">
        <f t="shared" si="383"/>
        <v>0.32952551633691302</v>
      </c>
      <c r="AB455" s="96">
        <f t="shared" si="446"/>
        <v>32.9525516336913</v>
      </c>
      <c r="AC455" s="58"/>
      <c r="AD455" s="58"/>
      <c r="AE455" s="58"/>
      <c r="AF455" s="58"/>
      <c r="AG455" s="58"/>
      <c r="AH455" s="58"/>
      <c r="AI455" s="58"/>
      <c r="AJ455" s="58"/>
      <c r="AK455" s="58"/>
      <c r="AL455" s="58"/>
      <c r="AM455" s="89">
        <f t="shared" si="447"/>
        <v>8</v>
      </c>
      <c r="AN455" s="36">
        <f t="shared" si="435"/>
        <v>35.521666666666668</v>
      </c>
      <c r="AO455" s="35">
        <f t="shared" si="436"/>
        <v>1.7291355018030314</v>
      </c>
      <c r="AP455" s="35">
        <f>IF((OR(R455="A",R455="B",R455="C")),INDEX(Coefficients!$S$4:$S$22,MATCH(J455,Coefficients!$R$4:$R$22)),INDEX(Coefficients!$T$4:$T$22,MATCH(J455,Coefficients!$R$4:$R$22)))</f>
        <v>1.3</v>
      </c>
      <c r="AQ455" s="27">
        <f>IF((OR(R455="A",R455="B",R455="C")),INDEX(Coefficients!$S$4:$S$22,MATCH(K455,Coefficients!$R$4:$R$22)),INDEX(Coefficients!$T$4:$T$22,MATCH(K455,Coefficients!$R$4:$R$22)))</f>
        <v>25</v>
      </c>
      <c r="AR455" s="27">
        <f>IF(OR(R455="A",R455="B",R455="C",R455="D"),IF(AN455&gt;=11,IF(AN455&gt;=26,Coefficients!$M$6,Coefficients!$M$5),Coefficients!$M$4),IF(AN455&gt;=11,IF(AN455&gt;=26,Coefficients!$N$6,Coefficients!$N$5),Coefficients!$N$4))</f>
        <v>1</v>
      </c>
      <c r="AS455" s="27">
        <f>INDEX(Coefficients!$X$3:$X$4,MATCH(S455,Coefficients!$W$3:$W$4))</f>
        <v>1</v>
      </c>
      <c r="AT455" s="27">
        <f>INDEX(Coefficients!$X$7:$X$8,MATCH(O455,Coefficients!$W$7:$W$8))</f>
        <v>1</v>
      </c>
      <c r="AU455" s="27">
        <f>INDEX(Coefficients!$X$11:$X$12,MATCH(P455,Coefficients!$W$11:$W$12))</f>
        <v>1</v>
      </c>
      <c r="AV455" s="27">
        <f>INDEX(Coefficients!$X$15:$X$17,MATCH(Q455,Coefficients!$W$15:$W$17))</f>
        <v>1</v>
      </c>
      <c r="AW455" s="27">
        <f t="shared" si="448"/>
        <v>1</v>
      </c>
      <c r="AX455" s="27">
        <f t="shared" si="449"/>
        <v>1</v>
      </c>
      <c r="AY455" s="27">
        <f t="shared" si="450"/>
        <v>1.3</v>
      </c>
      <c r="AZ455" s="35">
        <f t="shared" si="451"/>
        <v>43.228387545075783</v>
      </c>
      <c r="BA455" s="35">
        <f t="shared" si="452"/>
        <v>0</v>
      </c>
      <c r="BB455" s="35">
        <f t="shared" si="453"/>
        <v>2.2478761523439408</v>
      </c>
      <c r="BC455" s="35">
        <f t="shared" si="454"/>
        <v>1.7752123847656058</v>
      </c>
      <c r="BD455" s="35">
        <f t="shared" si="437"/>
        <v>0.46265894093656135</v>
      </c>
      <c r="BE455" s="16">
        <f t="shared" si="438"/>
        <v>32.9525516336913</v>
      </c>
      <c r="BF455" s="16">
        <f t="shared" si="439"/>
        <v>334.09489673261737</v>
      </c>
      <c r="BG455" s="25">
        <f t="shared" si="440"/>
        <v>0.32952551633691302</v>
      </c>
      <c r="BH455" s="35">
        <f t="shared" si="441"/>
        <v>72.495613594120869</v>
      </c>
      <c r="BI455" s="35">
        <f t="shared" si="442"/>
        <v>255.00877281175826</v>
      </c>
      <c r="BJ455" s="35">
        <f t="shared" si="443"/>
        <v>37.827020628514575</v>
      </c>
    </row>
    <row r="456" spans="2:62">
      <c r="B456" s="35" t="s">
        <v>133</v>
      </c>
      <c r="C456" s="88" t="str">
        <f>'Cooler&amp;Wetter'!$B$1</f>
        <v>MIROC-Medres</v>
      </c>
      <c r="D456" s="89">
        <v>2014</v>
      </c>
      <c r="E456" s="90">
        <f>'Cooler&amp;Wetter'!AB42</f>
        <v>35.523333333333333</v>
      </c>
      <c r="F456" s="90">
        <f>'Cooler&amp;Wetter'!AD42</f>
        <v>21.957333333333334</v>
      </c>
      <c r="G456" s="35">
        <f t="shared" si="444"/>
        <v>2005</v>
      </c>
      <c r="H456" s="91" t="str">
        <f t="shared" si="424"/>
        <v>Pile 32 @ Berth 201</v>
      </c>
      <c r="I456" s="35" t="str">
        <f t="shared" si="425"/>
        <v>Turpentine Gum</v>
      </c>
      <c r="J456" s="35" t="str">
        <f t="shared" si="426"/>
        <v>HW1</v>
      </c>
      <c r="K456" s="35" t="str">
        <f t="shared" si="445"/>
        <v>SPHU</v>
      </c>
      <c r="L456" s="35">
        <f t="shared" si="427"/>
        <v>400</v>
      </c>
      <c r="M456" s="35">
        <f t="shared" si="428"/>
        <v>20</v>
      </c>
      <c r="N456" s="35">
        <f t="shared" si="429"/>
        <v>200</v>
      </c>
      <c r="O456" s="35" t="str">
        <f t="shared" si="430"/>
        <v>MTN2</v>
      </c>
      <c r="P456" s="35" t="str">
        <f t="shared" si="431"/>
        <v>CNT2</v>
      </c>
      <c r="Q456" s="35" t="str">
        <f t="shared" si="432"/>
        <v>KNT3</v>
      </c>
      <c r="R456" s="35" t="str">
        <f t="shared" si="433"/>
        <v>E</v>
      </c>
      <c r="S456" s="35" t="str">
        <f t="shared" si="434"/>
        <v>EXP1</v>
      </c>
      <c r="T456" s="58"/>
      <c r="U456" s="58"/>
      <c r="V456" s="58"/>
      <c r="W456" s="58"/>
      <c r="X456" s="58"/>
      <c r="Y456" s="58"/>
      <c r="Z456" s="58"/>
      <c r="AA456" s="95">
        <f t="shared" si="383"/>
        <v>0.35271701650619264</v>
      </c>
      <c r="AB456" s="96">
        <f t="shared" si="446"/>
        <v>35.271701650619264</v>
      </c>
      <c r="AC456" s="58"/>
      <c r="AD456" s="58"/>
      <c r="AE456" s="58"/>
      <c r="AF456" s="58"/>
      <c r="AG456" s="58"/>
      <c r="AH456" s="58"/>
      <c r="AI456" s="58"/>
      <c r="AJ456" s="58"/>
      <c r="AK456" s="58"/>
      <c r="AL456" s="58"/>
      <c r="AM456" s="89">
        <f t="shared" si="447"/>
        <v>9</v>
      </c>
      <c r="AN456" s="36">
        <f t="shared" si="435"/>
        <v>35.523333333333333</v>
      </c>
      <c r="AO456" s="35">
        <f t="shared" si="436"/>
        <v>1.736494177763676</v>
      </c>
      <c r="AP456" s="35">
        <f>IF((OR(R456="A",R456="B",R456="C")),INDEX(Coefficients!$S$4:$S$22,MATCH(J456,Coefficients!$R$4:$R$22)),INDEX(Coefficients!$T$4:$T$22,MATCH(J456,Coefficients!$R$4:$R$22)))</f>
        <v>1.3</v>
      </c>
      <c r="AQ456" s="27">
        <f>IF((OR(R456="A",R456="B",R456="C")),INDEX(Coefficients!$S$4:$S$22,MATCH(K456,Coefficients!$R$4:$R$22)),INDEX(Coefficients!$T$4:$T$22,MATCH(K456,Coefficients!$R$4:$R$22)))</f>
        <v>25</v>
      </c>
      <c r="AR456" s="27">
        <f>IF(OR(R456="A",R456="B",R456="C",R456="D"),IF(AN456&gt;=11,IF(AN456&gt;=26,Coefficients!$M$6,Coefficients!$M$5),Coefficients!$M$4),IF(AN456&gt;=11,IF(AN456&gt;=26,Coefficients!$N$6,Coefficients!$N$5),Coefficients!$N$4))</f>
        <v>1</v>
      </c>
      <c r="AS456" s="27">
        <f>INDEX(Coefficients!$X$3:$X$4,MATCH(S456,Coefficients!$W$3:$W$4))</f>
        <v>1</v>
      </c>
      <c r="AT456" s="27">
        <f>INDEX(Coefficients!$X$7:$X$8,MATCH(O456,Coefficients!$W$7:$W$8))</f>
        <v>1</v>
      </c>
      <c r="AU456" s="27">
        <f>INDEX(Coefficients!$X$11:$X$12,MATCH(P456,Coefficients!$W$11:$W$12))</f>
        <v>1</v>
      </c>
      <c r="AV456" s="27">
        <f>INDEX(Coefficients!$X$15:$X$17,MATCH(Q456,Coefficients!$W$15:$W$17))</f>
        <v>1</v>
      </c>
      <c r="AW456" s="27">
        <f t="shared" si="448"/>
        <v>1</v>
      </c>
      <c r="AX456" s="27">
        <f t="shared" si="449"/>
        <v>1</v>
      </c>
      <c r="AY456" s="27">
        <f t="shared" si="450"/>
        <v>1.3</v>
      </c>
      <c r="AZ456" s="35">
        <f t="shared" si="451"/>
        <v>43.412354444091896</v>
      </c>
      <c r="BA456" s="35">
        <f t="shared" si="452"/>
        <v>0</v>
      </c>
      <c r="BB456" s="35">
        <f t="shared" si="453"/>
        <v>2.257442431092779</v>
      </c>
      <c r="BC456" s="35">
        <f t="shared" si="454"/>
        <v>1.774255756890722</v>
      </c>
      <c r="BD456" s="35">
        <f t="shared" si="437"/>
        <v>0.46069834857164382</v>
      </c>
      <c r="BE456" s="16">
        <f t="shared" si="438"/>
        <v>35.271701650619264</v>
      </c>
      <c r="BF456" s="16">
        <f t="shared" si="439"/>
        <v>329.45659669876147</v>
      </c>
      <c r="BG456" s="25">
        <f t="shared" si="440"/>
        <v>0.35271701650619264</v>
      </c>
      <c r="BH456" s="35">
        <f t="shared" si="441"/>
        <v>77.597743631362391</v>
      </c>
      <c r="BI456" s="35">
        <f t="shared" si="442"/>
        <v>244.80451273727522</v>
      </c>
      <c r="BJ456" s="35">
        <f t="shared" si="443"/>
        <v>37.67328861097343</v>
      </c>
    </row>
    <row r="457" spans="2:62">
      <c r="B457" s="35" t="s">
        <v>133</v>
      </c>
      <c r="C457" s="88" t="str">
        <f>'Cooler&amp;Wetter'!$B$1</f>
        <v>MIROC-Medres</v>
      </c>
      <c r="D457" s="89">
        <v>2015</v>
      </c>
      <c r="E457" s="90">
        <f>'Cooler&amp;Wetter'!AB43</f>
        <v>35.524999999999999</v>
      </c>
      <c r="F457" s="90">
        <f>'Cooler&amp;Wetter'!AD43</f>
        <v>21.99</v>
      </c>
      <c r="G457" s="35">
        <f t="shared" si="444"/>
        <v>2005</v>
      </c>
      <c r="H457" s="91" t="str">
        <f t="shared" si="424"/>
        <v>Pile 32 @ Berth 201</v>
      </c>
      <c r="I457" s="35" t="str">
        <f t="shared" si="425"/>
        <v>Turpentine Gum</v>
      </c>
      <c r="J457" s="35" t="str">
        <f t="shared" si="426"/>
        <v>HW1</v>
      </c>
      <c r="K457" s="35" t="str">
        <f t="shared" si="445"/>
        <v>SPHU</v>
      </c>
      <c r="L457" s="35">
        <f t="shared" si="427"/>
        <v>400</v>
      </c>
      <c r="M457" s="35">
        <f t="shared" si="428"/>
        <v>20</v>
      </c>
      <c r="N457" s="35">
        <f t="shared" si="429"/>
        <v>200</v>
      </c>
      <c r="O457" s="35" t="str">
        <f t="shared" si="430"/>
        <v>MTN2</v>
      </c>
      <c r="P457" s="35" t="str">
        <f t="shared" si="431"/>
        <v>CNT2</v>
      </c>
      <c r="Q457" s="35" t="str">
        <f t="shared" si="432"/>
        <v>KNT3</v>
      </c>
      <c r="R457" s="35" t="str">
        <f t="shared" si="433"/>
        <v>E</v>
      </c>
      <c r="S457" s="35" t="str">
        <f t="shared" si="434"/>
        <v>EXP1</v>
      </c>
      <c r="T457" s="58"/>
      <c r="U457" s="58"/>
      <c r="V457" s="58"/>
      <c r="W457" s="58"/>
      <c r="X457" s="58"/>
      <c r="Y457" s="58"/>
      <c r="Z457" s="58"/>
      <c r="AA457" s="95">
        <f t="shared" si="383"/>
        <v>0.37610346675902512</v>
      </c>
      <c r="AB457" s="96">
        <f t="shared" si="446"/>
        <v>37.610346675902512</v>
      </c>
      <c r="AC457" s="58"/>
      <c r="AD457" s="58"/>
      <c r="AE457" s="58"/>
      <c r="AF457" s="58"/>
      <c r="AG457" s="58"/>
      <c r="AH457" s="58"/>
      <c r="AI457" s="58"/>
      <c r="AJ457" s="58"/>
      <c r="AK457" s="58"/>
      <c r="AL457" s="58"/>
      <c r="AM457" s="89">
        <f t="shared" si="447"/>
        <v>10</v>
      </c>
      <c r="AN457" s="36">
        <f t="shared" si="435"/>
        <v>35.524999999999999</v>
      </c>
      <c r="AO457" s="35">
        <f t="shared" si="436"/>
        <v>1.7438841700160943</v>
      </c>
      <c r="AP457" s="35">
        <f>IF((OR(R457="A",R457="B",R457="C")),INDEX(Coefficients!$S$4:$S$22,MATCH(J457,Coefficients!$R$4:$R$22)),INDEX(Coefficients!$T$4:$T$22,MATCH(J457,Coefficients!$R$4:$R$22)))</f>
        <v>1.3</v>
      </c>
      <c r="AQ457" s="27">
        <f>IF((OR(R457="A",R457="B",R457="C")),INDEX(Coefficients!$S$4:$S$22,MATCH(K457,Coefficients!$R$4:$R$22)),INDEX(Coefficients!$T$4:$T$22,MATCH(K457,Coefficients!$R$4:$R$22)))</f>
        <v>25</v>
      </c>
      <c r="AR457" s="27">
        <f>IF(OR(R457="A",R457="B",R457="C",R457="D"),IF(AN457&gt;=11,IF(AN457&gt;=26,Coefficients!$M$6,Coefficients!$M$5),Coefficients!$M$4),IF(AN457&gt;=11,IF(AN457&gt;=26,Coefficients!$N$6,Coefficients!$N$5),Coefficients!$N$4))</f>
        <v>1</v>
      </c>
      <c r="AS457" s="27">
        <f>INDEX(Coefficients!$X$3:$X$4,MATCH(S457,Coefficients!$W$3:$W$4))</f>
        <v>1</v>
      </c>
      <c r="AT457" s="27">
        <f>INDEX(Coefficients!$X$7:$X$8,MATCH(O457,Coefficients!$W$7:$W$8))</f>
        <v>1</v>
      </c>
      <c r="AU457" s="27">
        <f>INDEX(Coefficients!$X$11:$X$12,MATCH(P457,Coefficients!$W$11:$W$12))</f>
        <v>1</v>
      </c>
      <c r="AV457" s="27">
        <f>INDEX(Coefficients!$X$15:$X$17,MATCH(Q457,Coefficients!$W$15:$W$17))</f>
        <v>1</v>
      </c>
      <c r="AW457" s="27">
        <f t="shared" si="448"/>
        <v>1</v>
      </c>
      <c r="AX457" s="27">
        <f t="shared" si="449"/>
        <v>1</v>
      </c>
      <c r="AY457" s="27">
        <f t="shared" si="450"/>
        <v>1.3</v>
      </c>
      <c r="AZ457" s="35">
        <f t="shared" si="451"/>
        <v>43.59710425040236</v>
      </c>
      <c r="BA457" s="35">
        <f t="shared" si="452"/>
        <v>0</v>
      </c>
      <c r="BB457" s="35">
        <f t="shared" si="453"/>
        <v>2.2670494210209227</v>
      </c>
      <c r="BC457" s="35">
        <f t="shared" si="454"/>
        <v>1.7732950578979076</v>
      </c>
      <c r="BD457" s="35">
        <f t="shared" si="437"/>
        <v>0.45874606453513295</v>
      </c>
      <c r="BE457" s="16">
        <f t="shared" si="438"/>
        <v>37.610346675902512</v>
      </c>
      <c r="BF457" s="16">
        <f t="shared" si="439"/>
        <v>324.77930664819496</v>
      </c>
      <c r="BG457" s="25">
        <f t="shared" si="440"/>
        <v>0.37610346675902512</v>
      </c>
      <c r="BH457" s="35">
        <f t="shared" si="441"/>
        <v>82.742762686985529</v>
      </c>
      <c r="BI457" s="35">
        <f t="shared" si="442"/>
        <v>234.51447462602894</v>
      </c>
      <c r="BJ457" s="35">
        <f t="shared" si="443"/>
        <v>37.520199932827879</v>
      </c>
    </row>
    <row r="458" spans="2:62">
      <c r="B458" s="35" t="s">
        <v>133</v>
      </c>
      <c r="C458" s="88" t="str">
        <f>'Cooler&amp;Wetter'!$B$1</f>
        <v>MIROC-Medres</v>
      </c>
      <c r="D458" s="89">
        <v>2016</v>
      </c>
      <c r="E458" s="90">
        <f>'Cooler&amp;Wetter'!AB44</f>
        <v>35.526666666666664</v>
      </c>
      <c r="F458" s="90">
        <f>'Cooler&amp;Wetter'!AD44</f>
        <v>22.022666666666666</v>
      </c>
      <c r="G458" s="35">
        <f t="shared" si="444"/>
        <v>2005</v>
      </c>
      <c r="H458" s="91" t="str">
        <f t="shared" si="424"/>
        <v>Pile 32 @ Berth 201</v>
      </c>
      <c r="I458" s="35" t="str">
        <f t="shared" si="425"/>
        <v>Turpentine Gum</v>
      </c>
      <c r="J458" s="35" t="str">
        <f t="shared" si="426"/>
        <v>HW1</v>
      </c>
      <c r="K458" s="35" t="str">
        <f t="shared" si="445"/>
        <v>SPHU</v>
      </c>
      <c r="L458" s="35">
        <f t="shared" si="427"/>
        <v>400</v>
      </c>
      <c r="M458" s="35">
        <f t="shared" si="428"/>
        <v>20</v>
      </c>
      <c r="N458" s="35">
        <f t="shared" si="429"/>
        <v>200</v>
      </c>
      <c r="O458" s="35" t="str">
        <f t="shared" si="430"/>
        <v>MTN2</v>
      </c>
      <c r="P458" s="35" t="str">
        <f t="shared" si="431"/>
        <v>CNT2</v>
      </c>
      <c r="Q458" s="35" t="str">
        <f t="shared" si="432"/>
        <v>KNT3</v>
      </c>
      <c r="R458" s="35" t="str">
        <f t="shared" si="433"/>
        <v>E</v>
      </c>
      <c r="S458" s="35" t="str">
        <f t="shared" si="434"/>
        <v>EXP1</v>
      </c>
      <c r="T458" s="58"/>
      <c r="U458" s="58"/>
      <c r="V458" s="58"/>
      <c r="W458" s="58"/>
      <c r="X458" s="58"/>
      <c r="Y458" s="58"/>
      <c r="Z458" s="58"/>
      <c r="AA458" s="95">
        <f t="shared" si="383"/>
        <v>0.39968610715925551</v>
      </c>
      <c r="AB458" s="96">
        <f t="shared" si="446"/>
        <v>39.96861071592555</v>
      </c>
      <c r="AC458" s="58"/>
      <c r="AD458" s="58"/>
      <c r="AE458" s="58"/>
      <c r="AF458" s="58"/>
      <c r="AG458" s="58"/>
      <c r="AH458" s="58"/>
      <c r="AI458" s="58"/>
      <c r="AJ458" s="58"/>
      <c r="AK458" s="58"/>
      <c r="AL458" s="58"/>
      <c r="AM458" s="89">
        <f t="shared" si="447"/>
        <v>11</v>
      </c>
      <c r="AN458" s="36">
        <f t="shared" si="435"/>
        <v>35.526666666666664</v>
      </c>
      <c r="AO458" s="35">
        <f t="shared" si="436"/>
        <v>1.7513056118329242</v>
      </c>
      <c r="AP458" s="35">
        <f>IF((OR(R458="A",R458="B",R458="C")),INDEX(Coefficients!$S$4:$S$22,MATCH(J458,Coefficients!$R$4:$R$22)),INDEX(Coefficients!$T$4:$T$22,MATCH(J458,Coefficients!$R$4:$R$22)))</f>
        <v>1.3</v>
      </c>
      <c r="AQ458" s="27">
        <f>IF((OR(R458="A",R458="B",R458="C")),INDEX(Coefficients!$S$4:$S$22,MATCH(K458,Coefficients!$R$4:$R$22)),INDEX(Coefficients!$T$4:$T$22,MATCH(K458,Coefficients!$R$4:$R$22)))</f>
        <v>25</v>
      </c>
      <c r="AR458" s="27">
        <f>IF(OR(R458="A",R458="B",R458="C",R458="D"),IF(AN458&gt;=11,IF(AN458&gt;=26,Coefficients!$M$6,Coefficients!$M$5),Coefficients!$M$4),IF(AN458&gt;=11,IF(AN458&gt;=26,Coefficients!$N$6,Coefficients!$N$5),Coefficients!$N$4))</f>
        <v>1</v>
      </c>
      <c r="AS458" s="27">
        <f>INDEX(Coefficients!$X$3:$X$4,MATCH(S458,Coefficients!$W$3:$W$4))</f>
        <v>1</v>
      </c>
      <c r="AT458" s="27">
        <f>INDEX(Coefficients!$X$7:$X$8,MATCH(O458,Coefficients!$W$7:$W$8))</f>
        <v>1</v>
      </c>
      <c r="AU458" s="27">
        <f>INDEX(Coefficients!$X$11:$X$12,MATCH(P458,Coefficients!$W$11:$W$12))</f>
        <v>1</v>
      </c>
      <c r="AV458" s="27">
        <f>INDEX(Coefficients!$X$15:$X$17,MATCH(Q458,Coefficients!$W$15:$W$17))</f>
        <v>1</v>
      </c>
      <c r="AW458" s="27">
        <f t="shared" si="448"/>
        <v>1</v>
      </c>
      <c r="AX458" s="27">
        <f t="shared" si="449"/>
        <v>1</v>
      </c>
      <c r="AY458" s="27">
        <f t="shared" si="450"/>
        <v>1.3</v>
      </c>
      <c r="AZ458" s="35">
        <f t="shared" si="451"/>
        <v>43.782640295823107</v>
      </c>
      <c r="BA458" s="35">
        <f t="shared" si="452"/>
        <v>0</v>
      </c>
      <c r="BB458" s="35">
        <f t="shared" si="453"/>
        <v>2.2766972953828017</v>
      </c>
      <c r="BC458" s="35">
        <f t="shared" si="454"/>
        <v>1.7723302704617199</v>
      </c>
      <c r="BD458" s="35">
        <f t="shared" si="437"/>
        <v>0.45680205361913756</v>
      </c>
      <c r="BE458" s="16">
        <f t="shared" si="438"/>
        <v>39.96861071592555</v>
      </c>
      <c r="BF458" s="16">
        <f t="shared" si="439"/>
        <v>320.06277856814893</v>
      </c>
      <c r="BG458" s="25">
        <f t="shared" si="440"/>
        <v>0.39968610715925551</v>
      </c>
      <c r="BH458" s="35">
        <f t="shared" si="441"/>
        <v>87.93094357503621</v>
      </c>
      <c r="BI458" s="35">
        <f t="shared" si="442"/>
        <v>224.13811284992758</v>
      </c>
      <c r="BJ458" s="35">
        <f t="shared" si="443"/>
        <v>37.367751833245286</v>
      </c>
    </row>
    <row r="459" spans="2:62">
      <c r="B459" s="35" t="s">
        <v>133</v>
      </c>
      <c r="C459" s="88" t="str">
        <f>'Cooler&amp;Wetter'!$B$1</f>
        <v>MIROC-Medres</v>
      </c>
      <c r="D459" s="89">
        <v>2017</v>
      </c>
      <c r="E459" s="90">
        <f>'Cooler&amp;Wetter'!AB45</f>
        <v>35.528333333333336</v>
      </c>
      <c r="F459" s="90">
        <f>'Cooler&amp;Wetter'!AD45</f>
        <v>22.055333333333333</v>
      </c>
      <c r="G459" s="35">
        <f t="shared" si="444"/>
        <v>2005</v>
      </c>
      <c r="H459" s="91" t="str">
        <f t="shared" si="424"/>
        <v>Pile 32 @ Berth 201</v>
      </c>
      <c r="I459" s="35" t="str">
        <f t="shared" si="425"/>
        <v>Turpentine Gum</v>
      </c>
      <c r="J459" s="35" t="str">
        <f t="shared" si="426"/>
        <v>HW1</v>
      </c>
      <c r="K459" s="35" t="str">
        <f t="shared" si="445"/>
        <v>SPHU</v>
      </c>
      <c r="L459" s="35">
        <f t="shared" si="427"/>
        <v>400</v>
      </c>
      <c r="M459" s="35">
        <f t="shared" si="428"/>
        <v>20</v>
      </c>
      <c r="N459" s="35">
        <f t="shared" si="429"/>
        <v>200</v>
      </c>
      <c r="O459" s="35" t="str">
        <f t="shared" si="430"/>
        <v>MTN2</v>
      </c>
      <c r="P459" s="35" t="str">
        <f t="shared" si="431"/>
        <v>CNT2</v>
      </c>
      <c r="Q459" s="35" t="str">
        <f t="shared" si="432"/>
        <v>KNT3</v>
      </c>
      <c r="R459" s="35" t="str">
        <f t="shared" si="433"/>
        <v>E</v>
      </c>
      <c r="S459" s="35" t="str">
        <f t="shared" si="434"/>
        <v>EXP1</v>
      </c>
      <c r="T459" s="58"/>
      <c r="U459" s="58"/>
      <c r="V459" s="58"/>
      <c r="W459" s="58"/>
      <c r="X459" s="58"/>
      <c r="Y459" s="58"/>
      <c r="Z459" s="58"/>
      <c r="AA459" s="95">
        <f t="shared" ref="AA459:AA512" si="455">BG459</f>
        <v>0.4234661848013816</v>
      </c>
      <c r="AB459" s="96">
        <f t="shared" si="446"/>
        <v>42.346618480138162</v>
      </c>
      <c r="AC459" s="58"/>
      <c r="AD459" s="58"/>
      <c r="AE459" s="58"/>
      <c r="AF459" s="58"/>
      <c r="AG459" s="58"/>
      <c r="AH459" s="58"/>
      <c r="AI459" s="58"/>
      <c r="AJ459" s="58"/>
      <c r="AK459" s="58"/>
      <c r="AL459" s="58"/>
      <c r="AM459" s="89">
        <f t="shared" si="447"/>
        <v>12</v>
      </c>
      <c r="AN459" s="36">
        <f t="shared" si="435"/>
        <v>35.528333333333336</v>
      </c>
      <c r="AO459" s="35">
        <f t="shared" si="436"/>
        <v>1.7587586370539652</v>
      </c>
      <c r="AP459" s="35">
        <f>IF((OR(R459="A",R459="B",R459="C")),INDEX(Coefficients!$S$4:$S$22,MATCH(J459,Coefficients!$R$4:$R$22)),INDEX(Coefficients!$T$4:$T$22,MATCH(J459,Coefficients!$R$4:$R$22)))</f>
        <v>1.3</v>
      </c>
      <c r="AQ459" s="27">
        <f>IF((OR(R459="A",R459="B",R459="C")),INDEX(Coefficients!$S$4:$S$22,MATCH(K459,Coefficients!$R$4:$R$22)),INDEX(Coefficients!$T$4:$T$22,MATCH(K459,Coefficients!$R$4:$R$22)))</f>
        <v>25</v>
      </c>
      <c r="AR459" s="27">
        <f>IF(OR(R459="A",R459="B",R459="C",R459="D"),IF(AN459&gt;=11,IF(AN459&gt;=26,Coefficients!$M$6,Coefficients!$M$5),Coefficients!$M$4),IF(AN459&gt;=11,IF(AN459&gt;=26,Coefficients!$N$6,Coefficients!$N$5),Coefficients!$N$4))</f>
        <v>1</v>
      </c>
      <c r="AS459" s="27">
        <f>INDEX(Coefficients!$X$3:$X$4,MATCH(S459,Coefficients!$W$3:$W$4))</f>
        <v>1</v>
      </c>
      <c r="AT459" s="27">
        <f>INDEX(Coefficients!$X$7:$X$8,MATCH(O459,Coefficients!$W$7:$W$8))</f>
        <v>1</v>
      </c>
      <c r="AU459" s="27">
        <f>INDEX(Coefficients!$X$11:$X$12,MATCH(P459,Coefficients!$W$11:$W$12))</f>
        <v>1</v>
      </c>
      <c r="AV459" s="27">
        <f>INDEX(Coefficients!$X$15:$X$17,MATCH(Q459,Coefficients!$W$15:$W$17))</f>
        <v>1</v>
      </c>
      <c r="AW459" s="27">
        <f t="shared" si="448"/>
        <v>1</v>
      </c>
      <c r="AX459" s="27">
        <f t="shared" si="449"/>
        <v>1</v>
      </c>
      <c r="AY459" s="27">
        <f t="shared" si="450"/>
        <v>1.3</v>
      </c>
      <c r="AZ459" s="35">
        <f t="shared" si="451"/>
        <v>43.968965926349128</v>
      </c>
      <c r="BA459" s="35">
        <f t="shared" si="452"/>
        <v>0</v>
      </c>
      <c r="BB459" s="35">
        <f t="shared" si="453"/>
        <v>2.286386228170155</v>
      </c>
      <c r="BC459" s="35">
        <f t="shared" si="454"/>
        <v>1.7713613771829846</v>
      </c>
      <c r="BD459" s="35">
        <f t="shared" si="437"/>
        <v>0.45486628076496721</v>
      </c>
      <c r="BE459" s="16">
        <f t="shared" si="438"/>
        <v>42.346618480138162</v>
      </c>
      <c r="BF459" s="16">
        <f t="shared" si="439"/>
        <v>315.30676303972371</v>
      </c>
      <c r="BG459" s="25">
        <f t="shared" si="440"/>
        <v>0.4234661848013816</v>
      </c>
      <c r="BH459" s="35">
        <f t="shared" si="441"/>
        <v>93.162560656303967</v>
      </c>
      <c r="BI459" s="35">
        <f t="shared" si="442"/>
        <v>213.67487868739207</v>
      </c>
      <c r="BJ459" s="35">
        <f t="shared" si="443"/>
        <v>37.215941562945424</v>
      </c>
    </row>
    <row r="460" spans="2:62">
      <c r="B460" s="35" t="s">
        <v>133</v>
      </c>
      <c r="C460" s="88" t="str">
        <f>'Cooler&amp;Wetter'!$B$1</f>
        <v>MIROC-Medres</v>
      </c>
      <c r="D460" s="89">
        <v>2018</v>
      </c>
      <c r="E460" s="90">
        <f>'Cooler&amp;Wetter'!AB46</f>
        <v>35.53</v>
      </c>
      <c r="F460" s="90">
        <f>'Cooler&amp;Wetter'!AD46</f>
        <v>22.088000000000001</v>
      </c>
      <c r="G460" s="35">
        <f t="shared" si="444"/>
        <v>2005</v>
      </c>
      <c r="H460" s="91" t="str">
        <f t="shared" si="424"/>
        <v>Pile 32 @ Berth 201</v>
      </c>
      <c r="I460" s="35" t="str">
        <f t="shared" si="425"/>
        <v>Turpentine Gum</v>
      </c>
      <c r="J460" s="35" t="str">
        <f t="shared" si="426"/>
        <v>HW1</v>
      </c>
      <c r="K460" s="35" t="str">
        <f t="shared" si="445"/>
        <v>SPHU</v>
      </c>
      <c r="L460" s="35">
        <f t="shared" si="427"/>
        <v>400</v>
      </c>
      <c r="M460" s="35">
        <f t="shared" si="428"/>
        <v>20</v>
      </c>
      <c r="N460" s="35">
        <f t="shared" si="429"/>
        <v>200</v>
      </c>
      <c r="O460" s="35" t="str">
        <f t="shared" si="430"/>
        <v>MTN2</v>
      </c>
      <c r="P460" s="35" t="str">
        <f t="shared" si="431"/>
        <v>CNT2</v>
      </c>
      <c r="Q460" s="35" t="str">
        <f t="shared" si="432"/>
        <v>KNT3</v>
      </c>
      <c r="R460" s="35" t="str">
        <f t="shared" si="433"/>
        <v>E</v>
      </c>
      <c r="S460" s="35" t="str">
        <f t="shared" si="434"/>
        <v>EXP1</v>
      </c>
      <c r="T460" s="58"/>
      <c r="U460" s="58"/>
      <c r="V460" s="58"/>
      <c r="W460" s="58"/>
      <c r="X460" s="58"/>
      <c r="Y460" s="58"/>
      <c r="Z460" s="58"/>
      <c r="AA460" s="95">
        <f t="shared" si="455"/>
        <v>0.44744495384799471</v>
      </c>
      <c r="AB460" s="96">
        <f t="shared" si="446"/>
        <v>44.744495384799471</v>
      </c>
      <c r="AC460" s="58"/>
      <c r="AD460" s="58"/>
      <c r="AE460" s="58"/>
      <c r="AF460" s="58"/>
      <c r="AG460" s="58"/>
      <c r="AH460" s="58"/>
      <c r="AI460" s="58"/>
      <c r="AJ460" s="58"/>
      <c r="AK460" s="58"/>
      <c r="AL460" s="58"/>
      <c r="AM460" s="89">
        <f t="shared" si="447"/>
        <v>13</v>
      </c>
      <c r="AN460" s="36">
        <f t="shared" si="435"/>
        <v>35.53</v>
      </c>
      <c r="AO460" s="35">
        <f t="shared" si="436"/>
        <v>1.7662433800886028</v>
      </c>
      <c r="AP460" s="35">
        <f>IF((OR(R460="A",R460="B",R460="C")),INDEX(Coefficients!$S$4:$S$22,MATCH(J460,Coefficients!$R$4:$R$22)),INDEX(Coefficients!$T$4:$T$22,MATCH(J460,Coefficients!$R$4:$R$22)))</f>
        <v>1.3</v>
      </c>
      <c r="AQ460" s="27">
        <f>IF((OR(R460="A",R460="B",R460="C")),INDEX(Coefficients!$S$4:$S$22,MATCH(K460,Coefficients!$R$4:$R$22)),INDEX(Coefficients!$T$4:$T$22,MATCH(K460,Coefficients!$R$4:$R$22)))</f>
        <v>25</v>
      </c>
      <c r="AR460" s="27">
        <f>IF(OR(R460="A",R460="B",R460="C",R460="D"),IF(AN460&gt;=11,IF(AN460&gt;=26,Coefficients!$M$6,Coefficients!$M$5),Coefficients!$M$4),IF(AN460&gt;=11,IF(AN460&gt;=26,Coefficients!$N$6,Coefficients!$N$5),Coefficients!$N$4))</f>
        <v>1</v>
      </c>
      <c r="AS460" s="27">
        <f>INDEX(Coefficients!$X$3:$X$4,MATCH(S460,Coefficients!$W$3:$W$4))</f>
        <v>1</v>
      </c>
      <c r="AT460" s="27">
        <f>INDEX(Coefficients!$X$7:$X$8,MATCH(O460,Coefficients!$W$7:$W$8))</f>
        <v>1</v>
      </c>
      <c r="AU460" s="27">
        <f>INDEX(Coefficients!$X$11:$X$12,MATCH(P460,Coefficients!$W$11:$W$12))</f>
        <v>1</v>
      </c>
      <c r="AV460" s="27">
        <f>INDEX(Coefficients!$X$15:$X$17,MATCH(Q460,Coefficients!$W$15:$W$17))</f>
        <v>1</v>
      </c>
      <c r="AW460" s="27">
        <f t="shared" si="448"/>
        <v>1</v>
      </c>
      <c r="AX460" s="27">
        <f t="shared" si="449"/>
        <v>1</v>
      </c>
      <c r="AY460" s="27">
        <f t="shared" si="450"/>
        <v>1.3</v>
      </c>
      <c r="AZ460" s="35">
        <f t="shared" si="451"/>
        <v>44.156084502215073</v>
      </c>
      <c r="BA460" s="35">
        <f t="shared" si="452"/>
        <v>0</v>
      </c>
      <c r="BB460" s="35">
        <f t="shared" si="453"/>
        <v>2.2961163941151836</v>
      </c>
      <c r="BC460" s="35">
        <f t="shared" si="454"/>
        <v>1.7703883605884816</v>
      </c>
      <c r="BD460" s="35">
        <f t="shared" si="437"/>
        <v>0.45293871106249711</v>
      </c>
      <c r="BE460" s="16">
        <f t="shared" si="438"/>
        <v>44.744495384799471</v>
      </c>
      <c r="BF460" s="16">
        <f t="shared" si="439"/>
        <v>310.51100923040104</v>
      </c>
      <c r="BG460" s="25">
        <f t="shared" si="440"/>
        <v>0.44744495384799471</v>
      </c>
      <c r="BH460" s="35">
        <f t="shared" si="441"/>
        <v>98.437889846558846</v>
      </c>
      <c r="BI460" s="35">
        <f t="shared" si="442"/>
        <v>203.12422030688231</v>
      </c>
      <c r="BJ460" s="35">
        <f t="shared" si="443"/>
        <v>37.064766384150758</v>
      </c>
    </row>
    <row r="461" spans="2:62">
      <c r="B461" s="35" t="s">
        <v>133</v>
      </c>
      <c r="C461" s="88" t="str">
        <f>'Cooler&amp;Wetter'!$B$1</f>
        <v>MIROC-Medres</v>
      </c>
      <c r="D461" s="89">
        <v>2019</v>
      </c>
      <c r="E461" s="90">
        <f>'Cooler&amp;Wetter'!AB47</f>
        <v>35.531666666666666</v>
      </c>
      <c r="F461" s="90">
        <f>'Cooler&amp;Wetter'!AD47</f>
        <v>22.120666666666665</v>
      </c>
      <c r="G461" s="35">
        <f t="shared" si="444"/>
        <v>2005</v>
      </c>
      <c r="H461" s="91" t="str">
        <f t="shared" si="424"/>
        <v>Pile 32 @ Berth 201</v>
      </c>
      <c r="I461" s="35" t="str">
        <f t="shared" si="425"/>
        <v>Turpentine Gum</v>
      </c>
      <c r="J461" s="35" t="str">
        <f t="shared" si="426"/>
        <v>HW1</v>
      </c>
      <c r="K461" s="35" t="str">
        <f t="shared" si="445"/>
        <v>SPHU</v>
      </c>
      <c r="L461" s="35">
        <f t="shared" si="427"/>
        <v>400</v>
      </c>
      <c r="M461" s="35">
        <f t="shared" si="428"/>
        <v>20</v>
      </c>
      <c r="N461" s="35">
        <f t="shared" si="429"/>
        <v>200</v>
      </c>
      <c r="O461" s="35" t="str">
        <f t="shared" si="430"/>
        <v>MTN2</v>
      </c>
      <c r="P461" s="35" t="str">
        <f t="shared" si="431"/>
        <v>CNT2</v>
      </c>
      <c r="Q461" s="35" t="str">
        <f t="shared" si="432"/>
        <v>KNT3</v>
      </c>
      <c r="R461" s="35" t="str">
        <f t="shared" si="433"/>
        <v>E</v>
      </c>
      <c r="S461" s="35" t="str">
        <f t="shared" si="434"/>
        <v>EXP1</v>
      </c>
      <c r="T461" s="58"/>
      <c r="U461" s="58"/>
      <c r="V461" s="58"/>
      <c r="W461" s="58"/>
      <c r="X461" s="58"/>
      <c r="Y461" s="58"/>
      <c r="Z461" s="58"/>
      <c r="AA461" s="95">
        <f t="shared" si="455"/>
        <v>0.47162367556740947</v>
      </c>
      <c r="AB461" s="96">
        <f t="shared" si="446"/>
        <v>47.162367556740946</v>
      </c>
      <c r="AC461" s="58"/>
      <c r="AD461" s="58"/>
      <c r="AE461" s="58"/>
      <c r="AF461" s="58"/>
      <c r="AG461" s="58"/>
      <c r="AH461" s="58"/>
      <c r="AI461" s="58"/>
      <c r="AJ461" s="58"/>
      <c r="AK461" s="58"/>
      <c r="AL461" s="58"/>
      <c r="AM461" s="89">
        <f t="shared" si="447"/>
        <v>14</v>
      </c>
      <c r="AN461" s="36">
        <f t="shared" si="435"/>
        <v>35.531666666666666</v>
      </c>
      <c r="AO461" s="35">
        <f t="shared" si="436"/>
        <v>1.7737599759182254</v>
      </c>
      <c r="AP461" s="35">
        <f>IF((OR(R461="A",R461="B",R461="C")),INDEX(Coefficients!$S$4:$S$22,MATCH(J461,Coefficients!$R$4:$R$22)),INDEX(Coefficients!$T$4:$T$22,MATCH(J461,Coefficients!$R$4:$R$22)))</f>
        <v>1.3</v>
      </c>
      <c r="AQ461" s="27">
        <f>IF((OR(R461="A",R461="B",R461="C")),INDEX(Coefficients!$S$4:$S$22,MATCH(K461,Coefficients!$R$4:$R$22)),INDEX(Coefficients!$T$4:$T$22,MATCH(K461,Coefficients!$R$4:$R$22)))</f>
        <v>25</v>
      </c>
      <c r="AR461" s="27">
        <f>IF(OR(R461="A",R461="B",R461="C",R461="D"),IF(AN461&gt;=11,IF(AN461&gt;=26,Coefficients!$M$6,Coefficients!$M$5),Coefficients!$M$4),IF(AN461&gt;=11,IF(AN461&gt;=26,Coefficients!$N$6,Coefficients!$N$5),Coefficients!$N$4))</f>
        <v>1</v>
      </c>
      <c r="AS461" s="27">
        <f>INDEX(Coefficients!$X$3:$X$4,MATCH(S461,Coefficients!$W$3:$W$4))</f>
        <v>1</v>
      </c>
      <c r="AT461" s="27">
        <f>INDEX(Coefficients!$X$7:$X$8,MATCH(O461,Coefficients!$W$7:$W$8))</f>
        <v>1</v>
      </c>
      <c r="AU461" s="27">
        <f>INDEX(Coefficients!$X$11:$X$12,MATCH(P461,Coefficients!$W$11:$W$12))</f>
        <v>1</v>
      </c>
      <c r="AV461" s="27">
        <f>INDEX(Coefficients!$X$15:$X$17,MATCH(Q461,Coefficients!$W$15:$W$17))</f>
        <v>1</v>
      </c>
      <c r="AW461" s="27">
        <f t="shared" si="448"/>
        <v>1</v>
      </c>
      <c r="AX461" s="27">
        <f t="shared" si="449"/>
        <v>1</v>
      </c>
      <c r="AY461" s="27">
        <f t="shared" si="450"/>
        <v>1.3</v>
      </c>
      <c r="AZ461" s="35">
        <f t="shared" si="451"/>
        <v>44.343999397955635</v>
      </c>
      <c r="BA461" s="35">
        <f t="shared" si="452"/>
        <v>0</v>
      </c>
      <c r="BB461" s="35">
        <f t="shared" si="453"/>
        <v>2.3058879686936931</v>
      </c>
      <c r="BC461" s="35">
        <f t="shared" si="454"/>
        <v>1.7694112031306306</v>
      </c>
      <c r="BD461" s="35">
        <f t="shared" si="437"/>
        <v>0.45101930974954074</v>
      </c>
      <c r="BE461" s="16">
        <f t="shared" si="438"/>
        <v>47.162367556740946</v>
      </c>
      <c r="BF461" s="16">
        <f t="shared" si="439"/>
        <v>305.67526488651811</v>
      </c>
      <c r="BG461" s="25">
        <f t="shared" si="440"/>
        <v>0.47162367556740947</v>
      </c>
      <c r="BH461" s="35">
        <f t="shared" si="441"/>
        <v>103.75720862483008</v>
      </c>
      <c r="BI461" s="35">
        <f t="shared" si="442"/>
        <v>192.48558275033983</v>
      </c>
      <c r="BJ461" s="35">
        <f t="shared" si="443"/>
        <v>36.914223570537146</v>
      </c>
    </row>
    <row r="462" spans="2:62">
      <c r="B462" s="35" t="s">
        <v>133</v>
      </c>
      <c r="C462" s="88" t="str">
        <f>'Cooler&amp;Wetter'!$B$1</f>
        <v>MIROC-Medres</v>
      </c>
      <c r="D462" s="89">
        <v>2020</v>
      </c>
      <c r="E462" s="90">
        <f>'Cooler&amp;Wetter'!AB48</f>
        <v>35.533333333333331</v>
      </c>
      <c r="F462" s="90">
        <f>'Cooler&amp;Wetter'!AD48</f>
        <v>22.153333333333332</v>
      </c>
      <c r="G462" s="35">
        <f t="shared" si="444"/>
        <v>2005</v>
      </c>
      <c r="H462" s="91" t="str">
        <f t="shared" si="424"/>
        <v>Pile 32 @ Berth 201</v>
      </c>
      <c r="I462" s="35" t="str">
        <f t="shared" si="425"/>
        <v>Turpentine Gum</v>
      </c>
      <c r="J462" s="35" t="str">
        <f t="shared" si="426"/>
        <v>HW1</v>
      </c>
      <c r="K462" s="35" t="str">
        <f t="shared" si="445"/>
        <v>SPHU</v>
      </c>
      <c r="L462" s="35">
        <f t="shared" si="427"/>
        <v>400</v>
      </c>
      <c r="M462" s="35">
        <f t="shared" si="428"/>
        <v>20</v>
      </c>
      <c r="N462" s="35">
        <f t="shared" si="429"/>
        <v>200</v>
      </c>
      <c r="O462" s="35" t="str">
        <f t="shared" si="430"/>
        <v>MTN2</v>
      </c>
      <c r="P462" s="35" t="str">
        <f t="shared" si="431"/>
        <v>CNT2</v>
      </c>
      <c r="Q462" s="35" t="str">
        <f t="shared" si="432"/>
        <v>KNT3</v>
      </c>
      <c r="R462" s="35" t="str">
        <f t="shared" si="433"/>
        <v>E</v>
      </c>
      <c r="S462" s="35" t="str">
        <f t="shared" si="434"/>
        <v>EXP1</v>
      </c>
      <c r="T462" s="58"/>
      <c r="U462" s="58"/>
      <c r="V462" s="58"/>
      <c r="W462" s="58"/>
      <c r="X462" s="58"/>
      <c r="Y462" s="58"/>
      <c r="Z462" s="58"/>
      <c r="AA462" s="95">
        <f t="shared" si="455"/>
        <v>0.49600361837148832</v>
      </c>
      <c r="AB462" s="96">
        <f t="shared" si="446"/>
        <v>49.600361837148832</v>
      </c>
      <c r="AC462" s="58"/>
      <c r="AD462" s="58"/>
      <c r="AE462" s="58"/>
      <c r="AF462" s="58"/>
      <c r="AG462" s="58"/>
      <c r="AH462" s="58"/>
      <c r="AI462" s="58"/>
      <c r="AJ462" s="58"/>
      <c r="AK462" s="58"/>
      <c r="AL462" s="58"/>
      <c r="AM462" s="89">
        <f t="shared" si="447"/>
        <v>15</v>
      </c>
      <c r="AN462" s="36">
        <f t="shared" si="435"/>
        <v>35.533333333333331</v>
      </c>
      <c r="AO462" s="35">
        <f t="shared" si="436"/>
        <v>1.7813085600986618</v>
      </c>
      <c r="AP462" s="35">
        <f>IF((OR(R462="A",R462="B",R462="C")),INDEX(Coefficients!$S$4:$S$22,MATCH(J462,Coefficients!$R$4:$R$22)),INDEX(Coefficients!$T$4:$T$22,MATCH(J462,Coefficients!$R$4:$R$22)))</f>
        <v>1.3</v>
      </c>
      <c r="AQ462" s="27">
        <f>IF((OR(R462="A",R462="B",R462="C")),INDEX(Coefficients!$S$4:$S$22,MATCH(K462,Coefficients!$R$4:$R$22)),INDEX(Coefficients!$T$4:$T$22,MATCH(K462,Coefficients!$R$4:$R$22)))</f>
        <v>25</v>
      </c>
      <c r="AR462" s="27">
        <f>IF(OR(R462="A",R462="B",R462="C",R462="D"),IF(AN462&gt;=11,IF(AN462&gt;=26,Coefficients!$M$6,Coefficients!$M$5),Coefficients!$M$4),IF(AN462&gt;=11,IF(AN462&gt;=26,Coefficients!$N$6,Coefficients!$N$5),Coefficients!$N$4))</f>
        <v>1</v>
      </c>
      <c r="AS462" s="27">
        <f>INDEX(Coefficients!$X$3:$X$4,MATCH(S462,Coefficients!$W$3:$W$4))</f>
        <v>1</v>
      </c>
      <c r="AT462" s="27">
        <f>INDEX(Coefficients!$X$7:$X$8,MATCH(O462,Coefficients!$W$7:$W$8))</f>
        <v>1</v>
      </c>
      <c r="AU462" s="27">
        <f>INDEX(Coefficients!$X$11:$X$12,MATCH(P462,Coefficients!$W$11:$W$12))</f>
        <v>1</v>
      </c>
      <c r="AV462" s="27">
        <f>INDEX(Coefficients!$X$15:$X$17,MATCH(Q462,Coefficients!$W$15:$W$17))</f>
        <v>1</v>
      </c>
      <c r="AW462" s="27">
        <f t="shared" si="448"/>
        <v>1</v>
      </c>
      <c r="AX462" s="27">
        <f t="shared" si="449"/>
        <v>1</v>
      </c>
      <c r="AY462" s="27">
        <f t="shared" si="450"/>
        <v>1.3</v>
      </c>
      <c r="AZ462" s="35">
        <f t="shared" si="451"/>
        <v>44.532714002466548</v>
      </c>
      <c r="BA462" s="35">
        <f t="shared" si="452"/>
        <v>0</v>
      </c>
      <c r="BB462" s="35">
        <f t="shared" si="453"/>
        <v>2.3157011281282602</v>
      </c>
      <c r="BC462" s="35">
        <f t="shared" si="454"/>
        <v>1.768429887187174</v>
      </c>
      <c r="BD462" s="35">
        <f t="shared" si="437"/>
        <v>0.44910804221122147</v>
      </c>
      <c r="BE462" s="16">
        <f t="shared" si="438"/>
        <v>49.600361837148832</v>
      </c>
      <c r="BF462" s="16">
        <f t="shared" si="439"/>
        <v>300.79927632570235</v>
      </c>
      <c r="BG462" s="25">
        <f t="shared" si="440"/>
        <v>0.49600361837148832</v>
      </c>
      <c r="BH462" s="35">
        <f t="shared" si="441"/>
        <v>109.12079604172744</v>
      </c>
      <c r="BI462" s="35">
        <f t="shared" si="442"/>
        <v>181.75840791654511</v>
      </c>
      <c r="BJ462" s="35">
        <f t="shared" si="443"/>
        <v>36.764310407184666</v>
      </c>
    </row>
    <row r="463" spans="2:62">
      <c r="B463" s="35" t="s">
        <v>133</v>
      </c>
      <c r="C463" s="88" t="str">
        <f>'Cooler&amp;Wetter'!$B$1</f>
        <v>MIROC-Medres</v>
      </c>
      <c r="D463" s="89">
        <v>2021</v>
      </c>
      <c r="E463" s="90">
        <f>'Cooler&amp;Wetter'!AB49</f>
        <v>35.534999999999997</v>
      </c>
      <c r="F463" s="90">
        <f>'Cooler&amp;Wetter'!AD49</f>
        <v>22.186</v>
      </c>
      <c r="G463" s="35">
        <f t="shared" si="444"/>
        <v>2005</v>
      </c>
      <c r="H463" s="91" t="str">
        <f t="shared" si="424"/>
        <v>Pile 32 @ Berth 201</v>
      </c>
      <c r="I463" s="35" t="str">
        <f t="shared" si="425"/>
        <v>Turpentine Gum</v>
      </c>
      <c r="J463" s="35" t="str">
        <f t="shared" si="426"/>
        <v>HW1</v>
      </c>
      <c r="K463" s="35" t="str">
        <f t="shared" si="445"/>
        <v>SPHU</v>
      </c>
      <c r="L463" s="35">
        <f t="shared" si="427"/>
        <v>400</v>
      </c>
      <c r="M463" s="35">
        <f t="shared" si="428"/>
        <v>20</v>
      </c>
      <c r="N463" s="35">
        <f t="shared" si="429"/>
        <v>200</v>
      </c>
      <c r="O463" s="35" t="str">
        <f t="shared" si="430"/>
        <v>MTN2</v>
      </c>
      <c r="P463" s="35" t="str">
        <f t="shared" si="431"/>
        <v>CNT2</v>
      </c>
      <c r="Q463" s="35" t="str">
        <f t="shared" si="432"/>
        <v>KNT3</v>
      </c>
      <c r="R463" s="35" t="str">
        <f t="shared" si="433"/>
        <v>E</v>
      </c>
      <c r="S463" s="35" t="str">
        <f t="shared" si="434"/>
        <v>EXP1</v>
      </c>
      <c r="T463" s="58"/>
      <c r="U463" s="58"/>
      <c r="V463" s="58"/>
      <c r="W463" s="58"/>
      <c r="X463" s="58"/>
      <c r="Y463" s="58"/>
      <c r="Z463" s="58"/>
      <c r="AA463" s="95">
        <f t="shared" si="455"/>
        <v>0.52058605785365919</v>
      </c>
      <c r="AB463" s="96">
        <f t="shared" si="446"/>
        <v>52.05860578536592</v>
      </c>
      <c r="AC463" s="58"/>
      <c r="AD463" s="58"/>
      <c r="AE463" s="58"/>
      <c r="AF463" s="58"/>
      <c r="AG463" s="58"/>
      <c r="AH463" s="58"/>
      <c r="AI463" s="58"/>
      <c r="AJ463" s="58"/>
      <c r="AK463" s="58"/>
      <c r="AL463" s="58"/>
      <c r="AM463" s="89">
        <f t="shared" si="447"/>
        <v>16</v>
      </c>
      <c r="AN463" s="36">
        <f t="shared" si="435"/>
        <v>35.534999999999997</v>
      </c>
      <c r="AO463" s="35">
        <f t="shared" si="436"/>
        <v>1.7888892687626272</v>
      </c>
      <c r="AP463" s="35">
        <f>IF((OR(R463="A",R463="B",R463="C")),INDEX(Coefficients!$S$4:$S$22,MATCH(J463,Coefficients!$R$4:$R$22)),INDEX(Coefficients!$T$4:$T$22,MATCH(J463,Coefficients!$R$4:$R$22)))</f>
        <v>1.3</v>
      </c>
      <c r="AQ463" s="27">
        <f>IF((OR(R463="A",R463="B",R463="C")),INDEX(Coefficients!$S$4:$S$22,MATCH(K463,Coefficients!$R$4:$R$22)),INDEX(Coefficients!$T$4:$T$22,MATCH(K463,Coefficients!$R$4:$R$22)))</f>
        <v>25</v>
      </c>
      <c r="AR463" s="27">
        <f>IF(OR(R463="A",R463="B",R463="C",R463="D"),IF(AN463&gt;=11,IF(AN463&gt;=26,Coefficients!$M$6,Coefficients!$M$5),Coefficients!$M$4),IF(AN463&gt;=11,IF(AN463&gt;=26,Coefficients!$N$6,Coefficients!$N$5),Coefficients!$N$4))</f>
        <v>1</v>
      </c>
      <c r="AS463" s="27">
        <f>INDEX(Coefficients!$X$3:$X$4,MATCH(S463,Coefficients!$W$3:$W$4))</f>
        <v>1</v>
      </c>
      <c r="AT463" s="27">
        <f>INDEX(Coefficients!$X$7:$X$8,MATCH(O463,Coefficients!$W$7:$W$8))</f>
        <v>1</v>
      </c>
      <c r="AU463" s="27">
        <f>INDEX(Coefficients!$X$11:$X$12,MATCH(P463,Coefficients!$W$11:$W$12))</f>
        <v>1</v>
      </c>
      <c r="AV463" s="27">
        <f>INDEX(Coefficients!$X$15:$X$17,MATCH(Q463,Coefficients!$W$15:$W$17))</f>
        <v>1</v>
      </c>
      <c r="AW463" s="27">
        <f t="shared" si="448"/>
        <v>1</v>
      </c>
      <c r="AX463" s="27">
        <f t="shared" si="449"/>
        <v>1</v>
      </c>
      <c r="AY463" s="27">
        <f t="shared" si="450"/>
        <v>1.3</v>
      </c>
      <c r="AZ463" s="35">
        <f t="shared" si="451"/>
        <v>44.722231719065682</v>
      </c>
      <c r="BA463" s="35">
        <f t="shared" si="452"/>
        <v>0</v>
      </c>
      <c r="BB463" s="35">
        <f t="shared" si="453"/>
        <v>2.3255560493914156</v>
      </c>
      <c r="BC463" s="35">
        <f t="shared" si="454"/>
        <v>1.7674443950608585</v>
      </c>
      <c r="BD463" s="35">
        <f t="shared" si="437"/>
        <v>0.44720487397934872</v>
      </c>
      <c r="BE463" s="16">
        <f t="shared" si="438"/>
        <v>52.05860578536592</v>
      </c>
      <c r="BF463" s="16">
        <f t="shared" si="439"/>
        <v>295.88278842926815</v>
      </c>
      <c r="BG463" s="25">
        <f t="shared" si="440"/>
        <v>0.52058605785365919</v>
      </c>
      <c r="BH463" s="35">
        <f t="shared" si="441"/>
        <v>114.52893272780503</v>
      </c>
      <c r="BI463" s="35">
        <f t="shared" si="442"/>
        <v>170.94213454438994</v>
      </c>
      <c r="BJ463" s="35">
        <f t="shared" si="443"/>
        <v>36.615024190528572</v>
      </c>
    </row>
    <row r="464" spans="2:62">
      <c r="B464" s="35" t="s">
        <v>133</v>
      </c>
      <c r="C464" s="88" t="str">
        <f>'Cooler&amp;Wetter'!$B$1</f>
        <v>MIROC-Medres</v>
      </c>
      <c r="D464" s="89">
        <v>2022</v>
      </c>
      <c r="E464" s="90">
        <f>'Cooler&amp;Wetter'!AB50</f>
        <v>35.536666666666669</v>
      </c>
      <c r="F464" s="90">
        <f>'Cooler&amp;Wetter'!AD50</f>
        <v>22.218666666666667</v>
      </c>
      <c r="G464" s="35">
        <f t="shared" si="444"/>
        <v>2005</v>
      </c>
      <c r="H464" s="91" t="str">
        <f t="shared" si="424"/>
        <v>Pile 32 @ Berth 201</v>
      </c>
      <c r="I464" s="35" t="str">
        <f t="shared" si="425"/>
        <v>Turpentine Gum</v>
      </c>
      <c r="J464" s="35" t="str">
        <f t="shared" si="426"/>
        <v>HW1</v>
      </c>
      <c r="K464" s="35" t="str">
        <f t="shared" si="445"/>
        <v>SPHU</v>
      </c>
      <c r="L464" s="35">
        <f t="shared" si="427"/>
        <v>400</v>
      </c>
      <c r="M464" s="35">
        <f t="shared" si="428"/>
        <v>20</v>
      </c>
      <c r="N464" s="35">
        <f t="shared" si="429"/>
        <v>200</v>
      </c>
      <c r="O464" s="35" t="str">
        <f t="shared" si="430"/>
        <v>MTN2</v>
      </c>
      <c r="P464" s="35" t="str">
        <f t="shared" si="431"/>
        <v>CNT2</v>
      </c>
      <c r="Q464" s="35" t="str">
        <f t="shared" si="432"/>
        <v>KNT3</v>
      </c>
      <c r="R464" s="35" t="str">
        <f t="shared" si="433"/>
        <v>E</v>
      </c>
      <c r="S464" s="35" t="str">
        <f t="shared" si="434"/>
        <v>EXP1</v>
      </c>
      <c r="T464" s="58"/>
      <c r="U464" s="58"/>
      <c r="V464" s="58"/>
      <c r="W464" s="58"/>
      <c r="X464" s="58"/>
      <c r="Y464" s="58"/>
      <c r="Z464" s="58"/>
      <c r="AA464" s="95">
        <f t="shared" si="455"/>
        <v>0.54537227682712663</v>
      </c>
      <c r="AB464" s="96">
        <f t="shared" si="446"/>
        <v>54.537227682712661</v>
      </c>
      <c r="AC464" s="58"/>
      <c r="AD464" s="58"/>
      <c r="AE464" s="58"/>
      <c r="AF464" s="58"/>
      <c r="AG464" s="58"/>
      <c r="AH464" s="58"/>
      <c r="AI464" s="58"/>
      <c r="AJ464" s="58"/>
      <c r="AK464" s="58"/>
      <c r="AL464" s="58"/>
      <c r="AM464" s="89">
        <f t="shared" si="447"/>
        <v>17</v>
      </c>
      <c r="AN464" s="36">
        <f t="shared" si="435"/>
        <v>35.536666666666669</v>
      </c>
      <c r="AO464" s="35">
        <f t="shared" si="436"/>
        <v>1.796502238622173</v>
      </c>
      <c r="AP464" s="35">
        <f>IF((OR(R464="A",R464="B",R464="C")),INDEX(Coefficients!$S$4:$S$22,MATCH(J464,Coefficients!$R$4:$R$22)),INDEX(Coefficients!$T$4:$T$22,MATCH(J464,Coefficients!$R$4:$R$22)))</f>
        <v>1.3</v>
      </c>
      <c r="AQ464" s="27">
        <f>IF((OR(R464="A",R464="B",R464="C")),INDEX(Coefficients!$S$4:$S$22,MATCH(K464,Coefficients!$R$4:$R$22)),INDEX(Coefficients!$T$4:$T$22,MATCH(K464,Coefficients!$R$4:$R$22)))</f>
        <v>25</v>
      </c>
      <c r="AR464" s="27">
        <f>IF(OR(R464="A",R464="B",R464="C",R464="D"),IF(AN464&gt;=11,IF(AN464&gt;=26,Coefficients!$M$6,Coefficients!$M$5),Coefficients!$M$4),IF(AN464&gt;=11,IF(AN464&gt;=26,Coefficients!$N$6,Coefficients!$N$5),Coefficients!$N$4))</f>
        <v>1</v>
      </c>
      <c r="AS464" s="27">
        <f>INDEX(Coefficients!$X$3:$X$4,MATCH(S464,Coefficients!$W$3:$W$4))</f>
        <v>1</v>
      </c>
      <c r="AT464" s="27">
        <f>INDEX(Coefficients!$X$7:$X$8,MATCH(O464,Coefficients!$W$7:$W$8))</f>
        <v>1</v>
      </c>
      <c r="AU464" s="27">
        <f>INDEX(Coefficients!$X$11:$X$12,MATCH(P464,Coefficients!$W$11:$W$12))</f>
        <v>1</v>
      </c>
      <c r="AV464" s="27">
        <f>INDEX(Coefficients!$X$15:$X$17,MATCH(Q464,Coefficients!$W$15:$W$17))</f>
        <v>1</v>
      </c>
      <c r="AW464" s="27">
        <f t="shared" si="448"/>
        <v>1</v>
      </c>
      <c r="AX464" s="27">
        <f t="shared" si="449"/>
        <v>1</v>
      </c>
      <c r="AY464" s="27">
        <f t="shared" si="450"/>
        <v>1.3</v>
      </c>
      <c r="AZ464" s="35">
        <f t="shared" si="451"/>
        <v>44.912555965554326</v>
      </c>
      <c r="BA464" s="35">
        <f t="shared" si="452"/>
        <v>0</v>
      </c>
      <c r="BB464" s="35">
        <f t="shared" si="453"/>
        <v>2.3354529102088248</v>
      </c>
      <c r="BC464" s="35">
        <f t="shared" si="454"/>
        <v>1.7664547089791176</v>
      </c>
      <c r="BD464" s="35">
        <f t="shared" si="437"/>
        <v>0.44530977073179706</v>
      </c>
      <c r="BE464" s="16">
        <f t="shared" si="438"/>
        <v>54.537227682712661</v>
      </c>
      <c r="BF464" s="16">
        <f t="shared" si="439"/>
        <v>290.92554463457469</v>
      </c>
      <c r="BG464" s="25">
        <f t="shared" si="440"/>
        <v>0.54537227682712663</v>
      </c>
      <c r="BH464" s="35">
        <f t="shared" si="441"/>
        <v>119.98190090196786</v>
      </c>
      <c r="BI464" s="35">
        <f t="shared" si="442"/>
        <v>160.03619819606428</v>
      </c>
      <c r="BJ464" s="35">
        <f t="shared" si="443"/>
        <v>36.466362228310686</v>
      </c>
    </row>
    <row r="465" spans="2:62">
      <c r="B465" s="35" t="s">
        <v>133</v>
      </c>
      <c r="C465" s="88" t="str">
        <f>'Cooler&amp;Wetter'!$B$1</f>
        <v>MIROC-Medres</v>
      </c>
      <c r="D465" s="89">
        <v>2023</v>
      </c>
      <c r="E465" s="90">
        <f>'Cooler&amp;Wetter'!AB51</f>
        <v>35.538333333333334</v>
      </c>
      <c r="F465" s="90">
        <f>'Cooler&amp;Wetter'!AD51</f>
        <v>22.251333333333331</v>
      </c>
      <c r="G465" s="35">
        <f t="shared" si="444"/>
        <v>2005</v>
      </c>
      <c r="H465" s="91" t="str">
        <f t="shared" si="424"/>
        <v>Pile 32 @ Berth 201</v>
      </c>
      <c r="I465" s="35" t="str">
        <f t="shared" si="425"/>
        <v>Turpentine Gum</v>
      </c>
      <c r="J465" s="35" t="str">
        <f t="shared" si="426"/>
        <v>HW1</v>
      </c>
      <c r="K465" s="35" t="str">
        <f t="shared" si="445"/>
        <v>SPHU</v>
      </c>
      <c r="L465" s="35">
        <f t="shared" si="427"/>
        <v>400</v>
      </c>
      <c r="M465" s="35">
        <f t="shared" si="428"/>
        <v>20</v>
      </c>
      <c r="N465" s="35">
        <f t="shared" si="429"/>
        <v>200</v>
      </c>
      <c r="O465" s="35" t="str">
        <f t="shared" si="430"/>
        <v>MTN2</v>
      </c>
      <c r="P465" s="35" t="str">
        <f t="shared" si="431"/>
        <v>CNT2</v>
      </c>
      <c r="Q465" s="35" t="str">
        <f t="shared" si="432"/>
        <v>KNT3</v>
      </c>
      <c r="R465" s="35" t="str">
        <f t="shared" si="433"/>
        <v>E</v>
      </c>
      <c r="S465" s="35" t="str">
        <f t="shared" si="434"/>
        <v>EXP1</v>
      </c>
      <c r="T465" s="58"/>
      <c r="U465" s="58"/>
      <c r="V465" s="58"/>
      <c r="W465" s="58"/>
      <c r="X465" s="58"/>
      <c r="Y465" s="58"/>
      <c r="Z465" s="58"/>
      <c r="AA465" s="95">
        <f t="shared" si="455"/>
        <v>0.57036356536328103</v>
      </c>
      <c r="AB465" s="96">
        <f t="shared" si="446"/>
        <v>57.036356536328107</v>
      </c>
      <c r="AC465" s="58"/>
      <c r="AD465" s="58"/>
      <c r="AE465" s="58"/>
      <c r="AF465" s="58"/>
      <c r="AG465" s="58"/>
      <c r="AH465" s="58"/>
      <c r="AI465" s="58"/>
      <c r="AJ465" s="58"/>
      <c r="AK465" s="58"/>
      <c r="AL465" s="58"/>
      <c r="AM465" s="89">
        <f t="shared" si="447"/>
        <v>18</v>
      </c>
      <c r="AN465" s="36">
        <f t="shared" si="435"/>
        <v>35.538333333333334</v>
      </c>
      <c r="AO465" s="35">
        <f t="shared" si="436"/>
        <v>1.8041476069711582</v>
      </c>
      <c r="AP465" s="35">
        <f>IF((OR(R465="A",R465="B",R465="C")),INDEX(Coefficients!$S$4:$S$22,MATCH(J465,Coefficients!$R$4:$R$22)),INDEX(Coefficients!$T$4:$T$22,MATCH(J465,Coefficients!$R$4:$R$22)))</f>
        <v>1.3</v>
      </c>
      <c r="AQ465" s="27">
        <f>IF((OR(R465="A",R465="B",R465="C")),INDEX(Coefficients!$S$4:$S$22,MATCH(K465,Coefficients!$R$4:$R$22)),INDEX(Coefficients!$T$4:$T$22,MATCH(K465,Coefficients!$R$4:$R$22)))</f>
        <v>25</v>
      </c>
      <c r="AR465" s="27">
        <f>IF(OR(R465="A",R465="B",R465="C",R465="D"),IF(AN465&gt;=11,IF(AN465&gt;=26,Coefficients!$M$6,Coefficients!$M$5),Coefficients!$M$4),IF(AN465&gt;=11,IF(AN465&gt;=26,Coefficients!$N$6,Coefficients!$N$5),Coefficients!$N$4))</f>
        <v>1</v>
      </c>
      <c r="AS465" s="27">
        <f>INDEX(Coefficients!$X$3:$X$4,MATCH(S465,Coefficients!$W$3:$W$4))</f>
        <v>1</v>
      </c>
      <c r="AT465" s="27">
        <f>INDEX(Coefficients!$X$7:$X$8,MATCH(O465,Coefficients!$W$7:$W$8))</f>
        <v>1</v>
      </c>
      <c r="AU465" s="27">
        <f>INDEX(Coefficients!$X$11:$X$12,MATCH(P465,Coefficients!$W$11:$W$12))</f>
        <v>1</v>
      </c>
      <c r="AV465" s="27">
        <f>INDEX(Coefficients!$X$15:$X$17,MATCH(Q465,Coefficients!$W$15:$W$17))</f>
        <v>1</v>
      </c>
      <c r="AW465" s="27">
        <f t="shared" si="448"/>
        <v>1</v>
      </c>
      <c r="AX465" s="27">
        <f t="shared" si="449"/>
        <v>1</v>
      </c>
      <c r="AY465" s="27">
        <f t="shared" si="450"/>
        <v>1.3</v>
      </c>
      <c r="AZ465" s="35">
        <f t="shared" si="451"/>
        <v>45.103690174278952</v>
      </c>
      <c r="BA465" s="35">
        <f t="shared" si="452"/>
        <v>0</v>
      </c>
      <c r="BB465" s="35">
        <f t="shared" si="453"/>
        <v>2.3453918890625056</v>
      </c>
      <c r="BC465" s="35">
        <f t="shared" si="454"/>
        <v>1.7654608110937495</v>
      </c>
      <c r="BD465" s="35">
        <f t="shared" si="437"/>
        <v>0.44342269829188602</v>
      </c>
      <c r="BE465" s="16">
        <f t="shared" si="438"/>
        <v>57.036356536328107</v>
      </c>
      <c r="BF465" s="16">
        <f t="shared" si="439"/>
        <v>285.9272869273438</v>
      </c>
      <c r="BG465" s="25">
        <f t="shared" si="440"/>
        <v>0.57036356536328103</v>
      </c>
      <c r="BH465" s="35">
        <f t="shared" si="441"/>
        <v>125.47998437992185</v>
      </c>
      <c r="BI465" s="35">
        <f t="shared" si="442"/>
        <v>149.04003124015631</v>
      </c>
      <c r="BJ465" s="35">
        <f t="shared" si="443"/>
        <v>36.318321839530711</v>
      </c>
    </row>
    <row r="466" spans="2:62">
      <c r="B466" s="35" t="s">
        <v>133</v>
      </c>
      <c r="C466" s="88" t="str">
        <f>'Cooler&amp;Wetter'!$B$1</f>
        <v>MIROC-Medres</v>
      </c>
      <c r="D466" s="89">
        <v>2024</v>
      </c>
      <c r="E466" s="90">
        <f>'Cooler&amp;Wetter'!AB52</f>
        <v>35.54</v>
      </c>
      <c r="F466" s="90">
        <f>'Cooler&amp;Wetter'!AD52</f>
        <v>22.283999999999999</v>
      </c>
      <c r="G466" s="35">
        <f t="shared" si="444"/>
        <v>2005</v>
      </c>
      <c r="H466" s="91" t="str">
        <f t="shared" si="424"/>
        <v>Pile 32 @ Berth 201</v>
      </c>
      <c r="I466" s="35" t="str">
        <f t="shared" si="425"/>
        <v>Turpentine Gum</v>
      </c>
      <c r="J466" s="35" t="str">
        <f t="shared" si="426"/>
        <v>HW1</v>
      </c>
      <c r="K466" s="35" t="str">
        <f t="shared" si="445"/>
        <v>SPHU</v>
      </c>
      <c r="L466" s="35">
        <f t="shared" si="427"/>
        <v>400</v>
      </c>
      <c r="M466" s="35">
        <f t="shared" si="428"/>
        <v>20</v>
      </c>
      <c r="N466" s="35">
        <f t="shared" si="429"/>
        <v>200</v>
      </c>
      <c r="O466" s="35" t="str">
        <f t="shared" si="430"/>
        <v>MTN2</v>
      </c>
      <c r="P466" s="35" t="str">
        <f t="shared" si="431"/>
        <v>CNT2</v>
      </c>
      <c r="Q466" s="35" t="str">
        <f t="shared" si="432"/>
        <v>KNT3</v>
      </c>
      <c r="R466" s="35" t="str">
        <f t="shared" si="433"/>
        <v>E</v>
      </c>
      <c r="S466" s="35" t="str">
        <f t="shared" si="434"/>
        <v>EXP1</v>
      </c>
      <c r="T466" s="58"/>
      <c r="U466" s="58"/>
      <c r="V466" s="58"/>
      <c r="W466" s="58"/>
      <c r="X466" s="58"/>
      <c r="Y466" s="58"/>
      <c r="Z466" s="58"/>
      <c r="AA466" s="95">
        <f t="shared" si="455"/>
        <v>0.59556122083030305</v>
      </c>
      <c r="AB466" s="96">
        <f t="shared" si="446"/>
        <v>59.556122083030303</v>
      </c>
      <c r="AC466" s="58"/>
      <c r="AD466" s="58"/>
      <c r="AE466" s="58"/>
      <c r="AF466" s="58"/>
      <c r="AG466" s="58"/>
      <c r="AH466" s="58"/>
      <c r="AI466" s="58"/>
      <c r="AJ466" s="58"/>
      <c r="AK466" s="58"/>
      <c r="AL466" s="58"/>
      <c r="AM466" s="89">
        <f t="shared" si="447"/>
        <v>19</v>
      </c>
      <c r="AN466" s="36">
        <f t="shared" si="435"/>
        <v>35.54</v>
      </c>
      <c r="AO466" s="35">
        <f t="shared" si="436"/>
        <v>1.8118255116877233</v>
      </c>
      <c r="AP466" s="35">
        <f>IF((OR(R466="A",R466="B",R466="C")),INDEX(Coefficients!$S$4:$S$22,MATCH(J466,Coefficients!$R$4:$R$22)),INDEX(Coefficients!$T$4:$T$22,MATCH(J466,Coefficients!$R$4:$R$22)))</f>
        <v>1.3</v>
      </c>
      <c r="AQ466" s="27">
        <f>IF((OR(R466="A",R466="B",R466="C")),INDEX(Coefficients!$S$4:$S$22,MATCH(K466,Coefficients!$R$4:$R$22)),INDEX(Coefficients!$T$4:$T$22,MATCH(K466,Coefficients!$R$4:$R$22)))</f>
        <v>25</v>
      </c>
      <c r="AR466" s="27">
        <f>IF(OR(R466="A",R466="B",R466="C",R466="D"),IF(AN466&gt;=11,IF(AN466&gt;=26,Coefficients!$M$6,Coefficients!$M$5),Coefficients!$M$4),IF(AN466&gt;=11,IF(AN466&gt;=26,Coefficients!$N$6,Coefficients!$N$5),Coefficients!$N$4))</f>
        <v>1</v>
      </c>
      <c r="AS466" s="27">
        <f>INDEX(Coefficients!$X$3:$X$4,MATCH(S466,Coefficients!$W$3:$W$4))</f>
        <v>1</v>
      </c>
      <c r="AT466" s="27">
        <f>INDEX(Coefficients!$X$7:$X$8,MATCH(O466,Coefficients!$W$7:$W$8))</f>
        <v>1</v>
      </c>
      <c r="AU466" s="27">
        <f>INDEX(Coefficients!$X$11:$X$12,MATCH(P466,Coefficients!$W$11:$W$12))</f>
        <v>1</v>
      </c>
      <c r="AV466" s="27">
        <f>INDEX(Coefficients!$X$15:$X$17,MATCH(Q466,Coefficients!$W$15:$W$17))</f>
        <v>1</v>
      </c>
      <c r="AW466" s="27">
        <f t="shared" si="448"/>
        <v>1</v>
      </c>
      <c r="AX466" s="27">
        <f t="shared" si="449"/>
        <v>1</v>
      </c>
      <c r="AY466" s="27">
        <f t="shared" si="450"/>
        <v>1.3</v>
      </c>
      <c r="AZ466" s="35">
        <f t="shared" si="451"/>
        <v>45.295637792193084</v>
      </c>
      <c r="BA466" s="35">
        <f t="shared" si="452"/>
        <v>0</v>
      </c>
      <c r="BB466" s="35">
        <f t="shared" si="453"/>
        <v>2.3553731651940404</v>
      </c>
      <c r="BC466" s="35">
        <f t="shared" si="454"/>
        <v>1.7644626834805959</v>
      </c>
      <c r="BD466" s="35">
        <f t="shared" si="437"/>
        <v>0.44154362262776425</v>
      </c>
      <c r="BE466" s="16">
        <f t="shared" si="438"/>
        <v>59.556122083030303</v>
      </c>
      <c r="BF466" s="16">
        <f t="shared" si="439"/>
        <v>280.88775583393942</v>
      </c>
      <c r="BG466" s="25">
        <f t="shared" si="440"/>
        <v>0.59556122083030305</v>
      </c>
      <c r="BH466" s="35">
        <f t="shared" si="441"/>
        <v>131.02346858266668</v>
      </c>
      <c r="BI466" s="35">
        <f t="shared" si="442"/>
        <v>137.95306283466664</v>
      </c>
      <c r="BJ466" s="35">
        <f t="shared" si="443"/>
        <v>36.170900354397915</v>
      </c>
    </row>
    <row r="467" spans="2:62">
      <c r="B467" s="35" t="s">
        <v>133</v>
      </c>
      <c r="C467" s="88" t="str">
        <f>'Cooler&amp;Wetter'!$B$1</f>
        <v>MIROC-Medres</v>
      </c>
      <c r="D467" s="89">
        <v>2025</v>
      </c>
      <c r="E467" s="90">
        <f>'Cooler&amp;Wetter'!AB53</f>
        <v>35.541666666666664</v>
      </c>
      <c r="F467" s="90">
        <f>'Cooler&amp;Wetter'!AD53</f>
        <v>22.316666666666666</v>
      </c>
      <c r="G467" s="35">
        <f t="shared" si="444"/>
        <v>2005</v>
      </c>
      <c r="H467" s="91" t="str">
        <f t="shared" si="424"/>
        <v>Pile 32 @ Berth 201</v>
      </c>
      <c r="I467" s="35" t="str">
        <f t="shared" si="425"/>
        <v>Turpentine Gum</v>
      </c>
      <c r="J467" s="35" t="str">
        <f t="shared" si="426"/>
        <v>HW1</v>
      </c>
      <c r="K467" s="35" t="str">
        <f t="shared" si="445"/>
        <v>SPHU</v>
      </c>
      <c r="L467" s="35">
        <f t="shared" si="427"/>
        <v>400</v>
      </c>
      <c r="M467" s="35">
        <f t="shared" si="428"/>
        <v>20</v>
      </c>
      <c r="N467" s="35">
        <f t="shared" si="429"/>
        <v>200</v>
      </c>
      <c r="O467" s="35" t="str">
        <f t="shared" si="430"/>
        <v>MTN2</v>
      </c>
      <c r="P467" s="35" t="str">
        <f t="shared" si="431"/>
        <v>CNT2</v>
      </c>
      <c r="Q467" s="35" t="str">
        <f t="shared" si="432"/>
        <v>KNT3</v>
      </c>
      <c r="R467" s="35" t="str">
        <f t="shared" si="433"/>
        <v>E</v>
      </c>
      <c r="S467" s="35" t="str">
        <f t="shared" si="434"/>
        <v>EXP1</v>
      </c>
      <c r="T467" s="58"/>
      <c r="U467" s="58"/>
      <c r="V467" s="58"/>
      <c r="W467" s="58"/>
      <c r="X467" s="58"/>
      <c r="Y467" s="58"/>
      <c r="Z467" s="58"/>
      <c r="AA467" s="95">
        <f t="shared" si="455"/>
        <v>0.62096654793196415</v>
      </c>
      <c r="AB467" s="96">
        <f t="shared" si="446"/>
        <v>62.096654793196414</v>
      </c>
      <c r="AC467" s="58"/>
      <c r="AD467" s="58"/>
      <c r="AE467" s="58"/>
      <c r="AF467" s="58"/>
      <c r="AG467" s="58"/>
      <c r="AH467" s="58"/>
      <c r="AI467" s="58"/>
      <c r="AJ467" s="58"/>
      <c r="AK467" s="58"/>
      <c r="AL467" s="58"/>
      <c r="AM467" s="89">
        <f t="shared" si="447"/>
        <v>20</v>
      </c>
      <c r="AN467" s="36">
        <f t="shared" si="435"/>
        <v>35.541666666666664</v>
      </c>
      <c r="AO467" s="35">
        <f t="shared" si="436"/>
        <v>1.8195360912367726</v>
      </c>
      <c r="AP467" s="35">
        <f>IF((OR(R467="A",R467="B",R467="C")),INDEX(Coefficients!$S$4:$S$22,MATCH(J467,Coefficients!$R$4:$R$22)),INDEX(Coefficients!$T$4:$T$22,MATCH(J467,Coefficients!$R$4:$R$22)))</f>
        <v>1.3</v>
      </c>
      <c r="AQ467" s="27">
        <f>IF((OR(R467="A",R467="B",R467="C")),INDEX(Coefficients!$S$4:$S$22,MATCH(K467,Coefficients!$R$4:$R$22)),INDEX(Coefficients!$T$4:$T$22,MATCH(K467,Coefficients!$R$4:$R$22)))</f>
        <v>25</v>
      </c>
      <c r="AR467" s="27">
        <f>IF(OR(R467="A",R467="B",R467="C",R467="D"),IF(AN467&gt;=11,IF(AN467&gt;=26,Coefficients!$M$6,Coefficients!$M$5),Coefficients!$M$4),IF(AN467&gt;=11,IF(AN467&gt;=26,Coefficients!$N$6,Coefficients!$N$5),Coefficients!$N$4))</f>
        <v>1</v>
      </c>
      <c r="AS467" s="27">
        <f>INDEX(Coefficients!$X$3:$X$4,MATCH(S467,Coefficients!$W$3:$W$4))</f>
        <v>1</v>
      </c>
      <c r="AT467" s="27">
        <f>INDEX(Coefficients!$X$7:$X$8,MATCH(O467,Coefficients!$W$7:$W$8))</f>
        <v>1</v>
      </c>
      <c r="AU467" s="27">
        <f>INDEX(Coefficients!$X$11:$X$12,MATCH(P467,Coefficients!$W$11:$W$12))</f>
        <v>1</v>
      </c>
      <c r="AV467" s="27">
        <f>INDEX(Coefficients!$X$15:$X$17,MATCH(Q467,Coefficients!$W$15:$W$17))</f>
        <v>1</v>
      </c>
      <c r="AW467" s="27">
        <f t="shared" si="448"/>
        <v>1</v>
      </c>
      <c r="AX467" s="27">
        <f t="shared" si="449"/>
        <v>1</v>
      </c>
      <c r="AY467" s="27">
        <f t="shared" si="450"/>
        <v>1.3</v>
      </c>
      <c r="AZ467" s="35">
        <f t="shared" si="451"/>
        <v>45.488402280919317</v>
      </c>
      <c r="BA467" s="35">
        <f t="shared" si="452"/>
        <v>0</v>
      </c>
      <c r="BB467" s="35">
        <f t="shared" si="453"/>
        <v>2.3653969186078045</v>
      </c>
      <c r="BC467" s="35">
        <f t="shared" si="454"/>
        <v>1.7634603081392195</v>
      </c>
      <c r="BD467" s="35">
        <f t="shared" si="437"/>
        <v>0.4396725098517969</v>
      </c>
      <c r="BE467" s="16">
        <f t="shared" si="438"/>
        <v>62.096654793196414</v>
      </c>
      <c r="BF467" s="16">
        <f t="shared" si="439"/>
        <v>275.80669041360716</v>
      </c>
      <c r="BG467" s="25">
        <f t="shared" si="440"/>
        <v>0.62096654793196415</v>
      </c>
      <c r="BH467" s="35">
        <f t="shared" si="441"/>
        <v>136.61264054503212</v>
      </c>
      <c r="BI467" s="35">
        <f t="shared" si="442"/>
        <v>126.77471890993576</v>
      </c>
      <c r="BJ467" s="35">
        <f t="shared" si="443"/>
        <v>36.024095114283092</v>
      </c>
    </row>
    <row r="468" spans="2:62">
      <c r="B468" s="35" t="s">
        <v>133</v>
      </c>
      <c r="C468" s="88" t="str">
        <f>'Cooler&amp;Wetter'!$B$1</f>
        <v>MIROC-Medres</v>
      </c>
      <c r="D468" s="89">
        <v>2026</v>
      </c>
      <c r="E468" s="90">
        <f>'Cooler&amp;Wetter'!AB54</f>
        <v>35.543333333333337</v>
      </c>
      <c r="F468" s="90">
        <f>'Cooler&amp;Wetter'!AD54</f>
        <v>22.349333333333334</v>
      </c>
      <c r="G468" s="35">
        <f t="shared" si="444"/>
        <v>2005</v>
      </c>
      <c r="H468" s="91" t="str">
        <f t="shared" si="424"/>
        <v>Pile 32 @ Berth 201</v>
      </c>
      <c r="I468" s="35" t="str">
        <f t="shared" si="425"/>
        <v>Turpentine Gum</v>
      </c>
      <c r="J468" s="35" t="str">
        <f t="shared" si="426"/>
        <v>HW1</v>
      </c>
      <c r="K468" s="35" t="str">
        <f t="shared" si="445"/>
        <v>SPHU</v>
      </c>
      <c r="L468" s="35">
        <f t="shared" si="427"/>
        <v>400</v>
      </c>
      <c r="M468" s="35">
        <f t="shared" si="428"/>
        <v>20</v>
      </c>
      <c r="N468" s="35">
        <f t="shared" si="429"/>
        <v>200</v>
      </c>
      <c r="O468" s="35" t="str">
        <f t="shared" si="430"/>
        <v>MTN2</v>
      </c>
      <c r="P468" s="35" t="str">
        <f t="shared" si="431"/>
        <v>CNT2</v>
      </c>
      <c r="Q468" s="35" t="str">
        <f t="shared" si="432"/>
        <v>KNT3</v>
      </c>
      <c r="R468" s="35" t="str">
        <f t="shared" si="433"/>
        <v>E</v>
      </c>
      <c r="S468" s="35" t="str">
        <f t="shared" si="434"/>
        <v>EXP1</v>
      </c>
      <c r="T468" s="58"/>
      <c r="U468" s="58"/>
      <c r="V468" s="58"/>
      <c r="W468" s="58"/>
      <c r="X468" s="58"/>
      <c r="Y468" s="58"/>
      <c r="Z468" s="58"/>
      <c r="AA468" s="95">
        <f t="shared" si="455"/>
        <v>0.64658085874662985</v>
      </c>
      <c r="AB468" s="96">
        <f t="shared" si="446"/>
        <v>64.658085874662987</v>
      </c>
      <c r="AC468" s="58"/>
      <c r="AD468" s="58"/>
      <c r="AE468" s="58"/>
      <c r="AF468" s="58"/>
      <c r="AG468" s="58"/>
      <c r="AH468" s="58"/>
      <c r="AI468" s="58"/>
      <c r="AJ468" s="58"/>
      <c r="AK468" s="58"/>
      <c r="AL468" s="58"/>
      <c r="AM468" s="89">
        <f t="shared" si="447"/>
        <v>21</v>
      </c>
      <c r="AN468" s="36">
        <f t="shared" si="435"/>
        <v>35.543333333333337</v>
      </c>
      <c r="AO468" s="35">
        <f t="shared" si="436"/>
        <v>1.8272794846724794</v>
      </c>
      <c r="AP468" s="35">
        <f>IF((OR(R468="A",R468="B",R468="C")),INDEX(Coefficients!$S$4:$S$22,MATCH(J468,Coefficients!$R$4:$R$22)),INDEX(Coefficients!$T$4:$T$22,MATCH(J468,Coefficients!$R$4:$R$22)))</f>
        <v>1.3</v>
      </c>
      <c r="AQ468" s="27">
        <f>IF((OR(R468="A",R468="B",R468="C")),INDEX(Coefficients!$S$4:$S$22,MATCH(K468,Coefficients!$R$4:$R$22)),INDEX(Coefficients!$T$4:$T$22,MATCH(K468,Coefficients!$R$4:$R$22)))</f>
        <v>25</v>
      </c>
      <c r="AR468" s="27">
        <f>IF(OR(R468="A",R468="B",R468="C",R468="D"),IF(AN468&gt;=11,IF(AN468&gt;=26,Coefficients!$M$6,Coefficients!$M$5),Coefficients!$M$4),IF(AN468&gt;=11,IF(AN468&gt;=26,Coefficients!$N$6,Coefficients!$N$5),Coefficients!$N$4))</f>
        <v>1</v>
      </c>
      <c r="AS468" s="27">
        <f>INDEX(Coefficients!$X$3:$X$4,MATCH(S468,Coefficients!$W$3:$W$4))</f>
        <v>1</v>
      </c>
      <c r="AT468" s="27">
        <f>INDEX(Coefficients!$X$7:$X$8,MATCH(O468,Coefficients!$W$7:$W$8))</f>
        <v>1</v>
      </c>
      <c r="AU468" s="27">
        <f>INDEX(Coefficients!$X$11:$X$12,MATCH(P468,Coefficients!$W$11:$W$12))</f>
        <v>1</v>
      </c>
      <c r="AV468" s="27">
        <f>INDEX(Coefficients!$X$15:$X$17,MATCH(Q468,Coefficients!$W$15:$W$17))</f>
        <v>1</v>
      </c>
      <c r="AW468" s="27">
        <f t="shared" si="448"/>
        <v>1</v>
      </c>
      <c r="AX468" s="27">
        <f t="shared" si="449"/>
        <v>1</v>
      </c>
      <c r="AY468" s="27">
        <f t="shared" si="450"/>
        <v>1.3</v>
      </c>
      <c r="AZ468" s="35">
        <f t="shared" si="451"/>
        <v>45.681987116811982</v>
      </c>
      <c r="BA468" s="35">
        <f t="shared" si="452"/>
        <v>0</v>
      </c>
      <c r="BB468" s="35">
        <f t="shared" si="453"/>
        <v>2.3754633300742234</v>
      </c>
      <c r="BC468" s="35">
        <f t="shared" si="454"/>
        <v>1.7624536669925777</v>
      </c>
      <c r="BD468" s="35">
        <f t="shared" si="437"/>
        <v>0.43780932621995239</v>
      </c>
      <c r="BE468" s="16">
        <f t="shared" si="438"/>
        <v>64.658085874662987</v>
      </c>
      <c r="BF468" s="16">
        <f t="shared" si="439"/>
        <v>270.68382825067403</v>
      </c>
      <c r="BG468" s="25">
        <f t="shared" si="440"/>
        <v>0.64658085874662985</v>
      </c>
      <c r="BH468" s="35">
        <f t="shared" si="441"/>
        <v>142.24778892425857</v>
      </c>
      <c r="BI468" s="35">
        <f t="shared" si="442"/>
        <v>115.50442215148286</v>
      </c>
      <c r="BJ468" s="35">
        <f t="shared" si="443"/>
        <v>35.877903471670407</v>
      </c>
    </row>
    <row r="469" spans="2:62">
      <c r="B469" s="35" t="s">
        <v>133</v>
      </c>
      <c r="C469" s="88" t="str">
        <f>'Cooler&amp;Wetter'!$B$1</f>
        <v>MIROC-Medres</v>
      </c>
      <c r="D469" s="89">
        <v>2027</v>
      </c>
      <c r="E469" s="90">
        <f>'Cooler&amp;Wetter'!AB55</f>
        <v>35.545000000000002</v>
      </c>
      <c r="F469" s="90">
        <f>'Cooler&amp;Wetter'!AD55</f>
        <v>22.381999999999998</v>
      </c>
      <c r="G469" s="35">
        <f t="shared" si="444"/>
        <v>2005</v>
      </c>
      <c r="H469" s="91" t="str">
        <f t="shared" si="424"/>
        <v>Pile 32 @ Berth 201</v>
      </c>
      <c r="I469" s="35" t="str">
        <f t="shared" si="425"/>
        <v>Turpentine Gum</v>
      </c>
      <c r="J469" s="35" t="str">
        <f t="shared" si="426"/>
        <v>HW1</v>
      </c>
      <c r="K469" s="35" t="str">
        <f t="shared" si="445"/>
        <v>SPHU</v>
      </c>
      <c r="L469" s="35">
        <f t="shared" si="427"/>
        <v>400</v>
      </c>
      <c r="M469" s="35">
        <f t="shared" si="428"/>
        <v>20</v>
      </c>
      <c r="N469" s="35">
        <f t="shared" si="429"/>
        <v>200</v>
      </c>
      <c r="O469" s="35" t="str">
        <f t="shared" si="430"/>
        <v>MTN2</v>
      </c>
      <c r="P469" s="35" t="str">
        <f t="shared" si="431"/>
        <v>CNT2</v>
      </c>
      <c r="Q469" s="35" t="str">
        <f t="shared" si="432"/>
        <v>KNT3</v>
      </c>
      <c r="R469" s="35" t="str">
        <f t="shared" si="433"/>
        <v>E</v>
      </c>
      <c r="S469" s="35" t="str">
        <f t="shared" si="434"/>
        <v>EXP1</v>
      </c>
      <c r="T469" s="58"/>
      <c r="U469" s="58"/>
      <c r="V469" s="58"/>
      <c r="W469" s="58"/>
      <c r="X469" s="58"/>
      <c r="Y469" s="58"/>
      <c r="Z469" s="58"/>
      <c r="AA469" s="95">
        <f t="shared" si="455"/>
        <v>0.67240547276645768</v>
      </c>
      <c r="AB469" s="96">
        <f t="shared" si="446"/>
        <v>67.240547276645771</v>
      </c>
      <c r="AC469" s="58"/>
      <c r="AD469" s="58"/>
      <c r="AE469" s="58"/>
      <c r="AF469" s="58"/>
      <c r="AG469" s="58"/>
      <c r="AH469" s="58"/>
      <c r="AI469" s="58"/>
      <c r="AJ469" s="58"/>
      <c r="AK469" s="58"/>
      <c r="AL469" s="58"/>
      <c r="AM469" s="89">
        <f t="shared" si="447"/>
        <v>22</v>
      </c>
      <c r="AN469" s="36">
        <f t="shared" si="435"/>
        <v>35.545000000000002</v>
      </c>
      <c r="AO469" s="35">
        <f t="shared" si="436"/>
        <v>1.835055831640785</v>
      </c>
      <c r="AP469" s="35">
        <f>IF((OR(R469="A",R469="B",R469="C")),INDEX(Coefficients!$S$4:$S$22,MATCH(J469,Coefficients!$R$4:$R$22)),INDEX(Coefficients!$T$4:$T$22,MATCH(J469,Coefficients!$R$4:$R$22)))</f>
        <v>1.3</v>
      </c>
      <c r="AQ469" s="27">
        <f>IF((OR(R469="A",R469="B",R469="C")),INDEX(Coefficients!$S$4:$S$22,MATCH(K469,Coefficients!$R$4:$R$22)),INDEX(Coefficients!$T$4:$T$22,MATCH(K469,Coefficients!$R$4:$R$22)))</f>
        <v>25</v>
      </c>
      <c r="AR469" s="27">
        <f>IF(OR(R469="A",R469="B",R469="C",R469="D"),IF(AN469&gt;=11,IF(AN469&gt;=26,Coefficients!$M$6,Coefficients!$M$5),Coefficients!$M$4),IF(AN469&gt;=11,IF(AN469&gt;=26,Coefficients!$N$6,Coefficients!$N$5),Coefficients!$N$4))</f>
        <v>1</v>
      </c>
      <c r="AS469" s="27">
        <f>INDEX(Coefficients!$X$3:$X$4,MATCH(S469,Coefficients!$W$3:$W$4))</f>
        <v>1</v>
      </c>
      <c r="AT469" s="27">
        <f>INDEX(Coefficients!$X$7:$X$8,MATCH(O469,Coefficients!$W$7:$W$8))</f>
        <v>1</v>
      </c>
      <c r="AU469" s="27">
        <f>INDEX(Coefficients!$X$11:$X$12,MATCH(P469,Coefficients!$W$11:$W$12))</f>
        <v>1</v>
      </c>
      <c r="AV469" s="27">
        <f>INDEX(Coefficients!$X$15:$X$17,MATCH(Q469,Coefficients!$W$15:$W$17))</f>
        <v>1</v>
      </c>
      <c r="AW469" s="27">
        <f t="shared" si="448"/>
        <v>1</v>
      </c>
      <c r="AX469" s="27">
        <f t="shared" si="449"/>
        <v>1</v>
      </c>
      <c r="AY469" s="27">
        <f t="shared" si="450"/>
        <v>1.3</v>
      </c>
      <c r="AZ469" s="35">
        <f t="shared" si="451"/>
        <v>45.876395791019625</v>
      </c>
      <c r="BA469" s="35">
        <f t="shared" si="452"/>
        <v>0</v>
      </c>
      <c r="BB469" s="35">
        <f t="shared" si="453"/>
        <v>2.3855725811330206</v>
      </c>
      <c r="BC469" s="35">
        <f t="shared" si="454"/>
        <v>1.761442741886698</v>
      </c>
      <c r="BD469" s="35">
        <f t="shared" si="437"/>
        <v>0.43595403813119582</v>
      </c>
      <c r="BE469" s="16">
        <f t="shared" si="438"/>
        <v>67.240547276645771</v>
      </c>
      <c r="BF469" s="16">
        <f t="shared" si="439"/>
        <v>265.51890544670846</v>
      </c>
      <c r="BG469" s="25">
        <f t="shared" si="440"/>
        <v>0.67240547276645768</v>
      </c>
      <c r="BH469" s="35">
        <f t="shared" si="441"/>
        <v>147.9292040086207</v>
      </c>
      <c r="BI469" s="35">
        <f t="shared" si="442"/>
        <v>104.1415919827586</v>
      </c>
      <c r="BJ469" s="35">
        <f t="shared" si="443"/>
        <v>35.732322790109869</v>
      </c>
    </row>
    <row r="470" spans="2:62">
      <c r="B470" s="35" t="s">
        <v>133</v>
      </c>
      <c r="C470" s="88" t="str">
        <f>'Cooler&amp;Wetter'!$B$1</f>
        <v>MIROC-Medres</v>
      </c>
      <c r="D470" s="89">
        <v>2028</v>
      </c>
      <c r="E470" s="90">
        <f>'Cooler&amp;Wetter'!AB56</f>
        <v>35.546666666666667</v>
      </c>
      <c r="F470" s="90">
        <f>'Cooler&amp;Wetter'!AD56</f>
        <v>22.414666666666665</v>
      </c>
      <c r="G470" s="35">
        <f t="shared" si="444"/>
        <v>2005</v>
      </c>
      <c r="H470" s="91" t="str">
        <f t="shared" si="424"/>
        <v>Pile 32 @ Berth 201</v>
      </c>
      <c r="I470" s="35" t="str">
        <f t="shared" si="425"/>
        <v>Turpentine Gum</v>
      </c>
      <c r="J470" s="35" t="str">
        <f t="shared" si="426"/>
        <v>HW1</v>
      </c>
      <c r="K470" s="35" t="str">
        <f t="shared" si="445"/>
        <v>SPHU</v>
      </c>
      <c r="L470" s="35">
        <f t="shared" si="427"/>
        <v>400</v>
      </c>
      <c r="M470" s="35">
        <f t="shared" si="428"/>
        <v>20</v>
      </c>
      <c r="N470" s="35">
        <f t="shared" si="429"/>
        <v>200</v>
      </c>
      <c r="O470" s="35" t="str">
        <f t="shared" si="430"/>
        <v>MTN2</v>
      </c>
      <c r="P470" s="35" t="str">
        <f t="shared" si="431"/>
        <v>CNT2</v>
      </c>
      <c r="Q470" s="35" t="str">
        <f t="shared" si="432"/>
        <v>KNT3</v>
      </c>
      <c r="R470" s="35" t="str">
        <f t="shared" si="433"/>
        <v>E</v>
      </c>
      <c r="S470" s="35" t="str">
        <f t="shared" si="434"/>
        <v>EXP1</v>
      </c>
      <c r="T470" s="58"/>
      <c r="U470" s="58"/>
      <c r="V470" s="58"/>
      <c r="W470" s="58"/>
      <c r="X470" s="58"/>
      <c r="Y470" s="58"/>
      <c r="Z470" s="58"/>
      <c r="AA470" s="95">
        <f t="shared" si="455"/>
        <v>0.69844171693680179</v>
      </c>
      <c r="AB470" s="96">
        <f t="shared" si="446"/>
        <v>69.844171693680181</v>
      </c>
      <c r="AC470" s="58"/>
      <c r="AD470" s="58"/>
      <c r="AE470" s="58"/>
      <c r="AF470" s="58"/>
      <c r="AG470" s="58"/>
      <c r="AH470" s="58"/>
      <c r="AI470" s="58"/>
      <c r="AJ470" s="58"/>
      <c r="AK470" s="58"/>
      <c r="AL470" s="58"/>
      <c r="AM470" s="89">
        <f t="shared" si="447"/>
        <v>23</v>
      </c>
      <c r="AN470" s="36">
        <f t="shared" si="435"/>
        <v>35.546666666666667</v>
      </c>
      <c r="AO470" s="35">
        <f t="shared" si="436"/>
        <v>1.842865272381927</v>
      </c>
      <c r="AP470" s="35">
        <f>IF((OR(R470="A",R470="B",R470="C")),INDEX(Coefficients!$S$4:$S$22,MATCH(J470,Coefficients!$R$4:$R$22)),INDEX(Coefficients!$T$4:$T$22,MATCH(J470,Coefficients!$R$4:$R$22)))</f>
        <v>1.3</v>
      </c>
      <c r="AQ470" s="27">
        <f>IF((OR(R470="A",R470="B",R470="C")),INDEX(Coefficients!$S$4:$S$22,MATCH(K470,Coefficients!$R$4:$R$22)),INDEX(Coefficients!$T$4:$T$22,MATCH(K470,Coefficients!$R$4:$R$22)))</f>
        <v>25</v>
      </c>
      <c r="AR470" s="27">
        <f>IF(OR(R470="A",R470="B",R470="C",R470="D"),IF(AN470&gt;=11,IF(AN470&gt;=26,Coefficients!$M$6,Coefficients!$M$5),Coefficients!$M$4),IF(AN470&gt;=11,IF(AN470&gt;=26,Coefficients!$N$6,Coefficients!$N$5),Coefficients!$N$4))</f>
        <v>1</v>
      </c>
      <c r="AS470" s="27">
        <f>INDEX(Coefficients!$X$3:$X$4,MATCH(S470,Coefficients!$W$3:$W$4))</f>
        <v>1</v>
      </c>
      <c r="AT470" s="27">
        <f>INDEX(Coefficients!$X$7:$X$8,MATCH(O470,Coefficients!$W$7:$W$8))</f>
        <v>1</v>
      </c>
      <c r="AU470" s="27">
        <f>INDEX(Coefficients!$X$11:$X$12,MATCH(P470,Coefficients!$W$11:$W$12))</f>
        <v>1</v>
      </c>
      <c r="AV470" s="27">
        <f>INDEX(Coefficients!$X$15:$X$17,MATCH(Q470,Coefficients!$W$15:$W$17))</f>
        <v>1</v>
      </c>
      <c r="AW470" s="27">
        <f t="shared" si="448"/>
        <v>1</v>
      </c>
      <c r="AX470" s="27">
        <f t="shared" si="449"/>
        <v>1</v>
      </c>
      <c r="AY470" s="27">
        <f t="shared" si="450"/>
        <v>1.3</v>
      </c>
      <c r="AZ470" s="35">
        <f t="shared" si="451"/>
        <v>46.071631809548172</v>
      </c>
      <c r="BA470" s="35">
        <f t="shared" si="452"/>
        <v>0</v>
      </c>
      <c r="BB470" s="35">
        <f t="shared" si="453"/>
        <v>2.395724854096505</v>
      </c>
      <c r="BC470" s="35">
        <f t="shared" si="454"/>
        <v>1.7604275145903494</v>
      </c>
      <c r="BD470" s="35">
        <f t="shared" si="437"/>
        <v>0.43410661212688095</v>
      </c>
      <c r="BE470" s="16">
        <f t="shared" si="438"/>
        <v>69.844171693680181</v>
      </c>
      <c r="BF470" s="16">
        <f t="shared" si="439"/>
        <v>260.31165661263964</v>
      </c>
      <c r="BG470" s="25">
        <f t="shared" si="440"/>
        <v>0.69844171693680179</v>
      </c>
      <c r="BH470" s="35">
        <f t="shared" si="441"/>
        <v>153.65717772609642</v>
      </c>
      <c r="BI470" s="35">
        <f t="shared" si="442"/>
        <v>92.685644547807158</v>
      </c>
      <c r="BJ470" s="35">
        <f t="shared" si="443"/>
        <v>35.587350444169608</v>
      </c>
    </row>
    <row r="471" spans="2:62">
      <c r="B471" s="35" t="s">
        <v>133</v>
      </c>
      <c r="C471" s="88" t="str">
        <f>'Cooler&amp;Wetter'!$B$1</f>
        <v>MIROC-Medres</v>
      </c>
      <c r="D471" s="89">
        <v>2029</v>
      </c>
      <c r="E471" s="90">
        <f>'Cooler&amp;Wetter'!AB57</f>
        <v>35.548333333333332</v>
      </c>
      <c r="F471" s="90">
        <f>'Cooler&amp;Wetter'!AD57</f>
        <v>22.447333333333333</v>
      </c>
      <c r="G471" s="35">
        <f t="shared" si="444"/>
        <v>2005</v>
      </c>
      <c r="H471" s="91" t="str">
        <f t="shared" si="424"/>
        <v>Pile 32 @ Berth 201</v>
      </c>
      <c r="I471" s="35" t="str">
        <f t="shared" si="425"/>
        <v>Turpentine Gum</v>
      </c>
      <c r="J471" s="35" t="str">
        <f t="shared" si="426"/>
        <v>HW1</v>
      </c>
      <c r="K471" s="35" t="str">
        <f t="shared" si="445"/>
        <v>SPHU</v>
      </c>
      <c r="L471" s="35">
        <f t="shared" si="427"/>
        <v>400</v>
      </c>
      <c r="M471" s="35">
        <f t="shared" si="428"/>
        <v>20</v>
      </c>
      <c r="N471" s="35">
        <f t="shared" si="429"/>
        <v>200</v>
      </c>
      <c r="O471" s="35" t="str">
        <f t="shared" si="430"/>
        <v>MTN2</v>
      </c>
      <c r="P471" s="35" t="str">
        <f t="shared" si="431"/>
        <v>CNT2</v>
      </c>
      <c r="Q471" s="35" t="str">
        <f t="shared" si="432"/>
        <v>KNT3</v>
      </c>
      <c r="R471" s="35" t="str">
        <f t="shared" si="433"/>
        <v>E</v>
      </c>
      <c r="S471" s="35" t="str">
        <f t="shared" si="434"/>
        <v>EXP1</v>
      </c>
      <c r="T471" s="58"/>
      <c r="U471" s="58"/>
      <c r="V471" s="58"/>
      <c r="W471" s="58"/>
      <c r="X471" s="58"/>
      <c r="Y471" s="58"/>
      <c r="Z471" s="58"/>
      <c r="AA471" s="95">
        <f t="shared" si="455"/>
        <v>0.72469092569581139</v>
      </c>
      <c r="AB471" s="96">
        <f t="shared" si="446"/>
        <v>72.469092569581136</v>
      </c>
      <c r="AC471" s="58"/>
      <c r="AD471" s="58"/>
      <c r="AE471" s="58"/>
      <c r="AF471" s="58"/>
      <c r="AG471" s="58"/>
      <c r="AH471" s="58"/>
      <c r="AI471" s="58"/>
      <c r="AJ471" s="58"/>
      <c r="AK471" s="58"/>
      <c r="AL471" s="58"/>
      <c r="AM471" s="89">
        <f t="shared" si="447"/>
        <v>24</v>
      </c>
      <c r="AN471" s="36">
        <f t="shared" si="435"/>
        <v>35.548333333333332</v>
      </c>
      <c r="AO471" s="35">
        <f t="shared" si="436"/>
        <v>1.8507079477329584</v>
      </c>
      <c r="AP471" s="35">
        <f>IF((OR(R471="A",R471="B",R471="C")),INDEX(Coefficients!$S$4:$S$22,MATCH(J471,Coefficients!$R$4:$R$22)),INDEX(Coefficients!$T$4:$T$22,MATCH(J471,Coefficients!$R$4:$R$22)))</f>
        <v>1.3</v>
      </c>
      <c r="AQ471" s="27">
        <f>IF((OR(R471="A",R471="B",R471="C")),INDEX(Coefficients!$S$4:$S$22,MATCH(K471,Coefficients!$R$4:$R$22)),INDEX(Coefficients!$T$4:$T$22,MATCH(K471,Coefficients!$R$4:$R$22)))</f>
        <v>25</v>
      </c>
      <c r="AR471" s="27">
        <f>IF(OR(R471="A",R471="B",R471="C",R471="D"),IF(AN471&gt;=11,IF(AN471&gt;=26,Coefficients!$M$6,Coefficients!$M$5),Coefficients!$M$4),IF(AN471&gt;=11,IF(AN471&gt;=26,Coefficients!$N$6,Coefficients!$N$5),Coefficients!$N$4))</f>
        <v>1</v>
      </c>
      <c r="AS471" s="27">
        <f>INDEX(Coefficients!$X$3:$X$4,MATCH(S471,Coefficients!$W$3:$W$4))</f>
        <v>1</v>
      </c>
      <c r="AT471" s="27">
        <f>INDEX(Coefficients!$X$7:$X$8,MATCH(O471,Coefficients!$W$7:$W$8))</f>
        <v>1</v>
      </c>
      <c r="AU471" s="27">
        <f>INDEX(Coefficients!$X$11:$X$12,MATCH(P471,Coefficients!$W$11:$W$12))</f>
        <v>1</v>
      </c>
      <c r="AV471" s="27">
        <f>INDEX(Coefficients!$X$15:$X$17,MATCH(Q471,Coefficients!$W$15:$W$17))</f>
        <v>1</v>
      </c>
      <c r="AW471" s="27">
        <f t="shared" si="448"/>
        <v>1</v>
      </c>
      <c r="AX471" s="27">
        <f t="shared" si="449"/>
        <v>1</v>
      </c>
      <c r="AY471" s="27">
        <f t="shared" si="450"/>
        <v>1.3</v>
      </c>
      <c r="AZ471" s="35">
        <f t="shared" si="451"/>
        <v>46.267698693323958</v>
      </c>
      <c r="BA471" s="35">
        <f t="shared" si="452"/>
        <v>0</v>
      </c>
      <c r="BB471" s="35">
        <f t="shared" si="453"/>
        <v>2.4059203320528462</v>
      </c>
      <c r="BC471" s="35">
        <f t="shared" si="454"/>
        <v>1.7594079667947153</v>
      </c>
      <c r="BD471" s="35">
        <f t="shared" si="437"/>
        <v>0.43226701489014913</v>
      </c>
      <c r="BE471" s="16">
        <f t="shared" si="438"/>
        <v>72.469092569581136</v>
      </c>
      <c r="BF471" s="16">
        <f t="shared" si="439"/>
        <v>255.06181486083773</v>
      </c>
      <c r="BG471" s="25">
        <f t="shared" si="440"/>
        <v>0.72469092569581139</v>
      </c>
      <c r="BH471" s="35">
        <f t="shared" si="441"/>
        <v>159.43200365307851</v>
      </c>
      <c r="BI471" s="35">
        <f t="shared" si="442"/>
        <v>81.135992693842979</v>
      </c>
      <c r="BJ471" s="35">
        <f t="shared" si="443"/>
        <v>35.442983819388644</v>
      </c>
    </row>
    <row r="472" spans="2:62">
      <c r="B472" s="35" t="s">
        <v>133</v>
      </c>
      <c r="C472" s="88" t="str">
        <f>'Cooler&amp;Wetter'!$B$1</f>
        <v>MIROC-Medres</v>
      </c>
      <c r="D472" s="89">
        <v>2030</v>
      </c>
      <c r="E472" s="90">
        <f>'Cooler&amp;Wetter'!AB58</f>
        <v>35.549999999999997</v>
      </c>
      <c r="F472" s="90">
        <f>'Cooler&amp;Wetter'!AD58</f>
        <v>22.48</v>
      </c>
      <c r="G472" s="35">
        <f t="shared" si="444"/>
        <v>2005</v>
      </c>
      <c r="H472" s="91" t="str">
        <f t="shared" si="424"/>
        <v>Pile 32 @ Berth 201</v>
      </c>
      <c r="I472" s="35" t="str">
        <f t="shared" si="425"/>
        <v>Turpentine Gum</v>
      </c>
      <c r="J472" s="35" t="str">
        <f t="shared" si="426"/>
        <v>HW1</v>
      </c>
      <c r="K472" s="35" t="str">
        <f t="shared" si="445"/>
        <v>SPHU</v>
      </c>
      <c r="L472" s="35">
        <f t="shared" si="427"/>
        <v>400</v>
      </c>
      <c r="M472" s="35">
        <f t="shared" si="428"/>
        <v>20</v>
      </c>
      <c r="N472" s="35">
        <f t="shared" si="429"/>
        <v>200</v>
      </c>
      <c r="O472" s="35" t="str">
        <f t="shared" si="430"/>
        <v>MTN2</v>
      </c>
      <c r="P472" s="35" t="str">
        <f t="shared" si="431"/>
        <v>CNT2</v>
      </c>
      <c r="Q472" s="35" t="str">
        <f t="shared" si="432"/>
        <v>KNT3</v>
      </c>
      <c r="R472" s="35" t="str">
        <f t="shared" si="433"/>
        <v>E</v>
      </c>
      <c r="S472" s="35" t="str">
        <f t="shared" si="434"/>
        <v>EXP1</v>
      </c>
      <c r="T472" s="58"/>
      <c r="U472" s="58"/>
      <c r="V472" s="58"/>
      <c r="W472" s="58"/>
      <c r="X472" s="58"/>
      <c r="Y472" s="58"/>
      <c r="Z472" s="58"/>
      <c r="AA472" s="95">
        <f t="shared" si="455"/>
        <v>0.75115444101423834</v>
      </c>
      <c r="AB472" s="96">
        <f t="shared" si="446"/>
        <v>75.115444101423833</v>
      </c>
      <c r="AC472" s="58"/>
      <c r="AD472" s="58"/>
      <c r="AE472" s="58"/>
      <c r="AF472" s="58"/>
      <c r="AG472" s="58"/>
      <c r="AH472" s="58"/>
      <c r="AI472" s="58"/>
      <c r="AJ472" s="58"/>
      <c r="AK472" s="58"/>
      <c r="AL472" s="58"/>
      <c r="AM472" s="89">
        <f t="shared" si="447"/>
        <v>25</v>
      </c>
      <c r="AN472" s="36">
        <f t="shared" si="435"/>
        <v>35.549999999999997</v>
      </c>
      <c r="AO472" s="35">
        <f t="shared" si="436"/>
        <v>1.8585839991302919</v>
      </c>
      <c r="AP472" s="35">
        <f>IF((OR(R472="A",R472="B",R472="C")),INDEX(Coefficients!$S$4:$S$22,MATCH(J472,Coefficients!$R$4:$R$22)),INDEX(Coefficients!$T$4:$T$22,MATCH(J472,Coefficients!$R$4:$R$22)))</f>
        <v>1.3</v>
      </c>
      <c r="AQ472" s="27">
        <f>IF((OR(R472="A",R472="B",R472="C")),INDEX(Coefficients!$S$4:$S$22,MATCH(K472,Coefficients!$R$4:$R$22)),INDEX(Coefficients!$T$4:$T$22,MATCH(K472,Coefficients!$R$4:$R$22)))</f>
        <v>25</v>
      </c>
      <c r="AR472" s="27">
        <f>IF(OR(R472="A",R472="B",R472="C",R472="D"),IF(AN472&gt;=11,IF(AN472&gt;=26,Coefficients!$M$6,Coefficients!$M$5),Coefficients!$M$4),IF(AN472&gt;=11,IF(AN472&gt;=26,Coefficients!$N$6,Coefficients!$N$5),Coefficients!$N$4))</f>
        <v>1</v>
      </c>
      <c r="AS472" s="27">
        <f>INDEX(Coefficients!$X$3:$X$4,MATCH(S472,Coefficients!$W$3:$W$4))</f>
        <v>1</v>
      </c>
      <c r="AT472" s="27">
        <f>INDEX(Coefficients!$X$7:$X$8,MATCH(O472,Coefficients!$W$7:$W$8))</f>
        <v>1</v>
      </c>
      <c r="AU472" s="27">
        <f>INDEX(Coefficients!$X$11:$X$12,MATCH(P472,Coefficients!$W$11:$W$12))</f>
        <v>1</v>
      </c>
      <c r="AV472" s="27">
        <f>INDEX(Coefficients!$X$15:$X$17,MATCH(Q472,Coefficients!$W$15:$W$17))</f>
        <v>1</v>
      </c>
      <c r="AW472" s="27">
        <f t="shared" si="448"/>
        <v>1</v>
      </c>
      <c r="AX472" s="27">
        <f t="shared" si="449"/>
        <v>1</v>
      </c>
      <c r="AY472" s="27">
        <f t="shared" si="450"/>
        <v>1.3</v>
      </c>
      <c r="AZ472" s="35">
        <f t="shared" si="451"/>
        <v>46.464599978257297</v>
      </c>
      <c r="BA472" s="35">
        <f t="shared" si="452"/>
        <v>0</v>
      </c>
      <c r="BB472" s="35">
        <f t="shared" si="453"/>
        <v>2.4161591988693796</v>
      </c>
      <c r="BC472" s="35">
        <f t="shared" si="454"/>
        <v>1.7583840801130619</v>
      </c>
      <c r="BD472" s="35">
        <f t="shared" si="437"/>
        <v>0.43043521324532708</v>
      </c>
      <c r="BE472" s="16">
        <f t="shared" si="438"/>
        <v>75.115444101423833</v>
      </c>
      <c r="BF472" s="16">
        <f t="shared" si="439"/>
        <v>249.76911179715233</v>
      </c>
      <c r="BG472" s="25">
        <f t="shared" si="440"/>
        <v>0.75115444101423834</v>
      </c>
      <c r="BH472" s="35">
        <f t="shared" si="441"/>
        <v>165.25397702313245</v>
      </c>
      <c r="BI472" s="35">
        <f t="shared" si="442"/>
        <v>69.492045953735101</v>
      </c>
      <c r="BJ472" s="35">
        <f t="shared" si="443"/>
        <v>35.2992203122297</v>
      </c>
    </row>
    <row r="473" spans="2:62">
      <c r="B473" s="35" t="s">
        <v>133</v>
      </c>
      <c r="C473" s="88" t="str">
        <f>'Cooler&amp;Wetter'!$B$1</f>
        <v>MIROC-Medres</v>
      </c>
      <c r="D473" s="89">
        <v>2031</v>
      </c>
      <c r="E473" s="90">
        <f>'Cooler&amp;Wetter'!AB59</f>
        <v>35.552</v>
      </c>
      <c r="F473" s="90">
        <f>'Cooler&amp;Wetter'!AD59</f>
        <v>22.514499999999998</v>
      </c>
      <c r="G473" s="35">
        <f t="shared" si="444"/>
        <v>2005</v>
      </c>
      <c r="H473" s="91" t="str">
        <f t="shared" si="424"/>
        <v>Pile 32 @ Berth 201</v>
      </c>
      <c r="I473" s="35" t="str">
        <f t="shared" si="425"/>
        <v>Turpentine Gum</v>
      </c>
      <c r="J473" s="35" t="str">
        <f t="shared" si="426"/>
        <v>HW1</v>
      </c>
      <c r="K473" s="35" t="str">
        <f t="shared" si="445"/>
        <v>SPHU</v>
      </c>
      <c r="L473" s="35">
        <f t="shared" si="427"/>
        <v>400</v>
      </c>
      <c r="M473" s="35">
        <f t="shared" si="428"/>
        <v>20</v>
      </c>
      <c r="N473" s="35">
        <f t="shared" si="429"/>
        <v>200</v>
      </c>
      <c r="O473" s="35" t="str">
        <f t="shared" si="430"/>
        <v>MTN2</v>
      </c>
      <c r="P473" s="35" t="str">
        <f t="shared" si="431"/>
        <v>CNT2</v>
      </c>
      <c r="Q473" s="35" t="str">
        <f t="shared" si="432"/>
        <v>KNT3</v>
      </c>
      <c r="R473" s="35" t="str">
        <f t="shared" si="433"/>
        <v>E</v>
      </c>
      <c r="S473" s="35" t="str">
        <f t="shared" si="434"/>
        <v>EXP1</v>
      </c>
      <c r="T473" s="58"/>
      <c r="U473" s="58"/>
      <c r="V473" s="58"/>
      <c r="W473" s="58"/>
      <c r="X473" s="58"/>
      <c r="Y473" s="58"/>
      <c r="Z473" s="58"/>
      <c r="AA473" s="95">
        <f t="shared" si="455"/>
        <v>0.77797522853866752</v>
      </c>
      <c r="AB473" s="96">
        <f t="shared" si="446"/>
        <v>77.797522853866752</v>
      </c>
      <c r="AC473" s="58"/>
      <c r="AD473" s="58"/>
      <c r="AE473" s="58"/>
      <c r="AF473" s="58"/>
      <c r="AG473" s="58"/>
      <c r="AH473" s="58"/>
      <c r="AI473" s="58"/>
      <c r="AJ473" s="58"/>
      <c r="AK473" s="58"/>
      <c r="AL473" s="58"/>
      <c r="AM473" s="89">
        <f t="shared" si="447"/>
        <v>26</v>
      </c>
      <c r="AN473" s="36">
        <f t="shared" si="435"/>
        <v>35.552</v>
      </c>
      <c r="AO473" s="35">
        <f t="shared" si="436"/>
        <v>1.8669384692613276</v>
      </c>
      <c r="AP473" s="35">
        <f>IF((OR(R473="A",R473="B",R473="C")),INDEX(Coefficients!$S$4:$S$22,MATCH(J473,Coefficients!$R$4:$R$22)),INDEX(Coefficients!$T$4:$T$22,MATCH(J473,Coefficients!$R$4:$R$22)))</f>
        <v>1.3</v>
      </c>
      <c r="AQ473" s="27">
        <f>IF((OR(R473="A",R473="B",R473="C")),INDEX(Coefficients!$S$4:$S$22,MATCH(K473,Coefficients!$R$4:$R$22)),INDEX(Coefficients!$T$4:$T$22,MATCH(K473,Coefficients!$R$4:$R$22)))</f>
        <v>25</v>
      </c>
      <c r="AR473" s="27">
        <f>IF(OR(R473="A",R473="B",R473="C",R473="D"),IF(AN473&gt;=11,IF(AN473&gt;=26,Coefficients!$M$6,Coefficients!$M$5),Coefficients!$M$4),IF(AN473&gt;=11,IF(AN473&gt;=26,Coefficients!$N$6,Coefficients!$N$5),Coefficients!$N$4))</f>
        <v>1</v>
      </c>
      <c r="AS473" s="27">
        <f>INDEX(Coefficients!$X$3:$X$4,MATCH(S473,Coefficients!$W$3:$W$4))</f>
        <v>1</v>
      </c>
      <c r="AT473" s="27">
        <f>INDEX(Coefficients!$X$7:$X$8,MATCH(O473,Coefficients!$W$7:$W$8))</f>
        <v>1</v>
      </c>
      <c r="AU473" s="27">
        <f>INDEX(Coefficients!$X$11:$X$12,MATCH(P473,Coefficients!$W$11:$W$12))</f>
        <v>1</v>
      </c>
      <c r="AV473" s="27">
        <f>INDEX(Coefficients!$X$15:$X$17,MATCH(Q473,Coefficients!$W$15:$W$17))</f>
        <v>1</v>
      </c>
      <c r="AW473" s="27">
        <f t="shared" si="448"/>
        <v>1</v>
      </c>
      <c r="AX473" s="27">
        <f t="shared" si="449"/>
        <v>1</v>
      </c>
      <c r="AY473" s="27">
        <f t="shared" si="450"/>
        <v>1.3</v>
      </c>
      <c r="AZ473" s="35">
        <f t="shared" si="451"/>
        <v>46.673461731533187</v>
      </c>
      <c r="BA473" s="35">
        <f t="shared" si="452"/>
        <v>0</v>
      </c>
      <c r="BB473" s="35">
        <f t="shared" si="453"/>
        <v>2.4270200100397261</v>
      </c>
      <c r="BC473" s="35">
        <f t="shared" si="454"/>
        <v>1.7572979989960273</v>
      </c>
      <c r="BD473" s="35">
        <f t="shared" si="437"/>
        <v>0.42850903399967316</v>
      </c>
      <c r="BE473" s="16">
        <f t="shared" si="438"/>
        <v>77.797522853866752</v>
      </c>
      <c r="BF473" s="16">
        <f t="shared" si="439"/>
        <v>244.4049542922665</v>
      </c>
      <c r="BG473" s="25">
        <f t="shared" si="440"/>
        <v>0.77797522853866752</v>
      </c>
      <c r="BH473" s="35">
        <f t="shared" si="441"/>
        <v>171.15455027850686</v>
      </c>
      <c r="BI473" s="35">
        <f t="shared" si="442"/>
        <v>57.690899442986279</v>
      </c>
      <c r="BJ473" s="35">
        <f t="shared" si="443"/>
        <v>35.148040417585946</v>
      </c>
    </row>
    <row r="474" spans="2:62">
      <c r="B474" s="35" t="s">
        <v>133</v>
      </c>
      <c r="C474" s="88" t="str">
        <f>'Cooler&amp;Wetter'!$B$1</f>
        <v>MIROC-Medres</v>
      </c>
      <c r="D474" s="89">
        <v>2032</v>
      </c>
      <c r="E474" s="90">
        <f>'Cooler&amp;Wetter'!AB60</f>
        <v>35.554000000000002</v>
      </c>
      <c r="F474" s="90">
        <f>'Cooler&amp;Wetter'!AD60</f>
        <v>22.548999999999999</v>
      </c>
      <c r="G474" s="35">
        <f t="shared" si="444"/>
        <v>2005</v>
      </c>
      <c r="H474" s="91" t="str">
        <f t="shared" si="424"/>
        <v>Pile 32 @ Berth 201</v>
      </c>
      <c r="I474" s="35" t="str">
        <f t="shared" si="425"/>
        <v>Turpentine Gum</v>
      </c>
      <c r="J474" s="35" t="str">
        <f t="shared" si="426"/>
        <v>HW1</v>
      </c>
      <c r="K474" s="35" t="str">
        <f t="shared" si="445"/>
        <v>SPHU</v>
      </c>
      <c r="L474" s="35">
        <f t="shared" si="427"/>
        <v>400</v>
      </c>
      <c r="M474" s="35">
        <f t="shared" si="428"/>
        <v>20</v>
      </c>
      <c r="N474" s="35">
        <f t="shared" si="429"/>
        <v>200</v>
      </c>
      <c r="O474" s="35" t="str">
        <f t="shared" si="430"/>
        <v>MTN2</v>
      </c>
      <c r="P474" s="35" t="str">
        <f t="shared" si="431"/>
        <v>CNT2</v>
      </c>
      <c r="Q474" s="35" t="str">
        <f t="shared" si="432"/>
        <v>KNT3</v>
      </c>
      <c r="R474" s="35" t="str">
        <f t="shared" si="433"/>
        <v>E</v>
      </c>
      <c r="S474" s="35" t="str">
        <f t="shared" si="434"/>
        <v>EXP1</v>
      </c>
      <c r="T474" s="58"/>
      <c r="U474" s="58"/>
      <c r="V474" s="58"/>
      <c r="W474" s="58"/>
      <c r="X474" s="58"/>
      <c r="Y474" s="58"/>
      <c r="Z474" s="58"/>
      <c r="AA474" s="95">
        <f t="shared" si="455"/>
        <v>0.80502591127252343</v>
      </c>
      <c r="AB474" s="96">
        <f t="shared" si="446"/>
        <v>80.502591127252344</v>
      </c>
      <c r="AC474" s="58"/>
      <c r="AD474" s="58"/>
      <c r="AE474" s="58"/>
      <c r="AF474" s="58"/>
      <c r="AG474" s="58"/>
      <c r="AH474" s="58"/>
      <c r="AI474" s="58"/>
      <c r="AJ474" s="58"/>
      <c r="AK474" s="58"/>
      <c r="AL474" s="58"/>
      <c r="AM474" s="89">
        <f t="shared" si="447"/>
        <v>27</v>
      </c>
      <c r="AN474" s="36">
        <f t="shared" ref="AN474:AN505" si="456">E474</f>
        <v>35.554000000000002</v>
      </c>
      <c r="AO474" s="35">
        <f t="shared" ref="AO474:AO505" si="457">0.1*EXP(0.13*F474)</f>
        <v>1.8753304933426844</v>
      </c>
      <c r="AP474" s="35">
        <f>IF((OR(R474="A",R474="B",R474="C")),INDEX(Coefficients!$S$4:$S$22,MATCH(J474,Coefficients!$R$4:$R$22)),INDEX(Coefficients!$T$4:$T$22,MATCH(J474,Coefficients!$R$4:$R$22)))</f>
        <v>1.3</v>
      </c>
      <c r="AQ474" s="27">
        <f>IF((OR(R474="A",R474="B",R474="C")),INDEX(Coefficients!$S$4:$S$22,MATCH(K474,Coefficients!$R$4:$R$22)),INDEX(Coefficients!$T$4:$T$22,MATCH(K474,Coefficients!$R$4:$R$22)))</f>
        <v>25</v>
      </c>
      <c r="AR474" s="27">
        <f>IF(OR(R474="A",R474="B",R474="C",R474="D"),IF(AN474&gt;=11,IF(AN474&gt;=26,Coefficients!$M$6,Coefficients!$M$5),Coefficients!$M$4),IF(AN474&gt;=11,IF(AN474&gt;=26,Coefficients!$N$6,Coefficients!$N$5),Coefficients!$N$4))</f>
        <v>1</v>
      </c>
      <c r="AS474" s="27">
        <f>INDEX(Coefficients!$X$3:$X$4,MATCH(S474,Coefficients!$W$3:$W$4))</f>
        <v>1</v>
      </c>
      <c r="AT474" s="27">
        <f>INDEX(Coefficients!$X$7:$X$8,MATCH(O474,Coefficients!$W$7:$W$8))</f>
        <v>1</v>
      </c>
      <c r="AU474" s="27">
        <f>INDEX(Coefficients!$X$11:$X$12,MATCH(P474,Coefficients!$W$11:$W$12))</f>
        <v>1</v>
      </c>
      <c r="AV474" s="27">
        <f>INDEX(Coefficients!$X$15:$X$17,MATCH(Q474,Coefficients!$W$15:$W$17))</f>
        <v>1</v>
      </c>
      <c r="AW474" s="27">
        <f t="shared" si="448"/>
        <v>1</v>
      </c>
      <c r="AX474" s="27">
        <f t="shared" si="449"/>
        <v>1</v>
      </c>
      <c r="AY474" s="27">
        <f t="shared" si="450"/>
        <v>1.3</v>
      </c>
      <c r="AZ474" s="35">
        <f t="shared" si="451"/>
        <v>46.88326233356711</v>
      </c>
      <c r="BA474" s="35">
        <f t="shared" si="452"/>
        <v>0</v>
      </c>
      <c r="BB474" s="35">
        <f t="shared" si="453"/>
        <v>2.4379296413454896</v>
      </c>
      <c r="BC474" s="35">
        <f t="shared" si="454"/>
        <v>1.7562070358654509</v>
      </c>
      <c r="BD474" s="35">
        <f t="shared" ref="BD474:BD505" si="458">M474/AZ474+BA474</f>
        <v>0.42659147432410133</v>
      </c>
      <c r="BE474" s="16">
        <f t="shared" ref="BE474:BE505" si="459">IF(AM474&lt;=0,0,IF(AM474&gt;(BD474+BC474),M474+(AM474-BD474-BC474)*BB474,M474))</f>
        <v>80.502591127252344</v>
      </c>
      <c r="BF474" s="16">
        <f t="shared" ref="BF474:BF505" si="460">L474-2*BE474</f>
        <v>238.99481774549531</v>
      </c>
      <c r="BG474" s="25">
        <f t="shared" ref="BG474:BG505" si="461">IF(2*BE474&gt;(L474-N474),1,BE474/((L474-N474)/2))</f>
        <v>0.80502591127252343</v>
      </c>
      <c r="BH474" s="35">
        <f t="shared" ref="BH474:BH505" si="462">BE474*(1+$BF$1*$BF$2)</f>
        <v>177.10570047995517</v>
      </c>
      <c r="BI474" s="35">
        <f t="shared" ref="BI474:BI505" si="463">L474-2*BH474</f>
        <v>45.78859904008965</v>
      </c>
      <c r="BJ474" s="35">
        <f t="shared" ref="BJ474:BJ505" si="464">($BF$3/2-M474)/BB474+BD474+BC474</f>
        <v>34.997527304351188</v>
      </c>
    </row>
    <row r="475" spans="2:62">
      <c r="B475" s="35" t="s">
        <v>133</v>
      </c>
      <c r="C475" s="88" t="str">
        <f>'Cooler&amp;Wetter'!$B$1</f>
        <v>MIROC-Medres</v>
      </c>
      <c r="D475" s="89">
        <v>2033</v>
      </c>
      <c r="E475" s="90">
        <f>'Cooler&amp;Wetter'!AB61</f>
        <v>35.555999999999997</v>
      </c>
      <c r="F475" s="90">
        <f>'Cooler&amp;Wetter'!AD61</f>
        <v>22.583500000000001</v>
      </c>
      <c r="G475" s="35">
        <f t="shared" si="444"/>
        <v>2005</v>
      </c>
      <c r="H475" s="91" t="str">
        <f t="shared" si="424"/>
        <v>Pile 32 @ Berth 201</v>
      </c>
      <c r="I475" s="35" t="str">
        <f t="shared" si="425"/>
        <v>Turpentine Gum</v>
      </c>
      <c r="J475" s="35" t="str">
        <f t="shared" si="426"/>
        <v>HW1</v>
      </c>
      <c r="K475" s="35" t="str">
        <f t="shared" si="445"/>
        <v>SPHU</v>
      </c>
      <c r="L475" s="35">
        <f t="shared" si="427"/>
        <v>400</v>
      </c>
      <c r="M475" s="35">
        <f t="shared" si="428"/>
        <v>20</v>
      </c>
      <c r="N475" s="35">
        <f t="shared" si="429"/>
        <v>200</v>
      </c>
      <c r="O475" s="35" t="str">
        <f t="shared" si="430"/>
        <v>MTN2</v>
      </c>
      <c r="P475" s="35" t="str">
        <f t="shared" si="431"/>
        <v>CNT2</v>
      </c>
      <c r="Q475" s="35" t="str">
        <f t="shared" si="432"/>
        <v>KNT3</v>
      </c>
      <c r="R475" s="35" t="str">
        <f t="shared" si="433"/>
        <v>E</v>
      </c>
      <c r="S475" s="35" t="str">
        <f t="shared" si="434"/>
        <v>EXP1</v>
      </c>
      <c r="T475" s="58"/>
      <c r="U475" s="58"/>
      <c r="V475" s="58"/>
      <c r="W475" s="58"/>
      <c r="X475" s="58"/>
      <c r="Y475" s="58"/>
      <c r="Z475" s="58"/>
      <c r="AA475" s="95">
        <f t="shared" si="455"/>
        <v>0.83230801514735842</v>
      </c>
      <c r="AB475" s="96">
        <f t="shared" si="446"/>
        <v>83.230801514735845</v>
      </c>
      <c r="AC475" s="58"/>
      <c r="AD475" s="58"/>
      <c r="AE475" s="58"/>
      <c r="AF475" s="58"/>
      <c r="AG475" s="58"/>
      <c r="AH475" s="58"/>
      <c r="AI475" s="58"/>
      <c r="AJ475" s="58"/>
      <c r="AK475" s="58"/>
      <c r="AL475" s="58"/>
      <c r="AM475" s="89">
        <f t="shared" si="447"/>
        <v>28</v>
      </c>
      <c r="AN475" s="36">
        <f t="shared" si="456"/>
        <v>35.555999999999997</v>
      </c>
      <c r="AO475" s="35">
        <f t="shared" si="457"/>
        <v>1.883760240182097</v>
      </c>
      <c r="AP475" s="35">
        <f>IF((OR(R475="A",R475="B",R475="C")),INDEX(Coefficients!$S$4:$S$22,MATCH(J475,Coefficients!$R$4:$R$22)),INDEX(Coefficients!$T$4:$T$22,MATCH(J475,Coefficients!$R$4:$R$22)))</f>
        <v>1.3</v>
      </c>
      <c r="AQ475" s="27">
        <f>IF((OR(R475="A",R475="B",R475="C")),INDEX(Coefficients!$S$4:$S$22,MATCH(K475,Coefficients!$R$4:$R$22)),INDEX(Coefficients!$T$4:$T$22,MATCH(K475,Coefficients!$R$4:$R$22)))</f>
        <v>25</v>
      </c>
      <c r="AR475" s="27">
        <f>IF(OR(R475="A",R475="B",R475="C",R475="D"),IF(AN475&gt;=11,IF(AN475&gt;=26,Coefficients!$M$6,Coefficients!$M$5),Coefficients!$M$4),IF(AN475&gt;=11,IF(AN475&gt;=26,Coefficients!$N$6,Coefficients!$N$5),Coefficients!$N$4))</f>
        <v>1</v>
      </c>
      <c r="AS475" s="27">
        <f>INDEX(Coefficients!$X$3:$X$4,MATCH(S475,Coefficients!$W$3:$W$4))</f>
        <v>1</v>
      </c>
      <c r="AT475" s="27">
        <f>INDEX(Coefficients!$X$7:$X$8,MATCH(O475,Coefficients!$W$7:$W$8))</f>
        <v>1</v>
      </c>
      <c r="AU475" s="27">
        <f>INDEX(Coefficients!$X$11:$X$12,MATCH(P475,Coefficients!$W$11:$W$12))</f>
        <v>1</v>
      </c>
      <c r="AV475" s="27">
        <f>INDEX(Coefficients!$X$15:$X$17,MATCH(Q475,Coefficients!$W$15:$W$17))</f>
        <v>1</v>
      </c>
      <c r="AW475" s="27">
        <f t="shared" si="448"/>
        <v>1</v>
      </c>
      <c r="AX475" s="27">
        <f t="shared" si="449"/>
        <v>1</v>
      </c>
      <c r="AY475" s="27">
        <f t="shared" si="450"/>
        <v>1.3</v>
      </c>
      <c r="AZ475" s="35">
        <f t="shared" si="451"/>
        <v>47.094006004552426</v>
      </c>
      <c r="BA475" s="35">
        <f t="shared" si="452"/>
        <v>0</v>
      </c>
      <c r="BB475" s="35">
        <f t="shared" si="453"/>
        <v>2.448888312236726</v>
      </c>
      <c r="BC475" s="35">
        <f t="shared" si="454"/>
        <v>1.7551111687763274</v>
      </c>
      <c r="BD475" s="35">
        <f t="shared" si="458"/>
        <v>0.42468249564640276</v>
      </c>
      <c r="BE475" s="16">
        <f t="shared" si="459"/>
        <v>83.230801514735845</v>
      </c>
      <c r="BF475" s="16">
        <f t="shared" si="460"/>
        <v>233.53839697052831</v>
      </c>
      <c r="BG475" s="25">
        <f t="shared" si="461"/>
        <v>0.83230801514735842</v>
      </c>
      <c r="BH475" s="35">
        <f t="shared" si="462"/>
        <v>183.10776333241887</v>
      </c>
      <c r="BI475" s="35">
        <f t="shared" si="463"/>
        <v>33.784473335162261</v>
      </c>
      <c r="BJ475" s="35">
        <f t="shared" si="464"/>
        <v>34.847677944915247</v>
      </c>
    </row>
    <row r="476" spans="2:62">
      <c r="B476" s="35" t="s">
        <v>133</v>
      </c>
      <c r="C476" s="88" t="str">
        <f>'Cooler&amp;Wetter'!$B$1</f>
        <v>MIROC-Medres</v>
      </c>
      <c r="D476" s="89">
        <v>2034</v>
      </c>
      <c r="E476" s="90">
        <f>'Cooler&amp;Wetter'!AB62</f>
        <v>35.558</v>
      </c>
      <c r="F476" s="90">
        <f>'Cooler&amp;Wetter'!AD62</f>
        <v>22.617999999999999</v>
      </c>
      <c r="G476" s="35">
        <f t="shared" si="444"/>
        <v>2005</v>
      </c>
      <c r="H476" s="91" t="str">
        <f t="shared" si="424"/>
        <v>Pile 32 @ Berth 201</v>
      </c>
      <c r="I476" s="35" t="str">
        <f t="shared" si="425"/>
        <v>Turpentine Gum</v>
      </c>
      <c r="J476" s="35" t="str">
        <f t="shared" si="426"/>
        <v>HW1</v>
      </c>
      <c r="K476" s="35" t="str">
        <f t="shared" si="445"/>
        <v>SPHU</v>
      </c>
      <c r="L476" s="35">
        <f t="shared" si="427"/>
        <v>400</v>
      </c>
      <c r="M476" s="35">
        <f t="shared" si="428"/>
        <v>20</v>
      </c>
      <c r="N476" s="35">
        <f t="shared" si="429"/>
        <v>200</v>
      </c>
      <c r="O476" s="35" t="str">
        <f t="shared" si="430"/>
        <v>MTN2</v>
      </c>
      <c r="P476" s="35" t="str">
        <f t="shared" si="431"/>
        <v>CNT2</v>
      </c>
      <c r="Q476" s="35" t="str">
        <f t="shared" si="432"/>
        <v>KNT3</v>
      </c>
      <c r="R476" s="35" t="str">
        <f t="shared" si="433"/>
        <v>E</v>
      </c>
      <c r="S476" s="35" t="str">
        <f t="shared" si="434"/>
        <v>EXP1</v>
      </c>
      <c r="T476" s="58"/>
      <c r="U476" s="58"/>
      <c r="V476" s="58"/>
      <c r="W476" s="58"/>
      <c r="X476" s="58"/>
      <c r="Y476" s="58"/>
      <c r="Z476" s="58"/>
      <c r="AA476" s="95">
        <f t="shared" si="455"/>
        <v>0.85982307517754597</v>
      </c>
      <c r="AB476" s="96">
        <f t="shared" si="446"/>
        <v>85.982307517754592</v>
      </c>
      <c r="AC476" s="58"/>
      <c r="AD476" s="58"/>
      <c r="AE476" s="58"/>
      <c r="AF476" s="58"/>
      <c r="AG476" s="58"/>
      <c r="AH476" s="58"/>
      <c r="AI476" s="58"/>
      <c r="AJ476" s="58"/>
      <c r="AK476" s="58"/>
      <c r="AL476" s="58"/>
      <c r="AM476" s="89">
        <f t="shared" si="447"/>
        <v>29</v>
      </c>
      <c r="AN476" s="36">
        <f t="shared" si="456"/>
        <v>35.558</v>
      </c>
      <c r="AO476" s="35">
        <f t="shared" si="457"/>
        <v>1.8922278793461045</v>
      </c>
      <c r="AP476" s="35">
        <f>IF((OR(R476="A",R476="B",R476="C")),INDEX(Coefficients!$S$4:$S$22,MATCH(J476,Coefficients!$R$4:$R$22)),INDEX(Coefficients!$T$4:$T$22,MATCH(J476,Coefficients!$R$4:$R$22)))</f>
        <v>1.3</v>
      </c>
      <c r="AQ476" s="27">
        <f>IF((OR(R476="A",R476="B",R476="C")),INDEX(Coefficients!$S$4:$S$22,MATCH(K476,Coefficients!$R$4:$R$22)),INDEX(Coefficients!$T$4:$T$22,MATCH(K476,Coefficients!$R$4:$R$22)))</f>
        <v>25</v>
      </c>
      <c r="AR476" s="27">
        <f>IF(OR(R476="A",R476="B",R476="C",R476="D"),IF(AN476&gt;=11,IF(AN476&gt;=26,Coefficients!$M$6,Coefficients!$M$5),Coefficients!$M$4),IF(AN476&gt;=11,IF(AN476&gt;=26,Coefficients!$N$6,Coefficients!$N$5),Coefficients!$N$4))</f>
        <v>1</v>
      </c>
      <c r="AS476" s="27">
        <f>INDEX(Coefficients!$X$3:$X$4,MATCH(S476,Coefficients!$W$3:$W$4))</f>
        <v>1</v>
      </c>
      <c r="AT476" s="27">
        <f>INDEX(Coefficients!$X$7:$X$8,MATCH(O476,Coefficients!$W$7:$W$8))</f>
        <v>1</v>
      </c>
      <c r="AU476" s="27">
        <f>INDEX(Coefficients!$X$11:$X$12,MATCH(P476,Coefficients!$W$11:$W$12))</f>
        <v>1</v>
      </c>
      <c r="AV476" s="27">
        <f>INDEX(Coefficients!$X$15:$X$17,MATCH(Q476,Coefficients!$W$15:$W$17))</f>
        <v>1</v>
      </c>
      <c r="AW476" s="27">
        <f t="shared" si="448"/>
        <v>1</v>
      </c>
      <c r="AX476" s="27">
        <f t="shared" si="449"/>
        <v>1</v>
      </c>
      <c r="AY476" s="27">
        <f t="shared" si="450"/>
        <v>1.3</v>
      </c>
      <c r="AZ476" s="35">
        <f t="shared" si="451"/>
        <v>47.305696983652609</v>
      </c>
      <c r="BA476" s="35">
        <f t="shared" si="452"/>
        <v>0</v>
      </c>
      <c r="BB476" s="35">
        <f t="shared" si="453"/>
        <v>2.4598962431499358</v>
      </c>
      <c r="BC476" s="35">
        <f t="shared" si="454"/>
        <v>1.7540103756850063</v>
      </c>
      <c r="BD476" s="35">
        <f t="shared" si="458"/>
        <v>0.4227820595669774</v>
      </c>
      <c r="BE476" s="16">
        <f t="shared" si="459"/>
        <v>85.982307517754592</v>
      </c>
      <c r="BF476" s="16">
        <f t="shared" si="460"/>
        <v>228.03538496449082</v>
      </c>
      <c r="BG476" s="25">
        <f t="shared" si="461"/>
        <v>0.85982307517754597</v>
      </c>
      <c r="BH476" s="35">
        <f t="shared" si="462"/>
        <v>189.1610765390601</v>
      </c>
      <c r="BI476" s="35">
        <f t="shared" si="463"/>
        <v>21.677846921879791</v>
      </c>
      <c r="BJ476" s="35">
        <f t="shared" si="464"/>
        <v>34.698489325019473</v>
      </c>
    </row>
    <row r="477" spans="2:62">
      <c r="B477" s="35" t="s">
        <v>133</v>
      </c>
      <c r="C477" s="88" t="str">
        <f>'Cooler&amp;Wetter'!$B$1</f>
        <v>MIROC-Medres</v>
      </c>
      <c r="D477" s="89">
        <v>2035</v>
      </c>
      <c r="E477" s="90">
        <f>'Cooler&amp;Wetter'!AB63</f>
        <v>35.56</v>
      </c>
      <c r="F477" s="90">
        <f>'Cooler&amp;Wetter'!AD63</f>
        <v>22.6525</v>
      </c>
      <c r="G477" s="35">
        <f t="shared" si="444"/>
        <v>2005</v>
      </c>
      <c r="H477" s="91" t="str">
        <f t="shared" si="424"/>
        <v>Pile 32 @ Berth 201</v>
      </c>
      <c r="I477" s="35" t="str">
        <f t="shared" si="425"/>
        <v>Turpentine Gum</v>
      </c>
      <c r="J477" s="35" t="str">
        <f t="shared" si="426"/>
        <v>HW1</v>
      </c>
      <c r="K477" s="35" t="str">
        <f t="shared" si="445"/>
        <v>SPHU</v>
      </c>
      <c r="L477" s="35">
        <f t="shared" si="427"/>
        <v>400</v>
      </c>
      <c r="M477" s="35">
        <f t="shared" si="428"/>
        <v>20</v>
      </c>
      <c r="N477" s="35">
        <f t="shared" si="429"/>
        <v>200</v>
      </c>
      <c r="O477" s="35" t="str">
        <f t="shared" si="430"/>
        <v>MTN2</v>
      </c>
      <c r="P477" s="35" t="str">
        <f t="shared" si="431"/>
        <v>CNT2</v>
      </c>
      <c r="Q477" s="35" t="str">
        <f t="shared" si="432"/>
        <v>KNT3</v>
      </c>
      <c r="R477" s="35" t="str">
        <f t="shared" si="433"/>
        <v>E</v>
      </c>
      <c r="S477" s="35" t="str">
        <f t="shared" si="434"/>
        <v>EXP1</v>
      </c>
      <c r="T477" s="58"/>
      <c r="U477" s="58"/>
      <c r="V477" s="58"/>
      <c r="W477" s="58"/>
      <c r="X477" s="58"/>
      <c r="Y477" s="58"/>
      <c r="Z477" s="58"/>
      <c r="AA477" s="95">
        <f t="shared" si="455"/>
        <v>0.88757263551119026</v>
      </c>
      <c r="AB477" s="96">
        <f t="shared" si="446"/>
        <v>88.757263551119024</v>
      </c>
      <c r="AC477" s="58"/>
      <c r="AD477" s="58"/>
      <c r="AE477" s="58"/>
      <c r="AF477" s="58"/>
      <c r="AG477" s="58"/>
      <c r="AH477" s="58"/>
      <c r="AI477" s="58"/>
      <c r="AJ477" s="58"/>
      <c r="AK477" s="58"/>
      <c r="AL477" s="58"/>
      <c r="AM477" s="89">
        <f t="shared" si="447"/>
        <v>30</v>
      </c>
      <c r="AN477" s="36">
        <f t="shared" si="456"/>
        <v>35.56</v>
      </c>
      <c r="AO477" s="35">
        <f t="shared" si="457"/>
        <v>1.9007335811634605</v>
      </c>
      <c r="AP477" s="35">
        <f>IF((OR(R477="A",R477="B",R477="C")),INDEX(Coefficients!$S$4:$S$22,MATCH(J477,Coefficients!$R$4:$R$22)),INDEX(Coefficients!$T$4:$T$22,MATCH(J477,Coefficients!$R$4:$R$22)))</f>
        <v>1.3</v>
      </c>
      <c r="AQ477" s="27">
        <f>IF((OR(R477="A",R477="B",R477="C")),INDEX(Coefficients!$S$4:$S$22,MATCH(K477,Coefficients!$R$4:$R$22)),INDEX(Coefficients!$T$4:$T$22,MATCH(K477,Coefficients!$R$4:$R$22)))</f>
        <v>25</v>
      </c>
      <c r="AR477" s="27">
        <f>IF(OR(R477="A",R477="B",R477="C",R477="D"),IF(AN477&gt;=11,IF(AN477&gt;=26,Coefficients!$M$6,Coefficients!$M$5),Coefficients!$M$4),IF(AN477&gt;=11,IF(AN477&gt;=26,Coefficients!$N$6,Coefficients!$N$5),Coefficients!$N$4))</f>
        <v>1</v>
      </c>
      <c r="AS477" s="27">
        <f>INDEX(Coefficients!$X$3:$X$4,MATCH(S477,Coefficients!$W$3:$W$4))</f>
        <v>1</v>
      </c>
      <c r="AT477" s="27">
        <f>INDEX(Coefficients!$X$7:$X$8,MATCH(O477,Coefficients!$W$7:$W$8))</f>
        <v>1</v>
      </c>
      <c r="AU477" s="27">
        <f>INDEX(Coefficients!$X$11:$X$12,MATCH(P477,Coefficients!$W$11:$W$12))</f>
        <v>1</v>
      </c>
      <c r="AV477" s="27">
        <f>INDEX(Coefficients!$X$15:$X$17,MATCH(Q477,Coefficients!$W$15:$W$17))</f>
        <v>1</v>
      </c>
      <c r="AW477" s="27">
        <f t="shared" si="448"/>
        <v>1</v>
      </c>
      <c r="AX477" s="27">
        <f t="shared" si="449"/>
        <v>1</v>
      </c>
      <c r="AY477" s="27">
        <f t="shared" si="450"/>
        <v>1.3</v>
      </c>
      <c r="AZ477" s="35">
        <f t="shared" si="451"/>
        <v>47.518339529086511</v>
      </c>
      <c r="BA477" s="35">
        <f t="shared" si="452"/>
        <v>0</v>
      </c>
      <c r="BB477" s="35">
        <f t="shared" si="453"/>
        <v>2.4709536555124987</v>
      </c>
      <c r="BC477" s="35">
        <f t="shared" si="454"/>
        <v>1.75290463444875</v>
      </c>
      <c r="BD477" s="35">
        <f t="shared" si="458"/>
        <v>0.42089012785806151</v>
      </c>
      <c r="BE477" s="16">
        <f t="shared" si="459"/>
        <v>88.757263551119024</v>
      </c>
      <c r="BF477" s="16">
        <f t="shared" si="460"/>
        <v>222.48547289776195</v>
      </c>
      <c r="BG477" s="25">
        <f t="shared" si="461"/>
        <v>0.88757263551119026</v>
      </c>
      <c r="BH477" s="35">
        <f t="shared" si="462"/>
        <v>195.26597981246186</v>
      </c>
      <c r="BI477" s="35">
        <f t="shared" si="463"/>
        <v>9.4680403750762707</v>
      </c>
      <c r="BJ477" s="35">
        <f t="shared" si="464"/>
        <v>34.549958443696148</v>
      </c>
    </row>
    <row r="478" spans="2:62">
      <c r="B478" s="35" t="s">
        <v>133</v>
      </c>
      <c r="C478" s="88" t="str">
        <f>'Cooler&amp;Wetter'!$B$1</f>
        <v>MIROC-Medres</v>
      </c>
      <c r="D478" s="89">
        <v>2036</v>
      </c>
      <c r="E478" s="90">
        <f>'Cooler&amp;Wetter'!AB64</f>
        <v>35.561999999999998</v>
      </c>
      <c r="F478" s="90">
        <f>'Cooler&amp;Wetter'!AD64</f>
        <v>22.687000000000001</v>
      </c>
      <c r="G478" s="35">
        <f t="shared" si="444"/>
        <v>2005</v>
      </c>
      <c r="H478" s="91" t="str">
        <f t="shared" si="424"/>
        <v>Pile 32 @ Berth 201</v>
      </c>
      <c r="I478" s="35" t="str">
        <f t="shared" si="425"/>
        <v>Turpentine Gum</v>
      </c>
      <c r="J478" s="35" t="str">
        <f t="shared" si="426"/>
        <v>HW1</v>
      </c>
      <c r="K478" s="35" t="str">
        <f t="shared" si="445"/>
        <v>SPHU</v>
      </c>
      <c r="L478" s="35">
        <f t="shared" si="427"/>
        <v>400</v>
      </c>
      <c r="M478" s="35">
        <f t="shared" si="428"/>
        <v>20</v>
      </c>
      <c r="N478" s="35">
        <f t="shared" si="429"/>
        <v>200</v>
      </c>
      <c r="O478" s="35" t="str">
        <f t="shared" si="430"/>
        <v>MTN2</v>
      </c>
      <c r="P478" s="35" t="str">
        <f t="shared" si="431"/>
        <v>CNT2</v>
      </c>
      <c r="Q478" s="35" t="str">
        <f t="shared" si="432"/>
        <v>KNT3</v>
      </c>
      <c r="R478" s="35" t="str">
        <f t="shared" si="433"/>
        <v>E</v>
      </c>
      <c r="S478" s="35" t="str">
        <f t="shared" si="434"/>
        <v>EXP1</v>
      </c>
      <c r="T478" s="58"/>
      <c r="U478" s="58"/>
      <c r="V478" s="58"/>
      <c r="W478" s="58"/>
      <c r="X478" s="58"/>
      <c r="Y478" s="58"/>
      <c r="Z478" s="58"/>
      <c r="AA478" s="95">
        <f t="shared" si="455"/>
        <v>0.91555824948131148</v>
      </c>
      <c r="AB478" s="96">
        <f t="shared" si="446"/>
        <v>91.555824948131146</v>
      </c>
      <c r="AC478" s="58"/>
      <c r="AD478" s="58"/>
      <c r="AE478" s="58"/>
      <c r="AF478" s="58"/>
      <c r="AG478" s="58"/>
      <c r="AH478" s="58"/>
      <c r="AI478" s="58"/>
      <c r="AJ478" s="58"/>
      <c r="AK478" s="58"/>
      <c r="AL478" s="58"/>
      <c r="AM478" s="89">
        <f t="shared" si="447"/>
        <v>31</v>
      </c>
      <c r="AN478" s="36">
        <f t="shared" si="456"/>
        <v>35.561999999999998</v>
      </c>
      <c r="AO478" s="35">
        <f t="shared" si="457"/>
        <v>1.9092775167285556</v>
      </c>
      <c r="AP478" s="35">
        <f>IF((OR(R478="A",R478="B",R478="C")),INDEX(Coefficients!$S$4:$S$22,MATCH(J478,Coefficients!$R$4:$R$22)),INDEX(Coefficients!$T$4:$T$22,MATCH(J478,Coefficients!$R$4:$R$22)))</f>
        <v>1.3</v>
      </c>
      <c r="AQ478" s="27">
        <f>IF((OR(R478="A",R478="B",R478="C")),INDEX(Coefficients!$S$4:$S$22,MATCH(K478,Coefficients!$R$4:$R$22)),INDEX(Coefficients!$T$4:$T$22,MATCH(K478,Coefficients!$R$4:$R$22)))</f>
        <v>25</v>
      </c>
      <c r="AR478" s="27">
        <f>IF(OR(R478="A",R478="B",R478="C",R478="D"),IF(AN478&gt;=11,IF(AN478&gt;=26,Coefficients!$M$6,Coefficients!$M$5),Coefficients!$M$4),IF(AN478&gt;=11,IF(AN478&gt;=26,Coefficients!$N$6,Coefficients!$N$5),Coefficients!$N$4))</f>
        <v>1</v>
      </c>
      <c r="AS478" s="27">
        <f>INDEX(Coefficients!$X$3:$X$4,MATCH(S478,Coefficients!$W$3:$W$4))</f>
        <v>1</v>
      </c>
      <c r="AT478" s="27">
        <f>INDEX(Coefficients!$X$7:$X$8,MATCH(O478,Coefficients!$W$7:$W$8))</f>
        <v>1</v>
      </c>
      <c r="AU478" s="27">
        <f>INDEX(Coefficients!$X$11:$X$12,MATCH(P478,Coefficients!$W$11:$W$12))</f>
        <v>1</v>
      </c>
      <c r="AV478" s="27">
        <f>INDEX(Coefficients!$X$15:$X$17,MATCH(Q478,Coefficients!$W$15:$W$17))</f>
        <v>1</v>
      </c>
      <c r="AW478" s="27">
        <f t="shared" si="448"/>
        <v>1</v>
      </c>
      <c r="AX478" s="27">
        <f t="shared" si="449"/>
        <v>1</v>
      </c>
      <c r="AY478" s="27">
        <f t="shared" si="450"/>
        <v>1.3</v>
      </c>
      <c r="AZ478" s="35">
        <f t="shared" si="451"/>
        <v>47.731937918213887</v>
      </c>
      <c r="BA478" s="35">
        <f t="shared" si="452"/>
        <v>0</v>
      </c>
      <c r="BB478" s="35">
        <f t="shared" si="453"/>
        <v>2.4820607717471224</v>
      </c>
      <c r="BC478" s="35">
        <f t="shared" si="454"/>
        <v>1.7517939228252877</v>
      </c>
      <c r="BD478" s="35">
        <f t="shared" si="458"/>
        <v>0.41900666246295981</v>
      </c>
      <c r="BE478" s="16">
        <f t="shared" si="459"/>
        <v>91.555824948131146</v>
      </c>
      <c r="BF478" s="16">
        <f t="shared" si="460"/>
        <v>216.88835010373771</v>
      </c>
      <c r="BG478" s="25">
        <f t="shared" si="461"/>
        <v>0.91555824948131148</v>
      </c>
      <c r="BH478" s="35">
        <f t="shared" si="462"/>
        <v>201.42281488588853</v>
      </c>
      <c r="BI478" s="35">
        <f t="shared" si="463"/>
        <v>-2.8456297717770553</v>
      </c>
      <c r="BJ478" s="35">
        <f t="shared" si="464"/>
        <v>34.402082313208233</v>
      </c>
    </row>
    <row r="479" spans="2:62">
      <c r="B479" s="35" t="s">
        <v>133</v>
      </c>
      <c r="C479" s="88" t="str">
        <f>'Cooler&amp;Wetter'!$B$1</f>
        <v>MIROC-Medres</v>
      </c>
      <c r="D479" s="89">
        <v>2037</v>
      </c>
      <c r="E479" s="90">
        <f>'Cooler&amp;Wetter'!AB65</f>
        <v>35.564</v>
      </c>
      <c r="F479" s="90">
        <f>'Cooler&amp;Wetter'!AD65</f>
        <v>22.721499999999999</v>
      </c>
      <c r="G479" s="35">
        <f t="shared" si="444"/>
        <v>2005</v>
      </c>
      <c r="H479" s="91" t="str">
        <f t="shared" si="424"/>
        <v>Pile 32 @ Berth 201</v>
      </c>
      <c r="I479" s="35" t="str">
        <f t="shared" si="425"/>
        <v>Turpentine Gum</v>
      </c>
      <c r="J479" s="35" t="str">
        <f t="shared" si="426"/>
        <v>HW1</v>
      </c>
      <c r="K479" s="35" t="str">
        <f t="shared" si="445"/>
        <v>SPHU</v>
      </c>
      <c r="L479" s="35">
        <f t="shared" si="427"/>
        <v>400</v>
      </c>
      <c r="M479" s="35">
        <f t="shared" si="428"/>
        <v>20</v>
      </c>
      <c r="N479" s="35">
        <f t="shared" si="429"/>
        <v>200</v>
      </c>
      <c r="O479" s="35" t="str">
        <f t="shared" si="430"/>
        <v>MTN2</v>
      </c>
      <c r="P479" s="35" t="str">
        <f t="shared" si="431"/>
        <v>CNT2</v>
      </c>
      <c r="Q479" s="35" t="str">
        <f t="shared" si="432"/>
        <v>KNT3</v>
      </c>
      <c r="R479" s="35" t="str">
        <f t="shared" si="433"/>
        <v>E</v>
      </c>
      <c r="S479" s="35" t="str">
        <f t="shared" si="434"/>
        <v>EXP1</v>
      </c>
      <c r="T479" s="58"/>
      <c r="U479" s="58"/>
      <c r="V479" s="58"/>
      <c r="W479" s="58"/>
      <c r="X479" s="58"/>
      <c r="Y479" s="58"/>
      <c r="Z479" s="58"/>
      <c r="AA479" s="95">
        <f t="shared" si="455"/>
        <v>0.94378147965730863</v>
      </c>
      <c r="AB479" s="96">
        <f t="shared" si="446"/>
        <v>94.378147965730861</v>
      </c>
      <c r="AC479" s="58"/>
      <c r="AD479" s="58"/>
      <c r="AE479" s="58"/>
      <c r="AF479" s="58"/>
      <c r="AG479" s="58"/>
      <c r="AH479" s="58"/>
      <c r="AI479" s="58"/>
      <c r="AJ479" s="58"/>
      <c r="AK479" s="58"/>
      <c r="AL479" s="58"/>
      <c r="AM479" s="89">
        <f t="shared" si="447"/>
        <v>32</v>
      </c>
      <c r="AN479" s="36">
        <f t="shared" si="456"/>
        <v>35.564</v>
      </c>
      <c r="AO479" s="35">
        <f t="shared" si="457"/>
        <v>1.9178598579048651</v>
      </c>
      <c r="AP479" s="35">
        <f>IF((OR(R479="A",R479="B",R479="C")),INDEX(Coefficients!$S$4:$S$22,MATCH(J479,Coefficients!$R$4:$R$22)),INDEX(Coefficients!$T$4:$T$22,MATCH(J479,Coefficients!$R$4:$R$22)))</f>
        <v>1.3</v>
      </c>
      <c r="AQ479" s="27">
        <f>IF((OR(R479="A",R479="B",R479="C")),INDEX(Coefficients!$S$4:$S$22,MATCH(K479,Coefficients!$R$4:$R$22)),INDEX(Coefficients!$T$4:$T$22,MATCH(K479,Coefficients!$R$4:$R$22)))</f>
        <v>25</v>
      </c>
      <c r="AR479" s="27">
        <f>IF(OR(R479="A",R479="B",R479="C",R479="D"),IF(AN479&gt;=11,IF(AN479&gt;=26,Coefficients!$M$6,Coefficients!$M$5),Coefficients!$M$4),IF(AN479&gt;=11,IF(AN479&gt;=26,Coefficients!$N$6,Coefficients!$N$5),Coefficients!$N$4))</f>
        <v>1</v>
      </c>
      <c r="AS479" s="27">
        <f>INDEX(Coefficients!$X$3:$X$4,MATCH(S479,Coefficients!$W$3:$W$4))</f>
        <v>1</v>
      </c>
      <c r="AT479" s="27">
        <f>INDEX(Coefficients!$X$7:$X$8,MATCH(O479,Coefficients!$W$7:$W$8))</f>
        <v>1</v>
      </c>
      <c r="AU479" s="27">
        <f>INDEX(Coefficients!$X$11:$X$12,MATCH(P479,Coefficients!$W$11:$W$12))</f>
        <v>1</v>
      </c>
      <c r="AV479" s="27">
        <f>INDEX(Coefficients!$X$15:$X$17,MATCH(Q479,Coefficients!$W$15:$W$17))</f>
        <v>1</v>
      </c>
      <c r="AW479" s="27">
        <f t="shared" si="448"/>
        <v>1</v>
      </c>
      <c r="AX479" s="27">
        <f t="shared" si="449"/>
        <v>1</v>
      </c>
      <c r="AY479" s="27">
        <f t="shared" si="450"/>
        <v>1.3</v>
      </c>
      <c r="AZ479" s="35">
        <f t="shared" si="451"/>
        <v>47.946496447621627</v>
      </c>
      <c r="BA479" s="35">
        <f t="shared" si="452"/>
        <v>0</v>
      </c>
      <c r="BB479" s="35">
        <f t="shared" si="453"/>
        <v>2.4932178152763247</v>
      </c>
      <c r="BC479" s="35">
        <f t="shared" si="454"/>
        <v>1.7506782184723675</v>
      </c>
      <c r="BD479" s="35">
        <f t="shared" si="458"/>
        <v>0.41713162549527838</v>
      </c>
      <c r="BE479" s="16">
        <f t="shared" si="459"/>
        <v>94.378147965730861</v>
      </c>
      <c r="BF479" s="16">
        <f t="shared" si="460"/>
        <v>211.24370406853828</v>
      </c>
      <c r="BG479" s="25">
        <f t="shared" si="461"/>
        <v>0.94378147965730863</v>
      </c>
      <c r="BH479" s="35">
        <f t="shared" si="462"/>
        <v>207.63192552460791</v>
      </c>
      <c r="BI479" s="35">
        <f t="shared" si="463"/>
        <v>-15.263851049215816</v>
      </c>
      <c r="BJ479" s="35">
        <f t="shared" si="464"/>
        <v>34.254857958989056</v>
      </c>
    </row>
    <row r="480" spans="2:62">
      <c r="B480" s="35" t="s">
        <v>133</v>
      </c>
      <c r="C480" s="88" t="str">
        <f>'Cooler&amp;Wetter'!$B$1</f>
        <v>MIROC-Medres</v>
      </c>
      <c r="D480" s="89">
        <v>2038</v>
      </c>
      <c r="E480" s="90">
        <f>'Cooler&amp;Wetter'!AB66</f>
        <v>35.566000000000003</v>
      </c>
      <c r="F480" s="90">
        <f>'Cooler&amp;Wetter'!AD66</f>
        <v>22.756</v>
      </c>
      <c r="G480" s="35">
        <f t="shared" si="444"/>
        <v>2005</v>
      </c>
      <c r="H480" s="91" t="str">
        <f t="shared" si="424"/>
        <v>Pile 32 @ Berth 201</v>
      </c>
      <c r="I480" s="35" t="str">
        <f t="shared" si="425"/>
        <v>Turpentine Gum</v>
      </c>
      <c r="J480" s="35" t="str">
        <f t="shared" si="426"/>
        <v>HW1</v>
      </c>
      <c r="K480" s="35" t="str">
        <f t="shared" si="445"/>
        <v>SPHU</v>
      </c>
      <c r="L480" s="35">
        <f t="shared" si="427"/>
        <v>400</v>
      </c>
      <c r="M480" s="35">
        <f t="shared" si="428"/>
        <v>20</v>
      </c>
      <c r="N480" s="35">
        <f t="shared" si="429"/>
        <v>200</v>
      </c>
      <c r="O480" s="35" t="str">
        <f t="shared" si="430"/>
        <v>MTN2</v>
      </c>
      <c r="P480" s="35" t="str">
        <f t="shared" si="431"/>
        <v>CNT2</v>
      </c>
      <c r="Q480" s="35" t="str">
        <f t="shared" si="432"/>
        <v>KNT3</v>
      </c>
      <c r="R480" s="35" t="str">
        <f t="shared" si="433"/>
        <v>E</v>
      </c>
      <c r="S480" s="35" t="str">
        <f t="shared" si="434"/>
        <v>EXP1</v>
      </c>
      <c r="T480" s="58"/>
      <c r="U480" s="58"/>
      <c r="V480" s="58"/>
      <c r="W480" s="58"/>
      <c r="X480" s="58"/>
      <c r="Y480" s="58"/>
      <c r="Z480" s="58"/>
      <c r="AA480" s="95">
        <f t="shared" si="455"/>
        <v>0.97224389789669929</v>
      </c>
      <c r="AB480" s="96">
        <f t="shared" si="446"/>
        <v>97.224389789669928</v>
      </c>
      <c r="AC480" s="58"/>
      <c r="AD480" s="58"/>
      <c r="AE480" s="58"/>
      <c r="AF480" s="58"/>
      <c r="AG480" s="58"/>
      <c r="AH480" s="58"/>
      <c r="AI480" s="58"/>
      <c r="AJ480" s="58"/>
      <c r="AK480" s="58"/>
      <c r="AL480" s="58"/>
      <c r="AM480" s="89">
        <f t="shared" si="447"/>
        <v>33</v>
      </c>
      <c r="AN480" s="36">
        <f t="shared" si="456"/>
        <v>35.566000000000003</v>
      </c>
      <c r="AO480" s="35">
        <f t="shared" si="457"/>
        <v>1.9264807773284034</v>
      </c>
      <c r="AP480" s="35">
        <f>IF((OR(R480="A",R480="B",R480="C")),INDEX(Coefficients!$S$4:$S$22,MATCH(J480,Coefficients!$R$4:$R$22)),INDEX(Coefficients!$T$4:$T$22,MATCH(J480,Coefficients!$R$4:$R$22)))</f>
        <v>1.3</v>
      </c>
      <c r="AQ480" s="27">
        <f>IF((OR(R480="A",R480="B",R480="C")),INDEX(Coefficients!$S$4:$S$22,MATCH(K480,Coefficients!$R$4:$R$22)),INDEX(Coefficients!$T$4:$T$22,MATCH(K480,Coefficients!$R$4:$R$22)))</f>
        <v>25</v>
      </c>
      <c r="AR480" s="27">
        <f>IF(OR(R480="A",R480="B",R480="C",R480="D"),IF(AN480&gt;=11,IF(AN480&gt;=26,Coefficients!$M$6,Coefficients!$M$5),Coefficients!$M$4),IF(AN480&gt;=11,IF(AN480&gt;=26,Coefficients!$N$6,Coefficients!$N$5),Coefficients!$N$4))</f>
        <v>1</v>
      </c>
      <c r="AS480" s="27">
        <f>INDEX(Coefficients!$X$3:$X$4,MATCH(S480,Coefficients!$W$3:$W$4))</f>
        <v>1</v>
      </c>
      <c r="AT480" s="27">
        <f>INDEX(Coefficients!$X$7:$X$8,MATCH(O480,Coefficients!$W$7:$W$8))</f>
        <v>1</v>
      </c>
      <c r="AU480" s="27">
        <f>INDEX(Coefficients!$X$11:$X$12,MATCH(P480,Coefficients!$W$11:$W$12))</f>
        <v>1</v>
      </c>
      <c r="AV480" s="27">
        <f>INDEX(Coefficients!$X$15:$X$17,MATCH(Q480,Coefficients!$W$15:$W$17))</f>
        <v>1</v>
      </c>
      <c r="AW480" s="27">
        <f t="shared" si="448"/>
        <v>1</v>
      </c>
      <c r="AX480" s="27">
        <f t="shared" si="449"/>
        <v>1</v>
      </c>
      <c r="AY480" s="27">
        <f t="shared" si="450"/>
        <v>1.3</v>
      </c>
      <c r="AZ480" s="35">
        <f t="shared" si="451"/>
        <v>48.162019433210084</v>
      </c>
      <c r="BA480" s="35">
        <f t="shared" si="452"/>
        <v>0</v>
      </c>
      <c r="BB480" s="35">
        <f t="shared" si="453"/>
        <v>2.5044250105269246</v>
      </c>
      <c r="BC480" s="35">
        <f t="shared" si="454"/>
        <v>1.7495574989473075</v>
      </c>
      <c r="BD480" s="35">
        <f t="shared" si="458"/>
        <v>0.41526497923816325</v>
      </c>
      <c r="BE480" s="16">
        <f t="shared" si="459"/>
        <v>97.224389789669928</v>
      </c>
      <c r="BF480" s="16">
        <f t="shared" si="460"/>
        <v>205.55122042066014</v>
      </c>
      <c r="BG480" s="25">
        <f t="shared" si="461"/>
        <v>0.97224389789669929</v>
      </c>
      <c r="BH480" s="35">
        <f t="shared" si="462"/>
        <v>213.89365753727387</v>
      </c>
      <c r="BI480" s="35">
        <f t="shared" si="463"/>
        <v>-27.787315074547735</v>
      </c>
      <c r="BJ480" s="35">
        <f t="shared" si="464"/>
        <v>34.108282419582636</v>
      </c>
    </row>
    <row r="481" spans="2:62">
      <c r="B481" s="35" t="s">
        <v>133</v>
      </c>
      <c r="C481" s="88" t="str">
        <f>'Cooler&amp;Wetter'!$B$1</f>
        <v>MIROC-Medres</v>
      </c>
      <c r="D481" s="89">
        <v>2039</v>
      </c>
      <c r="E481" s="90">
        <f>'Cooler&amp;Wetter'!AB67</f>
        <v>35.567999999999998</v>
      </c>
      <c r="F481" s="90">
        <f>'Cooler&amp;Wetter'!AD67</f>
        <v>22.790500000000002</v>
      </c>
      <c r="G481" s="35">
        <f t="shared" si="444"/>
        <v>2005</v>
      </c>
      <c r="H481" s="91" t="str">
        <f t="shared" si="424"/>
        <v>Pile 32 @ Berth 201</v>
      </c>
      <c r="I481" s="35" t="str">
        <f t="shared" si="425"/>
        <v>Turpentine Gum</v>
      </c>
      <c r="J481" s="35" t="str">
        <f t="shared" si="426"/>
        <v>HW1</v>
      </c>
      <c r="K481" s="35" t="str">
        <f t="shared" si="445"/>
        <v>SPHU</v>
      </c>
      <c r="L481" s="35">
        <f t="shared" si="427"/>
        <v>400</v>
      </c>
      <c r="M481" s="35">
        <f t="shared" si="428"/>
        <v>20</v>
      </c>
      <c r="N481" s="35">
        <f t="shared" si="429"/>
        <v>200</v>
      </c>
      <c r="O481" s="35" t="str">
        <f t="shared" si="430"/>
        <v>MTN2</v>
      </c>
      <c r="P481" s="35" t="str">
        <f t="shared" si="431"/>
        <v>CNT2</v>
      </c>
      <c r="Q481" s="35" t="str">
        <f t="shared" si="432"/>
        <v>KNT3</v>
      </c>
      <c r="R481" s="35" t="str">
        <f t="shared" si="433"/>
        <v>E</v>
      </c>
      <c r="S481" s="35" t="str">
        <f t="shared" si="434"/>
        <v>EXP1</v>
      </c>
      <c r="T481" s="58"/>
      <c r="U481" s="58"/>
      <c r="V481" s="58"/>
      <c r="W481" s="58"/>
      <c r="X481" s="58"/>
      <c r="Y481" s="58"/>
      <c r="Z481" s="58"/>
      <c r="AA481" s="95">
        <f t="shared" si="455"/>
        <v>1</v>
      </c>
      <c r="AB481" s="96">
        <f t="shared" si="446"/>
        <v>100.09470853971365</v>
      </c>
      <c r="AC481" s="58"/>
      <c r="AD481" s="58"/>
      <c r="AE481" s="58"/>
      <c r="AF481" s="58"/>
      <c r="AG481" s="58"/>
      <c r="AH481" s="58"/>
      <c r="AI481" s="58"/>
      <c r="AJ481" s="58"/>
      <c r="AK481" s="58"/>
      <c r="AL481" s="58"/>
      <c r="AM481" s="89">
        <f t="shared" si="447"/>
        <v>34</v>
      </c>
      <c r="AN481" s="36">
        <f t="shared" si="456"/>
        <v>35.567999999999998</v>
      </c>
      <c r="AO481" s="35">
        <f t="shared" si="457"/>
        <v>1.9351404484111929</v>
      </c>
      <c r="AP481" s="35">
        <f>IF((OR(R481="A",R481="B",R481="C")),INDEX(Coefficients!$S$4:$S$22,MATCH(J481,Coefficients!$R$4:$R$22)),INDEX(Coefficients!$T$4:$T$22,MATCH(J481,Coefficients!$R$4:$R$22)))</f>
        <v>1.3</v>
      </c>
      <c r="AQ481" s="27">
        <f>IF((OR(R481="A",R481="B",R481="C")),INDEX(Coefficients!$S$4:$S$22,MATCH(K481,Coefficients!$R$4:$R$22)),INDEX(Coefficients!$T$4:$T$22,MATCH(K481,Coefficients!$R$4:$R$22)))</f>
        <v>25</v>
      </c>
      <c r="AR481" s="27">
        <f>IF(OR(R481="A",R481="B",R481="C",R481="D"),IF(AN481&gt;=11,IF(AN481&gt;=26,Coefficients!$M$6,Coefficients!$M$5),Coefficients!$M$4),IF(AN481&gt;=11,IF(AN481&gt;=26,Coefficients!$N$6,Coefficients!$N$5),Coefficients!$N$4))</f>
        <v>1</v>
      </c>
      <c r="AS481" s="27">
        <f>INDEX(Coefficients!$X$3:$X$4,MATCH(S481,Coefficients!$W$3:$W$4))</f>
        <v>1</v>
      </c>
      <c r="AT481" s="27">
        <f>INDEX(Coefficients!$X$7:$X$8,MATCH(O481,Coefficients!$W$7:$W$8))</f>
        <v>1</v>
      </c>
      <c r="AU481" s="27">
        <f>INDEX(Coefficients!$X$11:$X$12,MATCH(P481,Coefficients!$W$11:$W$12))</f>
        <v>1</v>
      </c>
      <c r="AV481" s="27">
        <f>INDEX(Coefficients!$X$15:$X$17,MATCH(Q481,Coefficients!$W$15:$W$17))</f>
        <v>1</v>
      </c>
      <c r="AW481" s="27">
        <f t="shared" si="448"/>
        <v>1</v>
      </c>
      <c r="AX481" s="27">
        <f t="shared" si="449"/>
        <v>1</v>
      </c>
      <c r="AY481" s="27">
        <f t="shared" si="450"/>
        <v>1.3</v>
      </c>
      <c r="AZ481" s="35">
        <f t="shared" si="451"/>
        <v>48.378511210279825</v>
      </c>
      <c r="BA481" s="35">
        <f t="shared" si="452"/>
        <v>0</v>
      </c>
      <c r="BB481" s="35">
        <f t="shared" si="453"/>
        <v>2.5156825829345508</v>
      </c>
      <c r="BC481" s="35">
        <f t="shared" si="454"/>
        <v>1.7484317417065449</v>
      </c>
      <c r="BD481" s="35">
        <f t="shared" si="458"/>
        <v>0.41340668614354242</v>
      </c>
      <c r="BE481" s="16">
        <f t="shared" si="459"/>
        <v>100.09470853971365</v>
      </c>
      <c r="BF481" s="16">
        <f t="shared" si="460"/>
        <v>199.8105829205727</v>
      </c>
      <c r="BG481" s="25">
        <f t="shared" si="461"/>
        <v>1</v>
      </c>
      <c r="BH481" s="35">
        <f t="shared" si="462"/>
        <v>220.20835878737006</v>
      </c>
      <c r="BI481" s="35">
        <f t="shared" si="463"/>
        <v>-40.416717574740119</v>
      </c>
      <c r="BJ481" s="35">
        <f t="shared" si="464"/>
        <v>33.962352746584124</v>
      </c>
    </row>
    <row r="482" spans="2:62">
      <c r="B482" s="35" t="s">
        <v>133</v>
      </c>
      <c r="C482" s="88" t="str">
        <f>'Cooler&amp;Wetter'!$B$1</f>
        <v>MIROC-Medres</v>
      </c>
      <c r="D482" s="89">
        <v>2040</v>
      </c>
      <c r="E482" s="90">
        <f>'Cooler&amp;Wetter'!AB68</f>
        <v>35.57</v>
      </c>
      <c r="F482" s="90">
        <f>'Cooler&amp;Wetter'!AD68</f>
        <v>22.824999999999999</v>
      </c>
      <c r="G482" s="35">
        <f t="shared" si="444"/>
        <v>2005</v>
      </c>
      <c r="H482" s="91" t="str">
        <f t="shared" si="424"/>
        <v>Pile 32 @ Berth 201</v>
      </c>
      <c r="I482" s="35" t="str">
        <f t="shared" si="425"/>
        <v>Turpentine Gum</v>
      </c>
      <c r="J482" s="35" t="str">
        <f t="shared" si="426"/>
        <v>HW1</v>
      </c>
      <c r="K482" s="35" t="str">
        <f t="shared" si="445"/>
        <v>SPHU</v>
      </c>
      <c r="L482" s="35">
        <f t="shared" si="427"/>
        <v>400</v>
      </c>
      <c r="M482" s="35">
        <f t="shared" si="428"/>
        <v>20</v>
      </c>
      <c r="N482" s="35">
        <f t="shared" si="429"/>
        <v>200</v>
      </c>
      <c r="O482" s="35" t="str">
        <f t="shared" si="430"/>
        <v>MTN2</v>
      </c>
      <c r="P482" s="35" t="str">
        <f t="shared" si="431"/>
        <v>CNT2</v>
      </c>
      <c r="Q482" s="35" t="str">
        <f t="shared" si="432"/>
        <v>KNT3</v>
      </c>
      <c r="R482" s="35" t="str">
        <f t="shared" si="433"/>
        <v>E</v>
      </c>
      <c r="S482" s="35" t="str">
        <f t="shared" si="434"/>
        <v>EXP1</v>
      </c>
      <c r="T482" s="58"/>
      <c r="U482" s="58"/>
      <c r="V482" s="58"/>
      <c r="W482" s="58"/>
      <c r="X482" s="58"/>
      <c r="Y482" s="58"/>
      <c r="Z482" s="58"/>
      <c r="AA482" s="95">
        <f t="shared" si="455"/>
        <v>1</v>
      </c>
      <c r="AB482" s="96">
        <f t="shared" si="446"/>
        <v>102.98926327487113</v>
      </c>
      <c r="AC482" s="58"/>
      <c r="AD482" s="58"/>
      <c r="AE482" s="58"/>
      <c r="AF482" s="58"/>
      <c r="AG482" s="58"/>
      <c r="AH482" s="58"/>
      <c r="AI482" s="58"/>
      <c r="AJ482" s="58"/>
      <c r="AK482" s="58"/>
      <c r="AL482" s="58"/>
      <c r="AM482" s="89">
        <f t="shared" si="447"/>
        <v>35</v>
      </c>
      <c r="AN482" s="36">
        <f t="shared" si="456"/>
        <v>35.57</v>
      </c>
      <c r="AO482" s="35">
        <f t="shared" si="457"/>
        <v>1.9438390453447594</v>
      </c>
      <c r="AP482" s="35">
        <f>IF((OR(R482="A",R482="B",R482="C")),INDEX(Coefficients!$S$4:$S$22,MATCH(J482,Coefficients!$R$4:$R$22)),INDEX(Coefficients!$T$4:$T$22,MATCH(J482,Coefficients!$R$4:$R$22)))</f>
        <v>1.3</v>
      </c>
      <c r="AQ482" s="27">
        <f>IF((OR(R482="A",R482="B",R482="C")),INDEX(Coefficients!$S$4:$S$22,MATCH(K482,Coefficients!$R$4:$R$22)),INDEX(Coefficients!$T$4:$T$22,MATCH(K482,Coefficients!$R$4:$R$22)))</f>
        <v>25</v>
      </c>
      <c r="AR482" s="27">
        <f>IF(OR(R482="A",R482="B",R482="C",R482="D"),IF(AN482&gt;=11,IF(AN482&gt;=26,Coefficients!$M$6,Coefficients!$M$5),Coefficients!$M$4),IF(AN482&gt;=11,IF(AN482&gt;=26,Coefficients!$N$6,Coefficients!$N$5),Coefficients!$N$4))</f>
        <v>1</v>
      </c>
      <c r="AS482" s="27">
        <f>INDEX(Coefficients!$X$3:$X$4,MATCH(S482,Coefficients!$W$3:$W$4))</f>
        <v>1</v>
      </c>
      <c r="AT482" s="27">
        <f>INDEX(Coefficients!$X$7:$X$8,MATCH(O482,Coefficients!$W$7:$W$8))</f>
        <v>1</v>
      </c>
      <c r="AU482" s="27">
        <f>INDEX(Coefficients!$X$11:$X$12,MATCH(P482,Coefficients!$W$11:$W$12))</f>
        <v>1</v>
      </c>
      <c r="AV482" s="27">
        <f>INDEX(Coefficients!$X$15:$X$17,MATCH(Q482,Coefficients!$W$15:$W$17))</f>
        <v>1</v>
      </c>
      <c r="AW482" s="27">
        <f t="shared" si="448"/>
        <v>1</v>
      </c>
      <c r="AX482" s="27">
        <f t="shared" si="449"/>
        <v>1</v>
      </c>
      <c r="AY482" s="27">
        <f t="shared" si="450"/>
        <v>1.3</v>
      </c>
      <c r="AZ482" s="35">
        <f t="shared" si="451"/>
        <v>48.595976133618983</v>
      </c>
      <c r="BA482" s="35">
        <f t="shared" si="452"/>
        <v>0</v>
      </c>
      <c r="BB482" s="35">
        <f t="shared" si="453"/>
        <v>2.5269907589481875</v>
      </c>
      <c r="BC482" s="35">
        <f t="shared" si="454"/>
        <v>1.7473009241051813</v>
      </c>
      <c r="BD482" s="35">
        <f t="shared" si="458"/>
        <v>0.4115567088313693</v>
      </c>
      <c r="BE482" s="16">
        <f t="shared" si="459"/>
        <v>102.98926327487113</v>
      </c>
      <c r="BF482" s="16">
        <f t="shared" si="460"/>
        <v>194.02147345025773</v>
      </c>
      <c r="BG482" s="25">
        <f t="shared" si="461"/>
        <v>1</v>
      </c>
      <c r="BH482" s="35">
        <f t="shared" si="462"/>
        <v>226.57637920471652</v>
      </c>
      <c r="BI482" s="35">
        <f t="shared" si="463"/>
        <v>-53.152758409433034</v>
      </c>
      <c r="BJ482" s="35">
        <f t="shared" si="464"/>
        <v>33.81706600458034</v>
      </c>
    </row>
    <row r="483" spans="2:62">
      <c r="B483" s="35" t="s">
        <v>133</v>
      </c>
      <c r="C483" s="88" t="str">
        <f>'Cooler&amp;Wetter'!$B$1</f>
        <v>MIROC-Medres</v>
      </c>
      <c r="D483" s="89">
        <v>2041</v>
      </c>
      <c r="E483" s="90">
        <f>'Cooler&amp;Wetter'!AB69</f>
        <v>35.572000000000003</v>
      </c>
      <c r="F483" s="90">
        <f>'Cooler&amp;Wetter'!AD69</f>
        <v>22.859500000000001</v>
      </c>
      <c r="G483" s="35">
        <f t="shared" si="444"/>
        <v>2005</v>
      </c>
      <c r="H483" s="91" t="str">
        <f t="shared" si="424"/>
        <v>Pile 32 @ Berth 201</v>
      </c>
      <c r="I483" s="35" t="str">
        <f t="shared" si="425"/>
        <v>Turpentine Gum</v>
      </c>
      <c r="J483" s="35" t="str">
        <f t="shared" si="426"/>
        <v>HW1</v>
      </c>
      <c r="K483" s="35" t="str">
        <f t="shared" si="445"/>
        <v>SPHU</v>
      </c>
      <c r="L483" s="35">
        <f t="shared" si="427"/>
        <v>400</v>
      </c>
      <c r="M483" s="35">
        <f t="shared" si="428"/>
        <v>20</v>
      </c>
      <c r="N483" s="35">
        <f t="shared" si="429"/>
        <v>200</v>
      </c>
      <c r="O483" s="35" t="str">
        <f t="shared" si="430"/>
        <v>MTN2</v>
      </c>
      <c r="P483" s="35" t="str">
        <f t="shared" si="431"/>
        <v>CNT2</v>
      </c>
      <c r="Q483" s="35" t="str">
        <f t="shared" si="432"/>
        <v>KNT3</v>
      </c>
      <c r="R483" s="35" t="str">
        <f t="shared" si="433"/>
        <v>E</v>
      </c>
      <c r="S483" s="35" t="str">
        <f t="shared" si="434"/>
        <v>EXP1</v>
      </c>
      <c r="T483" s="58"/>
      <c r="U483" s="58"/>
      <c r="V483" s="58"/>
      <c r="W483" s="58"/>
      <c r="X483" s="58"/>
      <c r="Y483" s="58"/>
      <c r="Z483" s="58"/>
      <c r="AA483" s="95">
        <f t="shared" si="455"/>
        <v>1</v>
      </c>
      <c r="AB483" s="96">
        <f t="shared" si="446"/>
        <v>105.90821399865332</v>
      </c>
      <c r="AC483" s="58"/>
      <c r="AD483" s="58"/>
      <c r="AE483" s="58"/>
      <c r="AF483" s="58"/>
      <c r="AG483" s="58"/>
      <c r="AH483" s="58"/>
      <c r="AI483" s="58"/>
      <c r="AJ483" s="58"/>
      <c r="AK483" s="58"/>
      <c r="AL483" s="58"/>
      <c r="AM483" s="89">
        <f t="shared" si="447"/>
        <v>36</v>
      </c>
      <c r="AN483" s="36">
        <f t="shared" si="456"/>
        <v>35.572000000000003</v>
      </c>
      <c r="AO483" s="35">
        <f t="shared" si="457"/>
        <v>1.9525767431036305</v>
      </c>
      <c r="AP483" s="35">
        <f>IF((OR(R483="A",R483="B",R483="C")),INDEX(Coefficients!$S$4:$S$22,MATCH(J483,Coefficients!$R$4:$R$22)),INDEX(Coefficients!$T$4:$T$22,MATCH(J483,Coefficients!$R$4:$R$22)))</f>
        <v>1.3</v>
      </c>
      <c r="AQ483" s="27">
        <f>IF((OR(R483="A",R483="B",R483="C")),INDEX(Coefficients!$S$4:$S$22,MATCH(K483,Coefficients!$R$4:$R$22)),INDEX(Coefficients!$T$4:$T$22,MATCH(K483,Coefficients!$R$4:$R$22)))</f>
        <v>25</v>
      </c>
      <c r="AR483" s="27">
        <f>IF(OR(R483="A",R483="B",R483="C",R483="D"),IF(AN483&gt;=11,IF(AN483&gt;=26,Coefficients!$M$6,Coefficients!$M$5),Coefficients!$M$4),IF(AN483&gt;=11,IF(AN483&gt;=26,Coefficients!$N$6,Coefficients!$N$5),Coefficients!$N$4))</f>
        <v>1</v>
      </c>
      <c r="AS483" s="27">
        <f>INDEX(Coefficients!$X$3:$X$4,MATCH(S483,Coefficients!$W$3:$W$4))</f>
        <v>1</v>
      </c>
      <c r="AT483" s="27">
        <f>INDEX(Coefficients!$X$7:$X$8,MATCH(O483,Coefficients!$W$7:$W$8))</f>
        <v>1</v>
      </c>
      <c r="AU483" s="27">
        <f>INDEX(Coefficients!$X$11:$X$12,MATCH(P483,Coefficients!$W$11:$W$12))</f>
        <v>1</v>
      </c>
      <c r="AV483" s="27">
        <f>INDEX(Coefficients!$X$15:$X$17,MATCH(Q483,Coefficients!$W$15:$W$17))</f>
        <v>1</v>
      </c>
      <c r="AW483" s="27">
        <f t="shared" si="448"/>
        <v>1</v>
      </c>
      <c r="AX483" s="27">
        <f t="shared" si="449"/>
        <v>1</v>
      </c>
      <c r="AY483" s="27">
        <f t="shared" si="450"/>
        <v>1.3</v>
      </c>
      <c r="AZ483" s="35">
        <f t="shared" si="451"/>
        <v>48.814418577590764</v>
      </c>
      <c r="BA483" s="35">
        <f t="shared" si="452"/>
        <v>0</v>
      </c>
      <c r="BB483" s="35">
        <f t="shared" si="453"/>
        <v>2.5383497660347198</v>
      </c>
      <c r="BC483" s="35">
        <f t="shared" si="454"/>
        <v>1.746165023396528</v>
      </c>
      <c r="BD483" s="35">
        <f t="shared" si="458"/>
        <v>0.40971501008887157</v>
      </c>
      <c r="BE483" s="16">
        <f t="shared" si="459"/>
        <v>105.90821399865332</v>
      </c>
      <c r="BF483" s="16">
        <f t="shared" si="460"/>
        <v>188.18357200269335</v>
      </c>
      <c r="BG483" s="25">
        <f t="shared" si="461"/>
        <v>1</v>
      </c>
      <c r="BH483" s="35">
        <f t="shared" si="462"/>
        <v>232.99807079703734</v>
      </c>
      <c r="BI483" s="35">
        <f t="shared" si="463"/>
        <v>-65.996141594074686</v>
      </c>
      <c r="BJ483" s="35">
        <f t="shared" si="464"/>
        <v>33.672419271090902</v>
      </c>
    </row>
    <row r="484" spans="2:62">
      <c r="B484" s="35" t="s">
        <v>133</v>
      </c>
      <c r="C484" s="88" t="str">
        <f>'Cooler&amp;Wetter'!$B$1</f>
        <v>MIROC-Medres</v>
      </c>
      <c r="D484" s="89">
        <v>2042</v>
      </c>
      <c r="E484" s="90">
        <f>'Cooler&amp;Wetter'!AB70</f>
        <v>35.573999999999998</v>
      </c>
      <c r="F484" s="90">
        <f>'Cooler&amp;Wetter'!AD70</f>
        <v>22.893999999999998</v>
      </c>
      <c r="G484" s="35">
        <f t="shared" si="444"/>
        <v>2005</v>
      </c>
      <c r="H484" s="91" t="str">
        <f t="shared" si="424"/>
        <v>Pile 32 @ Berth 201</v>
      </c>
      <c r="I484" s="35" t="str">
        <f t="shared" si="425"/>
        <v>Turpentine Gum</v>
      </c>
      <c r="J484" s="35" t="str">
        <f t="shared" si="426"/>
        <v>HW1</v>
      </c>
      <c r="K484" s="35" t="str">
        <f t="shared" si="445"/>
        <v>SPHU</v>
      </c>
      <c r="L484" s="35">
        <f t="shared" si="427"/>
        <v>400</v>
      </c>
      <c r="M484" s="35">
        <f t="shared" si="428"/>
        <v>20</v>
      </c>
      <c r="N484" s="35">
        <f t="shared" si="429"/>
        <v>200</v>
      </c>
      <c r="O484" s="35" t="str">
        <f t="shared" si="430"/>
        <v>MTN2</v>
      </c>
      <c r="P484" s="35" t="str">
        <f t="shared" si="431"/>
        <v>CNT2</v>
      </c>
      <c r="Q484" s="35" t="str">
        <f t="shared" si="432"/>
        <v>KNT3</v>
      </c>
      <c r="R484" s="35" t="str">
        <f t="shared" si="433"/>
        <v>E</v>
      </c>
      <c r="S484" s="35" t="str">
        <f t="shared" si="434"/>
        <v>EXP1</v>
      </c>
      <c r="T484" s="58"/>
      <c r="U484" s="58"/>
      <c r="V484" s="58"/>
      <c r="W484" s="58"/>
      <c r="X484" s="58"/>
      <c r="Y484" s="58"/>
      <c r="Z484" s="58"/>
      <c r="AA484" s="95">
        <f t="shared" si="455"/>
        <v>1</v>
      </c>
      <c r="AB484" s="96">
        <f t="shared" si="446"/>
        <v>108.8517216643596</v>
      </c>
      <c r="AC484" s="58"/>
      <c r="AD484" s="58"/>
      <c r="AE484" s="58"/>
      <c r="AF484" s="58"/>
      <c r="AG484" s="58"/>
      <c r="AH484" s="58"/>
      <c r="AI484" s="58"/>
      <c r="AJ484" s="58"/>
      <c r="AK484" s="58"/>
      <c r="AL484" s="58"/>
      <c r="AM484" s="89">
        <f t="shared" si="447"/>
        <v>37</v>
      </c>
      <c r="AN484" s="36">
        <f t="shared" si="456"/>
        <v>35.573999999999998</v>
      </c>
      <c r="AO484" s="35">
        <f t="shared" si="457"/>
        <v>1.9613537174488564</v>
      </c>
      <c r="AP484" s="35">
        <f>IF((OR(R484="A",R484="B",R484="C")),INDEX(Coefficients!$S$4:$S$22,MATCH(J484,Coefficients!$R$4:$R$22)),INDEX(Coefficients!$T$4:$T$22,MATCH(J484,Coefficients!$R$4:$R$22)))</f>
        <v>1.3</v>
      </c>
      <c r="AQ484" s="27">
        <f>IF((OR(R484="A",R484="B",R484="C")),INDEX(Coefficients!$S$4:$S$22,MATCH(K484,Coefficients!$R$4:$R$22)),INDEX(Coefficients!$T$4:$T$22,MATCH(K484,Coefficients!$R$4:$R$22)))</f>
        <v>25</v>
      </c>
      <c r="AR484" s="27">
        <f>IF(OR(R484="A",R484="B",R484="C",R484="D"),IF(AN484&gt;=11,IF(AN484&gt;=26,Coefficients!$M$6,Coefficients!$M$5),Coefficients!$M$4),IF(AN484&gt;=11,IF(AN484&gt;=26,Coefficients!$N$6,Coefficients!$N$5),Coefficients!$N$4))</f>
        <v>1</v>
      </c>
      <c r="AS484" s="27">
        <f>INDEX(Coefficients!$X$3:$X$4,MATCH(S484,Coefficients!$W$3:$W$4))</f>
        <v>1</v>
      </c>
      <c r="AT484" s="27">
        <f>INDEX(Coefficients!$X$7:$X$8,MATCH(O484,Coefficients!$W$7:$W$8))</f>
        <v>1</v>
      </c>
      <c r="AU484" s="27">
        <f>INDEX(Coefficients!$X$11:$X$12,MATCH(P484,Coefficients!$W$11:$W$12))</f>
        <v>1</v>
      </c>
      <c r="AV484" s="27">
        <f>INDEX(Coefficients!$X$15:$X$17,MATCH(Q484,Coefficients!$W$15:$W$17))</f>
        <v>1</v>
      </c>
      <c r="AW484" s="27">
        <f t="shared" si="448"/>
        <v>1</v>
      </c>
      <c r="AX484" s="27">
        <f t="shared" si="449"/>
        <v>1</v>
      </c>
      <c r="AY484" s="27">
        <f t="shared" si="450"/>
        <v>1.3</v>
      </c>
      <c r="AZ484" s="35">
        <f t="shared" si="451"/>
        <v>49.033842936221411</v>
      </c>
      <c r="BA484" s="35">
        <f t="shared" si="452"/>
        <v>0</v>
      </c>
      <c r="BB484" s="35">
        <f t="shared" si="453"/>
        <v>2.5497598326835136</v>
      </c>
      <c r="BC484" s="35">
        <f t="shared" si="454"/>
        <v>1.7450240167316486</v>
      </c>
      <c r="BD484" s="35">
        <f t="shared" si="458"/>
        <v>0.40788155286980282</v>
      </c>
      <c r="BE484" s="16">
        <f t="shared" si="459"/>
        <v>108.8517216643596</v>
      </c>
      <c r="BF484" s="16">
        <f t="shared" si="460"/>
        <v>182.2965566712808</v>
      </c>
      <c r="BG484" s="25">
        <f t="shared" si="461"/>
        <v>1</v>
      </c>
      <c r="BH484" s="35">
        <f t="shared" si="462"/>
        <v>239.47378766159113</v>
      </c>
      <c r="BI484" s="35">
        <f t="shared" si="463"/>
        <v>-78.947575323182264</v>
      </c>
      <c r="BJ484" s="35">
        <f t="shared" si="464"/>
        <v>33.528409636509359</v>
      </c>
    </row>
    <row r="485" spans="2:62">
      <c r="B485" s="35" t="s">
        <v>133</v>
      </c>
      <c r="C485" s="88" t="str">
        <f>'Cooler&amp;Wetter'!$B$1</f>
        <v>MIROC-Medres</v>
      </c>
      <c r="D485" s="89">
        <v>2043</v>
      </c>
      <c r="E485" s="90">
        <f>'Cooler&amp;Wetter'!AB71</f>
        <v>35.576000000000001</v>
      </c>
      <c r="F485" s="90">
        <f>'Cooler&amp;Wetter'!AD71</f>
        <v>22.9285</v>
      </c>
      <c r="G485" s="35">
        <f t="shared" si="444"/>
        <v>2005</v>
      </c>
      <c r="H485" s="91" t="str">
        <f t="shared" si="424"/>
        <v>Pile 32 @ Berth 201</v>
      </c>
      <c r="I485" s="35" t="str">
        <f t="shared" si="425"/>
        <v>Turpentine Gum</v>
      </c>
      <c r="J485" s="35" t="str">
        <f t="shared" si="426"/>
        <v>HW1</v>
      </c>
      <c r="K485" s="35" t="str">
        <f t="shared" si="445"/>
        <v>SPHU</v>
      </c>
      <c r="L485" s="35">
        <f t="shared" si="427"/>
        <v>400</v>
      </c>
      <c r="M485" s="35">
        <f t="shared" si="428"/>
        <v>20</v>
      </c>
      <c r="N485" s="35">
        <f t="shared" si="429"/>
        <v>200</v>
      </c>
      <c r="O485" s="35" t="str">
        <f t="shared" si="430"/>
        <v>MTN2</v>
      </c>
      <c r="P485" s="35" t="str">
        <f t="shared" si="431"/>
        <v>CNT2</v>
      </c>
      <c r="Q485" s="35" t="str">
        <f t="shared" si="432"/>
        <v>KNT3</v>
      </c>
      <c r="R485" s="35" t="str">
        <f t="shared" si="433"/>
        <v>E</v>
      </c>
      <c r="S485" s="35" t="str">
        <f t="shared" si="434"/>
        <v>EXP1</v>
      </c>
      <c r="T485" s="58"/>
      <c r="U485" s="58"/>
      <c r="V485" s="58"/>
      <c r="W485" s="58"/>
      <c r="X485" s="58"/>
      <c r="Y485" s="58"/>
      <c r="Z485" s="58"/>
      <c r="AA485" s="95">
        <f t="shared" si="455"/>
        <v>1</v>
      </c>
      <c r="AB485" s="96">
        <f t="shared" si="446"/>
        <v>111.81994818039293</v>
      </c>
      <c r="AC485" s="58"/>
      <c r="AD485" s="58"/>
      <c r="AE485" s="58"/>
      <c r="AF485" s="58"/>
      <c r="AG485" s="58"/>
      <c r="AH485" s="58"/>
      <c r="AI485" s="58"/>
      <c r="AJ485" s="58"/>
      <c r="AK485" s="58"/>
      <c r="AL485" s="58"/>
      <c r="AM485" s="89">
        <f t="shared" si="447"/>
        <v>38</v>
      </c>
      <c r="AN485" s="36">
        <f t="shared" si="456"/>
        <v>35.576000000000001</v>
      </c>
      <c r="AO485" s="35">
        <f t="shared" si="457"/>
        <v>1.970170144931547</v>
      </c>
      <c r="AP485" s="35">
        <f>IF((OR(R485="A",R485="B",R485="C")),INDEX(Coefficients!$S$4:$S$22,MATCH(J485,Coefficients!$R$4:$R$22)),INDEX(Coefficients!$T$4:$T$22,MATCH(J485,Coefficients!$R$4:$R$22)))</f>
        <v>1.3</v>
      </c>
      <c r="AQ485" s="27">
        <f>IF((OR(R485="A",R485="B",R485="C")),INDEX(Coefficients!$S$4:$S$22,MATCH(K485,Coefficients!$R$4:$R$22)),INDEX(Coefficients!$T$4:$T$22,MATCH(K485,Coefficients!$R$4:$R$22)))</f>
        <v>25</v>
      </c>
      <c r="AR485" s="27">
        <f>IF(OR(R485="A",R485="B",R485="C",R485="D"),IF(AN485&gt;=11,IF(AN485&gt;=26,Coefficients!$M$6,Coefficients!$M$5),Coefficients!$M$4),IF(AN485&gt;=11,IF(AN485&gt;=26,Coefficients!$N$6,Coefficients!$N$5),Coefficients!$N$4))</f>
        <v>1</v>
      </c>
      <c r="AS485" s="27">
        <f>INDEX(Coefficients!$X$3:$X$4,MATCH(S485,Coefficients!$W$3:$W$4))</f>
        <v>1</v>
      </c>
      <c r="AT485" s="27">
        <f>INDEX(Coefficients!$X$7:$X$8,MATCH(O485,Coefficients!$W$7:$W$8))</f>
        <v>1</v>
      </c>
      <c r="AU485" s="27">
        <f>INDEX(Coefficients!$X$11:$X$12,MATCH(P485,Coefficients!$W$11:$W$12))</f>
        <v>1</v>
      </c>
      <c r="AV485" s="27">
        <f>INDEX(Coefficients!$X$15:$X$17,MATCH(Q485,Coefficients!$W$15:$W$17))</f>
        <v>1</v>
      </c>
      <c r="AW485" s="27">
        <f t="shared" si="448"/>
        <v>1</v>
      </c>
      <c r="AX485" s="27">
        <f t="shared" si="449"/>
        <v>1</v>
      </c>
      <c r="AY485" s="27">
        <f t="shared" si="450"/>
        <v>1.3</v>
      </c>
      <c r="AZ485" s="35">
        <f t="shared" si="451"/>
        <v>49.254253623288676</v>
      </c>
      <c r="BA485" s="35">
        <f t="shared" si="452"/>
        <v>0</v>
      </c>
      <c r="BB485" s="35">
        <f t="shared" si="453"/>
        <v>2.561221188411011</v>
      </c>
      <c r="BC485" s="35">
        <f t="shared" si="454"/>
        <v>1.7438778811588989</v>
      </c>
      <c r="BD485" s="35">
        <f t="shared" si="458"/>
        <v>0.4060563002936966</v>
      </c>
      <c r="BE485" s="16">
        <f t="shared" si="459"/>
        <v>111.81994818039293</v>
      </c>
      <c r="BF485" s="16">
        <f t="shared" si="460"/>
        <v>176.36010363921415</v>
      </c>
      <c r="BG485" s="25">
        <f t="shared" si="461"/>
        <v>1</v>
      </c>
      <c r="BH485" s="35">
        <f t="shared" si="462"/>
        <v>246.00388599686445</v>
      </c>
      <c r="BI485" s="35">
        <f t="shared" si="463"/>
        <v>-92.007771993728909</v>
      </c>
      <c r="BJ485" s="35">
        <f t="shared" si="464"/>
        <v>33.385034204044644</v>
      </c>
    </row>
    <row r="486" spans="2:62">
      <c r="B486" s="35" t="s">
        <v>133</v>
      </c>
      <c r="C486" s="88" t="str">
        <f>'Cooler&amp;Wetter'!$B$1</f>
        <v>MIROC-Medres</v>
      </c>
      <c r="D486" s="89">
        <v>2044</v>
      </c>
      <c r="E486" s="90">
        <f>'Cooler&amp;Wetter'!AB72</f>
        <v>35.578000000000003</v>
      </c>
      <c r="F486" s="90">
        <f>'Cooler&amp;Wetter'!AD72</f>
        <v>22.963000000000001</v>
      </c>
      <c r="G486" s="35">
        <f t="shared" si="444"/>
        <v>2005</v>
      </c>
      <c r="H486" s="91" t="str">
        <f t="shared" si="424"/>
        <v>Pile 32 @ Berth 201</v>
      </c>
      <c r="I486" s="35" t="str">
        <f t="shared" si="425"/>
        <v>Turpentine Gum</v>
      </c>
      <c r="J486" s="35" t="str">
        <f t="shared" si="426"/>
        <v>HW1</v>
      </c>
      <c r="K486" s="35" t="str">
        <f t="shared" si="445"/>
        <v>SPHU</v>
      </c>
      <c r="L486" s="35">
        <f t="shared" si="427"/>
        <v>400</v>
      </c>
      <c r="M486" s="35">
        <f t="shared" si="428"/>
        <v>20</v>
      </c>
      <c r="N486" s="35">
        <f t="shared" si="429"/>
        <v>200</v>
      </c>
      <c r="O486" s="35" t="str">
        <f t="shared" si="430"/>
        <v>MTN2</v>
      </c>
      <c r="P486" s="35" t="str">
        <f t="shared" si="431"/>
        <v>CNT2</v>
      </c>
      <c r="Q486" s="35" t="str">
        <f t="shared" si="432"/>
        <v>KNT3</v>
      </c>
      <c r="R486" s="35" t="str">
        <f t="shared" si="433"/>
        <v>E</v>
      </c>
      <c r="S486" s="35" t="str">
        <f t="shared" si="434"/>
        <v>EXP1</v>
      </c>
      <c r="T486" s="58"/>
      <c r="U486" s="58"/>
      <c r="V486" s="58"/>
      <c r="W486" s="58"/>
      <c r="X486" s="58"/>
      <c r="Y486" s="58"/>
      <c r="Z486" s="58"/>
      <c r="AA486" s="95">
        <f t="shared" si="455"/>
        <v>1</v>
      </c>
      <c r="AB486" s="96">
        <f t="shared" si="446"/>
        <v>114.81305641560382</v>
      </c>
      <c r="AC486" s="58"/>
      <c r="AD486" s="58"/>
      <c r="AE486" s="58"/>
      <c r="AF486" s="58"/>
      <c r="AG486" s="58"/>
      <c r="AH486" s="58"/>
      <c r="AI486" s="58"/>
      <c r="AJ486" s="58"/>
      <c r="AK486" s="58"/>
      <c r="AL486" s="58"/>
      <c r="AM486" s="89">
        <f t="shared" si="447"/>
        <v>39</v>
      </c>
      <c r="AN486" s="36">
        <f t="shared" si="456"/>
        <v>35.578000000000003</v>
      </c>
      <c r="AO486" s="35">
        <f t="shared" si="457"/>
        <v>1.9790262028964236</v>
      </c>
      <c r="AP486" s="35">
        <f>IF((OR(R486="A",R486="B",R486="C")),INDEX(Coefficients!$S$4:$S$22,MATCH(J486,Coefficients!$R$4:$R$22)),INDEX(Coefficients!$T$4:$T$22,MATCH(J486,Coefficients!$R$4:$R$22)))</f>
        <v>1.3</v>
      </c>
      <c r="AQ486" s="27">
        <f>IF((OR(R486="A",R486="B",R486="C")),INDEX(Coefficients!$S$4:$S$22,MATCH(K486,Coefficients!$R$4:$R$22)),INDEX(Coefficients!$T$4:$T$22,MATCH(K486,Coefficients!$R$4:$R$22)))</f>
        <v>25</v>
      </c>
      <c r="AR486" s="27">
        <f>IF(OR(R486="A",R486="B",R486="C",R486="D"),IF(AN486&gt;=11,IF(AN486&gt;=26,Coefficients!$M$6,Coefficients!$M$5),Coefficients!$M$4),IF(AN486&gt;=11,IF(AN486&gt;=26,Coefficients!$N$6,Coefficients!$N$5),Coefficients!$N$4))</f>
        <v>1</v>
      </c>
      <c r="AS486" s="27">
        <f>INDEX(Coefficients!$X$3:$X$4,MATCH(S486,Coefficients!$W$3:$W$4))</f>
        <v>1</v>
      </c>
      <c r="AT486" s="27">
        <f>INDEX(Coefficients!$X$7:$X$8,MATCH(O486,Coefficients!$W$7:$W$8))</f>
        <v>1</v>
      </c>
      <c r="AU486" s="27">
        <f>INDEX(Coefficients!$X$11:$X$12,MATCH(P486,Coefficients!$W$11:$W$12))</f>
        <v>1</v>
      </c>
      <c r="AV486" s="27">
        <f>INDEX(Coefficients!$X$15:$X$17,MATCH(Q486,Coefficients!$W$15:$W$17))</f>
        <v>1</v>
      </c>
      <c r="AW486" s="27">
        <f t="shared" si="448"/>
        <v>1</v>
      </c>
      <c r="AX486" s="27">
        <f t="shared" si="449"/>
        <v>1</v>
      </c>
      <c r="AY486" s="27">
        <f t="shared" si="450"/>
        <v>1.3</v>
      </c>
      <c r="AZ486" s="35">
        <f t="shared" si="451"/>
        <v>49.475655072410589</v>
      </c>
      <c r="BA486" s="35">
        <f t="shared" si="452"/>
        <v>0</v>
      </c>
      <c r="BB486" s="35">
        <f t="shared" si="453"/>
        <v>2.5727340637653509</v>
      </c>
      <c r="BC486" s="35">
        <f t="shared" si="454"/>
        <v>1.7427265936234648</v>
      </c>
      <c r="BD486" s="35">
        <f t="shared" si="458"/>
        <v>0.40423921564512488</v>
      </c>
      <c r="BE486" s="16">
        <f t="shared" si="459"/>
        <v>114.81305641560382</v>
      </c>
      <c r="BF486" s="16">
        <f t="shared" si="460"/>
        <v>170.37388716879235</v>
      </c>
      <c r="BG486" s="25">
        <f t="shared" si="461"/>
        <v>1</v>
      </c>
      <c r="BH486" s="35">
        <f t="shared" si="462"/>
        <v>252.58872411432844</v>
      </c>
      <c r="BI486" s="35">
        <f t="shared" si="463"/>
        <v>-105.17744822865689</v>
      </c>
      <c r="BJ486" s="35">
        <f t="shared" si="464"/>
        <v>33.242290089662802</v>
      </c>
    </row>
    <row r="487" spans="2:62">
      <c r="B487" s="35" t="s">
        <v>133</v>
      </c>
      <c r="C487" s="88" t="str">
        <f>'Cooler&amp;Wetter'!$B$1</f>
        <v>MIROC-Medres</v>
      </c>
      <c r="D487" s="89">
        <v>2045</v>
      </c>
      <c r="E487" s="90">
        <f>'Cooler&amp;Wetter'!AB73</f>
        <v>35.58</v>
      </c>
      <c r="F487" s="90">
        <f>'Cooler&amp;Wetter'!AD73</f>
        <v>22.997499999999999</v>
      </c>
      <c r="G487" s="35">
        <f t="shared" si="444"/>
        <v>2005</v>
      </c>
      <c r="H487" s="91" t="str">
        <f t="shared" si="424"/>
        <v>Pile 32 @ Berth 201</v>
      </c>
      <c r="I487" s="35" t="str">
        <f t="shared" si="425"/>
        <v>Turpentine Gum</v>
      </c>
      <c r="J487" s="35" t="str">
        <f t="shared" si="426"/>
        <v>HW1</v>
      </c>
      <c r="K487" s="35" t="str">
        <f t="shared" si="445"/>
        <v>SPHU</v>
      </c>
      <c r="L487" s="35">
        <f t="shared" si="427"/>
        <v>400</v>
      </c>
      <c r="M487" s="35">
        <f t="shared" si="428"/>
        <v>20</v>
      </c>
      <c r="N487" s="35">
        <f t="shared" si="429"/>
        <v>200</v>
      </c>
      <c r="O487" s="35" t="str">
        <f t="shared" si="430"/>
        <v>MTN2</v>
      </c>
      <c r="P487" s="35" t="str">
        <f t="shared" si="431"/>
        <v>CNT2</v>
      </c>
      <c r="Q487" s="35" t="str">
        <f t="shared" si="432"/>
        <v>KNT3</v>
      </c>
      <c r="R487" s="35" t="str">
        <f t="shared" si="433"/>
        <v>E</v>
      </c>
      <c r="S487" s="35" t="str">
        <f t="shared" si="434"/>
        <v>EXP1</v>
      </c>
      <c r="T487" s="58"/>
      <c r="U487" s="58"/>
      <c r="V487" s="58"/>
      <c r="W487" s="58"/>
      <c r="X487" s="58"/>
      <c r="Y487" s="58"/>
      <c r="Z487" s="58"/>
      <c r="AA487" s="95">
        <f t="shared" si="455"/>
        <v>1</v>
      </c>
      <c r="AB487" s="96">
        <f t="shared" si="446"/>
        <v>117.8312102046625</v>
      </c>
      <c r="AC487" s="58"/>
      <c r="AD487" s="58"/>
      <c r="AE487" s="58"/>
      <c r="AF487" s="58"/>
      <c r="AG487" s="58"/>
      <c r="AH487" s="58"/>
      <c r="AI487" s="58"/>
      <c r="AJ487" s="58"/>
      <c r="AK487" s="58"/>
      <c r="AL487" s="58"/>
      <c r="AM487" s="89">
        <f t="shared" si="447"/>
        <v>40</v>
      </c>
      <c r="AN487" s="36">
        <f t="shared" si="456"/>
        <v>35.58</v>
      </c>
      <c r="AO487" s="35">
        <f t="shared" si="457"/>
        <v>1.9879220694853814</v>
      </c>
      <c r="AP487" s="35">
        <f>IF((OR(R487="A",R487="B",R487="C")),INDEX(Coefficients!$S$4:$S$22,MATCH(J487,Coefficients!$R$4:$R$22)),INDEX(Coefficients!$T$4:$T$22,MATCH(J487,Coefficients!$R$4:$R$22)))</f>
        <v>1.3</v>
      </c>
      <c r="AQ487" s="27">
        <f>IF((OR(R487="A",R487="B",R487="C")),INDEX(Coefficients!$S$4:$S$22,MATCH(K487,Coefficients!$R$4:$R$22)),INDEX(Coefficients!$T$4:$T$22,MATCH(K487,Coefficients!$R$4:$R$22)))</f>
        <v>25</v>
      </c>
      <c r="AR487" s="27">
        <f>IF(OR(R487="A",R487="B",R487="C",R487="D"),IF(AN487&gt;=11,IF(AN487&gt;=26,Coefficients!$M$6,Coefficients!$M$5),Coefficients!$M$4),IF(AN487&gt;=11,IF(AN487&gt;=26,Coefficients!$N$6,Coefficients!$N$5),Coefficients!$N$4))</f>
        <v>1</v>
      </c>
      <c r="AS487" s="27">
        <f>INDEX(Coefficients!$X$3:$X$4,MATCH(S487,Coefficients!$W$3:$W$4))</f>
        <v>1</v>
      </c>
      <c r="AT487" s="27">
        <f>INDEX(Coefficients!$X$7:$X$8,MATCH(O487,Coefficients!$W$7:$W$8))</f>
        <v>1</v>
      </c>
      <c r="AU487" s="27">
        <f>INDEX(Coefficients!$X$11:$X$12,MATCH(P487,Coefficients!$W$11:$W$12))</f>
        <v>1</v>
      </c>
      <c r="AV487" s="27">
        <f>INDEX(Coefficients!$X$15:$X$17,MATCH(Q487,Coefficients!$W$15:$W$17))</f>
        <v>1</v>
      </c>
      <c r="AW487" s="27">
        <f t="shared" si="448"/>
        <v>1</v>
      </c>
      <c r="AX487" s="27">
        <f t="shared" si="449"/>
        <v>1</v>
      </c>
      <c r="AY487" s="27">
        <f t="shared" si="450"/>
        <v>1.3</v>
      </c>
      <c r="AZ487" s="35">
        <f t="shared" si="451"/>
        <v>49.698051737134534</v>
      </c>
      <c r="BA487" s="35">
        <f t="shared" si="452"/>
        <v>0</v>
      </c>
      <c r="BB487" s="35">
        <f t="shared" si="453"/>
        <v>2.5842986903309959</v>
      </c>
      <c r="BC487" s="35">
        <f t="shared" si="454"/>
        <v>1.7415701309669003</v>
      </c>
      <c r="BD487" s="35">
        <f t="shared" si="458"/>
        <v>0.4024302623729602</v>
      </c>
      <c r="BE487" s="16">
        <f t="shared" si="459"/>
        <v>117.8312102046625</v>
      </c>
      <c r="BF487" s="16">
        <f t="shared" si="460"/>
        <v>164.33757959067501</v>
      </c>
      <c r="BG487" s="25">
        <f t="shared" si="461"/>
        <v>1</v>
      </c>
      <c r="BH487" s="35">
        <f t="shared" si="462"/>
        <v>259.2286624502575</v>
      </c>
      <c r="BI487" s="35">
        <f t="shared" si="463"/>
        <v>-118.457324900515</v>
      </c>
      <c r="BJ487" s="35">
        <f t="shared" si="464"/>
        <v>33.100174422029106</v>
      </c>
    </row>
    <row r="488" spans="2:62">
      <c r="B488" s="35" t="s">
        <v>133</v>
      </c>
      <c r="C488" s="88" t="str">
        <f>'Cooler&amp;Wetter'!$B$1</f>
        <v>MIROC-Medres</v>
      </c>
      <c r="D488" s="89">
        <v>2046</v>
      </c>
      <c r="E488" s="90">
        <f>'Cooler&amp;Wetter'!AB74</f>
        <v>35.582000000000001</v>
      </c>
      <c r="F488" s="90">
        <f>'Cooler&amp;Wetter'!AD74</f>
        <v>23.032</v>
      </c>
      <c r="G488" s="35">
        <f t="shared" si="444"/>
        <v>2005</v>
      </c>
      <c r="H488" s="91" t="str">
        <f t="shared" si="424"/>
        <v>Pile 32 @ Berth 201</v>
      </c>
      <c r="I488" s="35" t="str">
        <f t="shared" si="425"/>
        <v>Turpentine Gum</v>
      </c>
      <c r="J488" s="35" t="str">
        <f t="shared" si="426"/>
        <v>HW1</v>
      </c>
      <c r="K488" s="35" t="str">
        <f t="shared" si="445"/>
        <v>SPHU</v>
      </c>
      <c r="L488" s="35">
        <f t="shared" si="427"/>
        <v>400</v>
      </c>
      <c r="M488" s="35">
        <f t="shared" si="428"/>
        <v>20</v>
      </c>
      <c r="N488" s="35">
        <f t="shared" si="429"/>
        <v>200</v>
      </c>
      <c r="O488" s="35" t="str">
        <f t="shared" si="430"/>
        <v>MTN2</v>
      </c>
      <c r="P488" s="35" t="str">
        <f t="shared" si="431"/>
        <v>CNT2</v>
      </c>
      <c r="Q488" s="35" t="str">
        <f t="shared" si="432"/>
        <v>KNT3</v>
      </c>
      <c r="R488" s="35" t="str">
        <f t="shared" si="433"/>
        <v>E</v>
      </c>
      <c r="S488" s="35" t="str">
        <f t="shared" si="434"/>
        <v>EXP1</v>
      </c>
      <c r="T488" s="58"/>
      <c r="U488" s="58"/>
      <c r="V488" s="58"/>
      <c r="W488" s="58"/>
      <c r="X488" s="58"/>
      <c r="Y488" s="58"/>
      <c r="Z488" s="58"/>
      <c r="AA488" s="95">
        <f t="shared" si="455"/>
        <v>1</v>
      </c>
      <c r="AB488" s="96">
        <f t="shared" si="446"/>
        <v>120.87457435346087</v>
      </c>
      <c r="AC488" s="58"/>
      <c r="AD488" s="58"/>
      <c r="AE488" s="58"/>
      <c r="AF488" s="58"/>
      <c r="AG488" s="58"/>
      <c r="AH488" s="58"/>
      <c r="AI488" s="58"/>
      <c r="AJ488" s="58"/>
      <c r="AK488" s="58"/>
      <c r="AL488" s="58"/>
      <c r="AM488" s="89">
        <f t="shared" si="447"/>
        <v>41</v>
      </c>
      <c r="AN488" s="36">
        <f t="shared" si="456"/>
        <v>35.582000000000001</v>
      </c>
      <c r="AO488" s="35">
        <f t="shared" si="457"/>
        <v>1.9968579236410791</v>
      </c>
      <c r="AP488" s="35">
        <f>IF((OR(R488="A",R488="B",R488="C")),INDEX(Coefficients!$S$4:$S$22,MATCH(J488,Coefficients!$R$4:$R$22)),INDEX(Coefficients!$T$4:$T$22,MATCH(J488,Coefficients!$R$4:$R$22)))</f>
        <v>1.3</v>
      </c>
      <c r="AQ488" s="27">
        <f>IF((OR(R488="A",R488="B",R488="C")),INDEX(Coefficients!$S$4:$S$22,MATCH(K488,Coefficients!$R$4:$R$22)),INDEX(Coefficients!$T$4:$T$22,MATCH(K488,Coefficients!$R$4:$R$22)))</f>
        <v>25</v>
      </c>
      <c r="AR488" s="27">
        <f>IF(OR(R488="A",R488="B",R488="C",R488="D"),IF(AN488&gt;=11,IF(AN488&gt;=26,Coefficients!$M$6,Coefficients!$M$5),Coefficients!$M$4),IF(AN488&gt;=11,IF(AN488&gt;=26,Coefficients!$N$6,Coefficients!$N$5),Coefficients!$N$4))</f>
        <v>1</v>
      </c>
      <c r="AS488" s="27">
        <f>INDEX(Coefficients!$X$3:$X$4,MATCH(S488,Coefficients!$W$3:$W$4))</f>
        <v>1</v>
      </c>
      <c r="AT488" s="27">
        <f>INDEX(Coefficients!$X$7:$X$8,MATCH(O488,Coefficients!$W$7:$W$8))</f>
        <v>1</v>
      </c>
      <c r="AU488" s="27">
        <f>INDEX(Coefficients!$X$11:$X$12,MATCH(P488,Coefficients!$W$11:$W$12))</f>
        <v>1</v>
      </c>
      <c r="AV488" s="27">
        <f>INDEX(Coefficients!$X$15:$X$17,MATCH(Q488,Coefficients!$W$15:$W$17))</f>
        <v>1</v>
      </c>
      <c r="AW488" s="27">
        <f t="shared" si="448"/>
        <v>1</v>
      </c>
      <c r="AX488" s="27">
        <f t="shared" si="449"/>
        <v>1</v>
      </c>
      <c r="AY488" s="27">
        <f t="shared" si="450"/>
        <v>1.3</v>
      </c>
      <c r="AZ488" s="35">
        <f t="shared" si="451"/>
        <v>49.921448091026974</v>
      </c>
      <c r="BA488" s="35">
        <f t="shared" si="452"/>
        <v>0</v>
      </c>
      <c r="BB488" s="35">
        <f t="shared" si="453"/>
        <v>2.5959153007334028</v>
      </c>
      <c r="BC488" s="35">
        <f t="shared" si="454"/>
        <v>1.7404084699266598</v>
      </c>
      <c r="BD488" s="35">
        <f t="shared" si="458"/>
        <v>0.40062940408963932</v>
      </c>
      <c r="BE488" s="16">
        <f t="shared" si="459"/>
        <v>120.87457435346087</v>
      </c>
      <c r="BF488" s="16">
        <f t="shared" si="460"/>
        <v>158.25085129307826</v>
      </c>
      <c r="BG488" s="25">
        <f t="shared" si="461"/>
        <v>1</v>
      </c>
      <c r="BH488" s="35">
        <f t="shared" si="462"/>
        <v>265.92406357761394</v>
      </c>
      <c r="BI488" s="35">
        <f t="shared" si="463"/>
        <v>-131.84812715522787</v>
      </c>
      <c r="BJ488" s="35">
        <f t="shared" si="464"/>
        <v>32.958684342450091</v>
      </c>
    </row>
    <row r="489" spans="2:62">
      <c r="B489" s="35" t="s">
        <v>133</v>
      </c>
      <c r="C489" s="88" t="str">
        <f>'Cooler&amp;Wetter'!$B$1</f>
        <v>MIROC-Medres</v>
      </c>
      <c r="D489" s="89">
        <v>2047</v>
      </c>
      <c r="E489" s="90">
        <f>'Cooler&amp;Wetter'!AB75</f>
        <v>35.584000000000003</v>
      </c>
      <c r="F489" s="90">
        <f>'Cooler&amp;Wetter'!AD75</f>
        <v>23.066499999999998</v>
      </c>
      <c r="G489" s="35">
        <f t="shared" si="444"/>
        <v>2005</v>
      </c>
      <c r="H489" s="91" t="str">
        <f t="shared" si="424"/>
        <v>Pile 32 @ Berth 201</v>
      </c>
      <c r="I489" s="35" t="str">
        <f t="shared" si="425"/>
        <v>Turpentine Gum</v>
      </c>
      <c r="J489" s="35" t="str">
        <f t="shared" si="426"/>
        <v>HW1</v>
      </c>
      <c r="K489" s="35" t="str">
        <f t="shared" si="445"/>
        <v>SPHU</v>
      </c>
      <c r="L489" s="35">
        <f t="shared" si="427"/>
        <v>400</v>
      </c>
      <c r="M489" s="35">
        <f t="shared" si="428"/>
        <v>20</v>
      </c>
      <c r="N489" s="35">
        <f t="shared" si="429"/>
        <v>200</v>
      </c>
      <c r="O489" s="35" t="str">
        <f t="shared" si="430"/>
        <v>MTN2</v>
      </c>
      <c r="P489" s="35" t="str">
        <f t="shared" si="431"/>
        <v>CNT2</v>
      </c>
      <c r="Q489" s="35" t="str">
        <f t="shared" si="432"/>
        <v>KNT3</v>
      </c>
      <c r="R489" s="35" t="str">
        <f t="shared" si="433"/>
        <v>E</v>
      </c>
      <c r="S489" s="35" t="str">
        <f t="shared" si="434"/>
        <v>EXP1</v>
      </c>
      <c r="T489" s="58"/>
      <c r="U489" s="58"/>
      <c r="V489" s="58"/>
      <c r="W489" s="58"/>
      <c r="X489" s="58"/>
      <c r="Y489" s="58"/>
      <c r="Z489" s="58"/>
      <c r="AA489" s="95">
        <f t="shared" si="455"/>
        <v>1</v>
      </c>
      <c r="AB489" s="96">
        <f t="shared" si="446"/>
        <v>123.94331464454328</v>
      </c>
      <c r="AC489" s="58"/>
      <c r="AD489" s="58"/>
      <c r="AE489" s="58"/>
      <c r="AF489" s="58"/>
      <c r="AG489" s="58"/>
      <c r="AH489" s="58"/>
      <c r="AI489" s="58"/>
      <c r="AJ489" s="58"/>
      <c r="AK489" s="58"/>
      <c r="AL489" s="58"/>
      <c r="AM489" s="89">
        <f t="shared" si="447"/>
        <v>42</v>
      </c>
      <c r="AN489" s="36">
        <f t="shared" si="456"/>
        <v>35.584000000000003</v>
      </c>
      <c r="AO489" s="35">
        <f t="shared" si="457"/>
        <v>2.0058339451105351</v>
      </c>
      <c r="AP489" s="35">
        <f>IF((OR(R489="A",R489="B",R489="C")),INDEX(Coefficients!$S$4:$S$22,MATCH(J489,Coefficients!$R$4:$R$22)),INDEX(Coefficients!$T$4:$T$22,MATCH(J489,Coefficients!$R$4:$R$22)))</f>
        <v>1.3</v>
      </c>
      <c r="AQ489" s="27">
        <f>IF((OR(R489="A",R489="B",R489="C")),INDEX(Coefficients!$S$4:$S$22,MATCH(K489,Coefficients!$R$4:$R$22)),INDEX(Coefficients!$T$4:$T$22,MATCH(K489,Coefficients!$R$4:$R$22)))</f>
        <v>25</v>
      </c>
      <c r="AR489" s="27">
        <f>IF(OR(R489="A",R489="B",R489="C",R489="D"),IF(AN489&gt;=11,IF(AN489&gt;=26,Coefficients!$M$6,Coefficients!$M$5),Coefficients!$M$4),IF(AN489&gt;=11,IF(AN489&gt;=26,Coefficients!$N$6,Coefficients!$N$5),Coefficients!$N$4))</f>
        <v>1</v>
      </c>
      <c r="AS489" s="27">
        <f>INDEX(Coefficients!$X$3:$X$4,MATCH(S489,Coefficients!$W$3:$W$4))</f>
        <v>1</v>
      </c>
      <c r="AT489" s="27">
        <f>INDEX(Coefficients!$X$7:$X$8,MATCH(O489,Coefficients!$W$7:$W$8))</f>
        <v>1</v>
      </c>
      <c r="AU489" s="27">
        <f>INDEX(Coefficients!$X$11:$X$12,MATCH(P489,Coefficients!$W$11:$W$12))</f>
        <v>1</v>
      </c>
      <c r="AV489" s="27">
        <f>INDEX(Coefficients!$X$15:$X$17,MATCH(Q489,Coefficients!$W$15:$W$17))</f>
        <v>1</v>
      </c>
      <c r="AW489" s="27">
        <f t="shared" si="448"/>
        <v>1</v>
      </c>
      <c r="AX489" s="27">
        <f t="shared" si="449"/>
        <v>1</v>
      </c>
      <c r="AY489" s="27">
        <f t="shared" si="450"/>
        <v>1.3</v>
      </c>
      <c r="AZ489" s="35">
        <f t="shared" si="451"/>
        <v>50.145848627763378</v>
      </c>
      <c r="BA489" s="35">
        <f t="shared" si="452"/>
        <v>0</v>
      </c>
      <c r="BB489" s="35">
        <f t="shared" si="453"/>
        <v>2.6075841286436958</v>
      </c>
      <c r="BC489" s="35">
        <f t="shared" si="454"/>
        <v>1.7392415871356304</v>
      </c>
      <c r="BD489" s="35">
        <f t="shared" si="458"/>
        <v>0.39883660457043196</v>
      </c>
      <c r="BE489" s="16">
        <f t="shared" si="459"/>
        <v>123.94331464454328</v>
      </c>
      <c r="BF489" s="16">
        <f t="shared" si="460"/>
        <v>152.11337071091344</v>
      </c>
      <c r="BG489" s="25">
        <f t="shared" si="461"/>
        <v>1</v>
      </c>
      <c r="BH489" s="35">
        <f t="shared" si="462"/>
        <v>272.67529221799521</v>
      </c>
      <c r="BI489" s="35">
        <f t="shared" si="463"/>
        <v>-145.35058443599041</v>
      </c>
      <c r="BJ489" s="35">
        <f t="shared" si="464"/>
        <v>32.817817004816206</v>
      </c>
    </row>
    <row r="490" spans="2:62">
      <c r="B490" s="35" t="s">
        <v>133</v>
      </c>
      <c r="C490" s="88" t="str">
        <f>'Cooler&amp;Wetter'!$B$1</f>
        <v>MIROC-Medres</v>
      </c>
      <c r="D490" s="89">
        <v>2048</v>
      </c>
      <c r="E490" s="90">
        <f>'Cooler&amp;Wetter'!AB76</f>
        <v>35.585999999999999</v>
      </c>
      <c r="F490" s="90">
        <f>'Cooler&amp;Wetter'!AD76</f>
        <v>23.100999999999999</v>
      </c>
      <c r="G490" s="35">
        <f t="shared" si="444"/>
        <v>2005</v>
      </c>
      <c r="H490" s="91" t="str">
        <f t="shared" si="424"/>
        <v>Pile 32 @ Berth 201</v>
      </c>
      <c r="I490" s="35" t="str">
        <f t="shared" si="425"/>
        <v>Turpentine Gum</v>
      </c>
      <c r="J490" s="35" t="str">
        <f t="shared" si="426"/>
        <v>HW1</v>
      </c>
      <c r="K490" s="35" t="str">
        <f t="shared" si="445"/>
        <v>SPHU</v>
      </c>
      <c r="L490" s="35">
        <f t="shared" si="427"/>
        <v>400</v>
      </c>
      <c r="M490" s="35">
        <f t="shared" si="428"/>
        <v>20</v>
      </c>
      <c r="N490" s="35">
        <f t="shared" si="429"/>
        <v>200</v>
      </c>
      <c r="O490" s="35" t="str">
        <f t="shared" si="430"/>
        <v>MTN2</v>
      </c>
      <c r="P490" s="35" t="str">
        <f t="shared" si="431"/>
        <v>CNT2</v>
      </c>
      <c r="Q490" s="35" t="str">
        <f t="shared" si="432"/>
        <v>KNT3</v>
      </c>
      <c r="R490" s="35" t="str">
        <f t="shared" si="433"/>
        <v>E</v>
      </c>
      <c r="S490" s="35" t="str">
        <f t="shared" si="434"/>
        <v>EXP1</v>
      </c>
      <c r="T490" s="58"/>
      <c r="U490" s="58"/>
      <c r="V490" s="58"/>
      <c r="W490" s="58"/>
      <c r="X490" s="58"/>
      <c r="Y490" s="58"/>
      <c r="Z490" s="58"/>
      <c r="AA490" s="95">
        <f t="shared" si="455"/>
        <v>1</v>
      </c>
      <c r="AB490" s="96">
        <f t="shared" si="446"/>
        <v>127.03759784256627</v>
      </c>
      <c r="AC490" s="58"/>
      <c r="AD490" s="58"/>
      <c r="AE490" s="58"/>
      <c r="AF490" s="58"/>
      <c r="AG490" s="58"/>
      <c r="AH490" s="58"/>
      <c r="AI490" s="58"/>
      <c r="AJ490" s="58"/>
      <c r="AK490" s="58"/>
      <c r="AL490" s="58"/>
      <c r="AM490" s="89">
        <f t="shared" si="447"/>
        <v>43</v>
      </c>
      <c r="AN490" s="36">
        <f t="shared" si="456"/>
        <v>35.585999999999999</v>
      </c>
      <c r="AO490" s="35">
        <f t="shared" si="457"/>
        <v>2.0148503144487444</v>
      </c>
      <c r="AP490" s="35">
        <f>IF((OR(R490="A",R490="B",R490="C")),INDEX(Coefficients!$S$4:$S$22,MATCH(J490,Coefficients!$R$4:$R$22)),INDEX(Coefficients!$T$4:$T$22,MATCH(J490,Coefficients!$R$4:$R$22)))</f>
        <v>1.3</v>
      </c>
      <c r="AQ490" s="27">
        <f>IF((OR(R490="A",R490="B",R490="C")),INDEX(Coefficients!$S$4:$S$22,MATCH(K490,Coefficients!$R$4:$R$22)),INDEX(Coefficients!$T$4:$T$22,MATCH(K490,Coefficients!$R$4:$R$22)))</f>
        <v>25</v>
      </c>
      <c r="AR490" s="27">
        <f>IF(OR(R490="A",R490="B",R490="C",R490="D"),IF(AN490&gt;=11,IF(AN490&gt;=26,Coefficients!$M$6,Coefficients!$M$5),Coefficients!$M$4),IF(AN490&gt;=11,IF(AN490&gt;=26,Coefficients!$N$6,Coefficients!$N$5),Coefficients!$N$4))</f>
        <v>1</v>
      </c>
      <c r="AS490" s="27">
        <f>INDEX(Coefficients!$X$3:$X$4,MATCH(S490,Coefficients!$W$3:$W$4))</f>
        <v>1</v>
      </c>
      <c r="AT490" s="27">
        <f>INDEX(Coefficients!$X$7:$X$8,MATCH(O490,Coefficients!$W$7:$W$8))</f>
        <v>1</v>
      </c>
      <c r="AU490" s="27">
        <f>INDEX(Coefficients!$X$11:$X$12,MATCH(P490,Coefficients!$W$11:$W$12))</f>
        <v>1</v>
      </c>
      <c r="AV490" s="27">
        <f>INDEX(Coefficients!$X$15:$X$17,MATCH(Q490,Coefficients!$W$15:$W$17))</f>
        <v>1</v>
      </c>
      <c r="AW490" s="27">
        <f t="shared" si="448"/>
        <v>1</v>
      </c>
      <c r="AX490" s="27">
        <f t="shared" si="449"/>
        <v>1</v>
      </c>
      <c r="AY490" s="27">
        <f t="shared" si="450"/>
        <v>1.3</v>
      </c>
      <c r="AZ490" s="35">
        <f t="shared" si="451"/>
        <v>50.371257861218609</v>
      </c>
      <c r="BA490" s="35">
        <f t="shared" si="452"/>
        <v>0</v>
      </c>
      <c r="BB490" s="35">
        <f t="shared" si="453"/>
        <v>2.6193054087833678</v>
      </c>
      <c r="BC490" s="35">
        <f t="shared" si="454"/>
        <v>1.7380694591216632</v>
      </c>
      <c r="BD490" s="35">
        <f t="shared" si="458"/>
        <v>0.39705182775271175</v>
      </c>
      <c r="BE490" s="16">
        <f t="shared" si="459"/>
        <v>127.03759784256627</v>
      </c>
      <c r="BF490" s="16">
        <f t="shared" si="460"/>
        <v>145.92480431486746</v>
      </c>
      <c r="BG490" s="25">
        <f t="shared" si="461"/>
        <v>1</v>
      </c>
      <c r="BH490" s="35">
        <f t="shared" si="462"/>
        <v>279.48271525364584</v>
      </c>
      <c r="BI490" s="35">
        <f t="shared" si="463"/>
        <v>-158.96543050729167</v>
      </c>
      <c r="BJ490" s="35">
        <f t="shared" si="464"/>
        <v>32.67756957554451</v>
      </c>
    </row>
    <row r="491" spans="2:62">
      <c r="B491" s="35" t="s">
        <v>133</v>
      </c>
      <c r="C491" s="88" t="str">
        <f>'Cooler&amp;Wetter'!$B$1</f>
        <v>MIROC-Medres</v>
      </c>
      <c r="D491" s="89">
        <v>2049</v>
      </c>
      <c r="E491" s="90">
        <f>'Cooler&amp;Wetter'!AB77</f>
        <v>35.588000000000001</v>
      </c>
      <c r="F491" s="90">
        <f>'Cooler&amp;Wetter'!AD77</f>
        <v>23.1355</v>
      </c>
      <c r="G491" s="35">
        <f t="shared" si="444"/>
        <v>2005</v>
      </c>
      <c r="H491" s="91" t="str">
        <f t="shared" si="424"/>
        <v>Pile 32 @ Berth 201</v>
      </c>
      <c r="I491" s="35" t="str">
        <f t="shared" si="425"/>
        <v>Turpentine Gum</v>
      </c>
      <c r="J491" s="35" t="str">
        <f t="shared" si="426"/>
        <v>HW1</v>
      </c>
      <c r="K491" s="35" t="str">
        <f t="shared" si="445"/>
        <v>SPHU</v>
      </c>
      <c r="L491" s="35">
        <f t="shared" si="427"/>
        <v>400</v>
      </c>
      <c r="M491" s="35">
        <f t="shared" si="428"/>
        <v>20</v>
      </c>
      <c r="N491" s="35">
        <f t="shared" si="429"/>
        <v>200</v>
      </c>
      <c r="O491" s="35" t="str">
        <f t="shared" si="430"/>
        <v>MTN2</v>
      </c>
      <c r="P491" s="35" t="str">
        <f t="shared" si="431"/>
        <v>CNT2</v>
      </c>
      <c r="Q491" s="35" t="str">
        <f t="shared" si="432"/>
        <v>KNT3</v>
      </c>
      <c r="R491" s="35" t="str">
        <f t="shared" si="433"/>
        <v>E</v>
      </c>
      <c r="S491" s="35" t="str">
        <f t="shared" si="434"/>
        <v>EXP1</v>
      </c>
      <c r="T491" s="58"/>
      <c r="U491" s="58"/>
      <c r="V491" s="58"/>
      <c r="W491" s="58"/>
      <c r="X491" s="58"/>
      <c r="Y491" s="58"/>
      <c r="Z491" s="58"/>
      <c r="AA491" s="95">
        <f t="shared" si="455"/>
        <v>1</v>
      </c>
      <c r="AB491" s="96">
        <f t="shared" si="446"/>
        <v>130.1575916997881</v>
      </c>
      <c r="AC491" s="58"/>
      <c r="AD491" s="58"/>
      <c r="AE491" s="58"/>
      <c r="AF491" s="58"/>
      <c r="AG491" s="58"/>
      <c r="AH491" s="58"/>
      <c r="AI491" s="58"/>
      <c r="AJ491" s="58"/>
      <c r="AK491" s="58"/>
      <c r="AL491" s="58"/>
      <c r="AM491" s="89">
        <f t="shared" si="447"/>
        <v>44</v>
      </c>
      <c r="AN491" s="36">
        <f t="shared" si="456"/>
        <v>35.588000000000001</v>
      </c>
      <c r="AO491" s="35">
        <f t="shared" si="457"/>
        <v>2.0239072130223077</v>
      </c>
      <c r="AP491" s="35">
        <f>IF((OR(R491="A",R491="B",R491="C")),INDEX(Coefficients!$S$4:$S$22,MATCH(J491,Coefficients!$R$4:$R$22)),INDEX(Coefficients!$T$4:$T$22,MATCH(J491,Coefficients!$R$4:$R$22)))</f>
        <v>1.3</v>
      </c>
      <c r="AQ491" s="27">
        <f>IF((OR(R491="A",R491="B",R491="C")),INDEX(Coefficients!$S$4:$S$22,MATCH(K491,Coefficients!$R$4:$R$22)),INDEX(Coefficients!$T$4:$T$22,MATCH(K491,Coefficients!$R$4:$R$22)))</f>
        <v>25</v>
      </c>
      <c r="AR491" s="27">
        <f>IF(OR(R491="A",R491="B",R491="C",R491="D"),IF(AN491&gt;=11,IF(AN491&gt;=26,Coefficients!$M$6,Coefficients!$M$5),Coefficients!$M$4),IF(AN491&gt;=11,IF(AN491&gt;=26,Coefficients!$N$6,Coefficients!$N$5),Coefficients!$N$4))</f>
        <v>1</v>
      </c>
      <c r="AS491" s="27">
        <f>INDEX(Coefficients!$X$3:$X$4,MATCH(S491,Coefficients!$W$3:$W$4))</f>
        <v>1</v>
      </c>
      <c r="AT491" s="27">
        <f>INDEX(Coefficients!$X$7:$X$8,MATCH(O491,Coefficients!$W$7:$W$8))</f>
        <v>1</v>
      </c>
      <c r="AU491" s="27">
        <f>INDEX(Coefficients!$X$11:$X$12,MATCH(P491,Coefficients!$W$11:$W$12))</f>
        <v>1</v>
      </c>
      <c r="AV491" s="27">
        <f>INDEX(Coefficients!$X$15:$X$17,MATCH(Q491,Coefficients!$W$15:$W$17))</f>
        <v>1</v>
      </c>
      <c r="AW491" s="27">
        <f t="shared" si="448"/>
        <v>1</v>
      </c>
      <c r="AX491" s="27">
        <f t="shared" si="449"/>
        <v>1</v>
      </c>
      <c r="AY491" s="27">
        <f t="shared" si="450"/>
        <v>1.3</v>
      </c>
      <c r="AZ491" s="35">
        <f t="shared" si="451"/>
        <v>50.59768032555769</v>
      </c>
      <c r="BA491" s="35">
        <f t="shared" si="452"/>
        <v>0</v>
      </c>
      <c r="BB491" s="35">
        <f t="shared" si="453"/>
        <v>2.6310793769290002</v>
      </c>
      <c r="BC491" s="35">
        <f t="shared" si="454"/>
        <v>1.7368920623071</v>
      </c>
      <c r="BD491" s="35">
        <f t="shared" si="458"/>
        <v>0.39527503773523159</v>
      </c>
      <c r="BE491" s="16">
        <f t="shared" si="459"/>
        <v>130.1575916997881</v>
      </c>
      <c r="BF491" s="16">
        <f t="shared" si="460"/>
        <v>139.6848166004238</v>
      </c>
      <c r="BG491" s="25">
        <f t="shared" si="461"/>
        <v>1</v>
      </c>
      <c r="BH491" s="35">
        <f t="shared" si="462"/>
        <v>286.34670173953384</v>
      </c>
      <c r="BI491" s="35">
        <f t="shared" si="463"/>
        <v>-172.69340347906768</v>
      </c>
      <c r="BJ491" s="35">
        <f t="shared" si="464"/>
        <v>32.537939233521683</v>
      </c>
    </row>
    <row r="492" spans="2:62">
      <c r="B492" s="35" t="s">
        <v>133</v>
      </c>
      <c r="C492" s="88" t="str">
        <f>'Cooler&amp;Wetter'!$B$1</f>
        <v>MIROC-Medres</v>
      </c>
      <c r="D492" s="89">
        <v>2050</v>
      </c>
      <c r="E492" s="90">
        <f>'Cooler&amp;Wetter'!AB78</f>
        <v>35.590000000000003</v>
      </c>
      <c r="F492" s="90">
        <f>'Cooler&amp;Wetter'!AD78</f>
        <v>23.17</v>
      </c>
      <c r="G492" s="35">
        <f t="shared" si="444"/>
        <v>2005</v>
      </c>
      <c r="H492" s="91" t="str">
        <f t="shared" si="424"/>
        <v>Pile 32 @ Berth 201</v>
      </c>
      <c r="I492" s="35" t="str">
        <f t="shared" si="425"/>
        <v>Turpentine Gum</v>
      </c>
      <c r="J492" s="35" t="str">
        <f t="shared" si="426"/>
        <v>HW1</v>
      </c>
      <c r="K492" s="35" t="str">
        <f t="shared" si="445"/>
        <v>SPHU</v>
      </c>
      <c r="L492" s="35">
        <f t="shared" si="427"/>
        <v>400</v>
      </c>
      <c r="M492" s="35">
        <f t="shared" si="428"/>
        <v>20</v>
      </c>
      <c r="N492" s="35">
        <f t="shared" si="429"/>
        <v>200</v>
      </c>
      <c r="O492" s="35" t="str">
        <f t="shared" si="430"/>
        <v>MTN2</v>
      </c>
      <c r="P492" s="35" t="str">
        <f t="shared" si="431"/>
        <v>CNT2</v>
      </c>
      <c r="Q492" s="35" t="str">
        <f t="shared" si="432"/>
        <v>KNT3</v>
      </c>
      <c r="R492" s="35" t="str">
        <f t="shared" si="433"/>
        <v>E</v>
      </c>
      <c r="S492" s="35" t="str">
        <f t="shared" si="434"/>
        <v>EXP1</v>
      </c>
      <c r="T492" s="58"/>
      <c r="U492" s="58"/>
      <c r="V492" s="58"/>
      <c r="W492" s="58"/>
      <c r="X492" s="58"/>
      <c r="Y492" s="58"/>
      <c r="Z492" s="58"/>
      <c r="AA492" s="95">
        <f t="shared" si="455"/>
        <v>1</v>
      </c>
      <c r="AB492" s="96">
        <f t="shared" si="446"/>
        <v>133.30346496158796</v>
      </c>
      <c r="AC492" s="58"/>
      <c r="AD492" s="58"/>
      <c r="AE492" s="58"/>
      <c r="AF492" s="58"/>
      <c r="AG492" s="58"/>
      <c r="AH492" s="58"/>
      <c r="AI492" s="58"/>
      <c r="AJ492" s="58"/>
      <c r="AK492" s="58"/>
      <c r="AL492" s="58"/>
      <c r="AM492" s="89">
        <f t="shared" si="447"/>
        <v>45</v>
      </c>
      <c r="AN492" s="36">
        <f t="shared" si="456"/>
        <v>35.590000000000003</v>
      </c>
      <c r="AO492" s="35">
        <f t="shared" si="457"/>
        <v>2.0330048230130826</v>
      </c>
      <c r="AP492" s="35">
        <f>IF((OR(R492="A",R492="B",R492="C")),INDEX(Coefficients!$S$4:$S$22,MATCH(J492,Coefficients!$R$4:$R$22)),INDEX(Coefficients!$T$4:$T$22,MATCH(J492,Coefficients!$R$4:$R$22)))</f>
        <v>1.3</v>
      </c>
      <c r="AQ492" s="27">
        <f>IF((OR(R492="A",R492="B",R492="C")),INDEX(Coefficients!$S$4:$S$22,MATCH(K492,Coefficients!$R$4:$R$22)),INDEX(Coefficients!$T$4:$T$22,MATCH(K492,Coefficients!$R$4:$R$22)))</f>
        <v>25</v>
      </c>
      <c r="AR492" s="27">
        <f>IF(OR(R492="A",R492="B",R492="C",R492="D"),IF(AN492&gt;=11,IF(AN492&gt;=26,Coefficients!$M$6,Coefficients!$M$5),Coefficients!$M$4),IF(AN492&gt;=11,IF(AN492&gt;=26,Coefficients!$N$6,Coefficients!$N$5),Coefficients!$N$4))</f>
        <v>1</v>
      </c>
      <c r="AS492" s="27">
        <f>INDEX(Coefficients!$X$3:$X$4,MATCH(S492,Coefficients!$W$3:$W$4))</f>
        <v>1</v>
      </c>
      <c r="AT492" s="27">
        <f>INDEX(Coefficients!$X$7:$X$8,MATCH(O492,Coefficients!$W$7:$W$8))</f>
        <v>1</v>
      </c>
      <c r="AU492" s="27">
        <f>INDEX(Coefficients!$X$11:$X$12,MATCH(P492,Coefficients!$W$11:$W$12))</f>
        <v>1</v>
      </c>
      <c r="AV492" s="27">
        <f>INDEX(Coefficients!$X$15:$X$17,MATCH(Q492,Coefficients!$W$15:$W$17))</f>
        <v>1</v>
      </c>
      <c r="AW492" s="27">
        <f t="shared" si="448"/>
        <v>1</v>
      </c>
      <c r="AX492" s="27">
        <f t="shared" si="449"/>
        <v>1</v>
      </c>
      <c r="AY492" s="27">
        <f t="shared" si="450"/>
        <v>1.3</v>
      </c>
      <c r="AZ492" s="35">
        <f t="shared" si="451"/>
        <v>50.825120575327063</v>
      </c>
      <c r="BA492" s="35">
        <f t="shared" si="452"/>
        <v>0</v>
      </c>
      <c r="BB492" s="35">
        <f t="shared" si="453"/>
        <v>2.6429062699170074</v>
      </c>
      <c r="BC492" s="35">
        <f t="shared" si="454"/>
        <v>1.7357093730082993</v>
      </c>
      <c r="BD492" s="35">
        <f t="shared" si="458"/>
        <v>0.39350619877740051</v>
      </c>
      <c r="BE492" s="16">
        <f t="shared" si="459"/>
        <v>133.30346496158796</v>
      </c>
      <c r="BF492" s="16">
        <f t="shared" si="460"/>
        <v>133.39307007682407</v>
      </c>
      <c r="BG492" s="25">
        <f t="shared" si="461"/>
        <v>1</v>
      </c>
      <c r="BH492" s="35">
        <f t="shared" si="462"/>
        <v>293.26762291549352</v>
      </c>
      <c r="BI492" s="35">
        <f t="shared" si="463"/>
        <v>-186.53524583098704</v>
      </c>
      <c r="BJ492" s="35">
        <f t="shared" si="464"/>
        <v>32.398923170047276</v>
      </c>
    </row>
    <row r="493" spans="2:62">
      <c r="B493" s="35" t="s">
        <v>133</v>
      </c>
      <c r="C493" s="88" t="str">
        <f>'Cooler&amp;Wetter'!$B$1</f>
        <v>MIROC-Medres</v>
      </c>
      <c r="D493" s="89">
        <v>2051</v>
      </c>
      <c r="E493" s="90">
        <f>'Cooler&amp;Wetter'!AB79</f>
        <v>35.591500000000003</v>
      </c>
      <c r="F493" s="90">
        <f>'Cooler&amp;Wetter'!AD79</f>
        <v>23.202999999999999</v>
      </c>
      <c r="G493" s="35">
        <f t="shared" si="444"/>
        <v>2005</v>
      </c>
      <c r="H493" s="91" t="str">
        <f t="shared" si="424"/>
        <v>Pile 32 @ Berth 201</v>
      </c>
      <c r="I493" s="35" t="str">
        <f t="shared" si="425"/>
        <v>Turpentine Gum</v>
      </c>
      <c r="J493" s="35" t="str">
        <f t="shared" si="426"/>
        <v>HW1</v>
      </c>
      <c r="K493" s="35" t="str">
        <f t="shared" si="445"/>
        <v>SPHU</v>
      </c>
      <c r="L493" s="35">
        <f t="shared" si="427"/>
        <v>400</v>
      </c>
      <c r="M493" s="35">
        <f t="shared" si="428"/>
        <v>20</v>
      </c>
      <c r="N493" s="35">
        <f t="shared" si="429"/>
        <v>200</v>
      </c>
      <c r="O493" s="35" t="str">
        <f t="shared" si="430"/>
        <v>MTN2</v>
      </c>
      <c r="P493" s="35" t="str">
        <f t="shared" si="431"/>
        <v>CNT2</v>
      </c>
      <c r="Q493" s="35" t="str">
        <f t="shared" si="432"/>
        <v>KNT3</v>
      </c>
      <c r="R493" s="35" t="str">
        <f t="shared" si="433"/>
        <v>E</v>
      </c>
      <c r="S493" s="35" t="str">
        <f t="shared" si="434"/>
        <v>EXP1</v>
      </c>
      <c r="T493" s="58"/>
      <c r="U493" s="58"/>
      <c r="V493" s="58"/>
      <c r="W493" s="58"/>
      <c r="X493" s="58"/>
      <c r="Y493" s="58"/>
      <c r="Z493" s="58"/>
      <c r="AA493" s="95">
        <f t="shared" si="455"/>
        <v>1</v>
      </c>
      <c r="AB493" s="96">
        <f t="shared" si="446"/>
        <v>136.45233671192307</v>
      </c>
      <c r="AC493" s="58"/>
      <c r="AD493" s="58"/>
      <c r="AE493" s="58"/>
      <c r="AF493" s="58"/>
      <c r="AG493" s="58"/>
      <c r="AH493" s="58"/>
      <c r="AI493" s="58"/>
      <c r="AJ493" s="58"/>
      <c r="AK493" s="58"/>
      <c r="AL493" s="58"/>
      <c r="AM493" s="89">
        <f t="shared" si="447"/>
        <v>46</v>
      </c>
      <c r="AN493" s="36">
        <f t="shared" si="456"/>
        <v>35.591500000000003</v>
      </c>
      <c r="AO493" s="35">
        <f t="shared" si="457"/>
        <v>2.041745148296727</v>
      </c>
      <c r="AP493" s="35">
        <f>IF((OR(R493="A",R493="B",R493="C")),INDEX(Coefficients!$S$4:$S$22,MATCH(J493,Coefficients!$R$4:$R$22)),INDEX(Coefficients!$T$4:$T$22,MATCH(J493,Coefficients!$R$4:$R$22)))</f>
        <v>1.3</v>
      </c>
      <c r="AQ493" s="27">
        <f>IF((OR(R493="A",R493="B",R493="C")),INDEX(Coefficients!$S$4:$S$22,MATCH(K493,Coefficients!$R$4:$R$22)),INDEX(Coefficients!$T$4:$T$22,MATCH(K493,Coefficients!$R$4:$R$22)))</f>
        <v>25</v>
      </c>
      <c r="AR493" s="27">
        <f>IF(OR(R493="A",R493="B",R493="C",R493="D"),IF(AN493&gt;=11,IF(AN493&gt;=26,Coefficients!$M$6,Coefficients!$M$5),Coefficients!$M$4),IF(AN493&gt;=11,IF(AN493&gt;=26,Coefficients!$N$6,Coefficients!$N$5),Coefficients!$N$4))</f>
        <v>1</v>
      </c>
      <c r="AS493" s="27">
        <f>INDEX(Coefficients!$X$3:$X$4,MATCH(S493,Coefficients!$W$3:$W$4))</f>
        <v>1</v>
      </c>
      <c r="AT493" s="27">
        <f>INDEX(Coefficients!$X$7:$X$8,MATCH(O493,Coefficients!$W$7:$W$8))</f>
        <v>1</v>
      </c>
      <c r="AU493" s="27">
        <f>INDEX(Coefficients!$X$11:$X$12,MATCH(P493,Coefficients!$W$11:$W$12))</f>
        <v>1</v>
      </c>
      <c r="AV493" s="27">
        <f>INDEX(Coefficients!$X$15:$X$17,MATCH(Q493,Coefficients!$W$15:$W$17))</f>
        <v>1</v>
      </c>
      <c r="AW493" s="27">
        <f t="shared" si="448"/>
        <v>1</v>
      </c>
      <c r="AX493" s="27">
        <f t="shared" si="449"/>
        <v>1</v>
      </c>
      <c r="AY493" s="27">
        <f t="shared" si="450"/>
        <v>1.3</v>
      </c>
      <c r="AZ493" s="35">
        <f t="shared" si="451"/>
        <v>51.043628707418179</v>
      </c>
      <c r="BA493" s="35">
        <f t="shared" si="452"/>
        <v>0</v>
      </c>
      <c r="BB493" s="35">
        <f t="shared" si="453"/>
        <v>2.6542686927857453</v>
      </c>
      <c r="BC493" s="35">
        <f t="shared" si="454"/>
        <v>1.7345731307214254</v>
      </c>
      <c r="BD493" s="35">
        <f t="shared" si="458"/>
        <v>0.39182167307578969</v>
      </c>
      <c r="BE493" s="16">
        <f t="shared" si="459"/>
        <v>136.45233671192307</v>
      </c>
      <c r="BF493" s="16">
        <f t="shared" si="460"/>
        <v>127.09532657615387</v>
      </c>
      <c r="BG493" s="25">
        <f t="shared" si="461"/>
        <v>1</v>
      </c>
      <c r="BH493" s="35">
        <f t="shared" si="462"/>
        <v>300.19514076623079</v>
      </c>
      <c r="BI493" s="35">
        <f t="shared" si="463"/>
        <v>-200.39028153246159</v>
      </c>
      <c r="BJ493" s="35">
        <f t="shared" si="464"/>
        <v>32.266523501934884</v>
      </c>
    </row>
    <row r="494" spans="2:62">
      <c r="B494" s="35" t="s">
        <v>133</v>
      </c>
      <c r="C494" s="88" t="str">
        <f>'Cooler&amp;Wetter'!$B$1</f>
        <v>MIROC-Medres</v>
      </c>
      <c r="D494" s="89">
        <v>2052</v>
      </c>
      <c r="E494" s="90">
        <f>'Cooler&amp;Wetter'!AB80</f>
        <v>35.593000000000004</v>
      </c>
      <c r="F494" s="90">
        <f>'Cooler&amp;Wetter'!AD80</f>
        <v>23.236000000000001</v>
      </c>
      <c r="G494" s="35">
        <f t="shared" si="444"/>
        <v>2005</v>
      </c>
      <c r="H494" s="91" t="str">
        <f t="shared" si="424"/>
        <v>Pile 32 @ Berth 201</v>
      </c>
      <c r="I494" s="35" t="str">
        <f t="shared" si="425"/>
        <v>Turpentine Gum</v>
      </c>
      <c r="J494" s="35" t="str">
        <f t="shared" si="426"/>
        <v>HW1</v>
      </c>
      <c r="K494" s="35" t="str">
        <f t="shared" si="445"/>
        <v>SPHU</v>
      </c>
      <c r="L494" s="35">
        <f t="shared" si="427"/>
        <v>400</v>
      </c>
      <c r="M494" s="35">
        <f t="shared" si="428"/>
        <v>20</v>
      </c>
      <c r="N494" s="35">
        <f t="shared" si="429"/>
        <v>200</v>
      </c>
      <c r="O494" s="35" t="str">
        <f t="shared" si="430"/>
        <v>MTN2</v>
      </c>
      <c r="P494" s="35" t="str">
        <f t="shared" si="431"/>
        <v>CNT2</v>
      </c>
      <c r="Q494" s="35" t="str">
        <f t="shared" si="432"/>
        <v>KNT3</v>
      </c>
      <c r="R494" s="35" t="str">
        <f t="shared" si="433"/>
        <v>E</v>
      </c>
      <c r="S494" s="35" t="str">
        <f t="shared" si="434"/>
        <v>EXP1</v>
      </c>
      <c r="T494" s="58"/>
      <c r="U494" s="58"/>
      <c r="V494" s="58"/>
      <c r="W494" s="58"/>
      <c r="X494" s="58"/>
      <c r="Y494" s="58"/>
      <c r="Z494" s="58"/>
      <c r="AA494" s="95">
        <f t="shared" si="455"/>
        <v>1</v>
      </c>
      <c r="AB494" s="96">
        <f t="shared" si="446"/>
        <v>139.62618339967668</v>
      </c>
      <c r="AC494" s="58"/>
      <c r="AD494" s="58"/>
      <c r="AE494" s="58"/>
      <c r="AF494" s="58"/>
      <c r="AG494" s="58"/>
      <c r="AH494" s="58"/>
      <c r="AI494" s="58"/>
      <c r="AJ494" s="58"/>
      <c r="AK494" s="58"/>
      <c r="AL494" s="58"/>
      <c r="AM494" s="89">
        <f t="shared" si="447"/>
        <v>47</v>
      </c>
      <c r="AN494" s="36">
        <f t="shared" si="456"/>
        <v>35.593000000000004</v>
      </c>
      <c r="AO494" s="35">
        <f t="shared" si="457"/>
        <v>2.0505230501198866</v>
      </c>
      <c r="AP494" s="35">
        <f>IF((OR(R494="A",R494="B",R494="C")),INDEX(Coefficients!$S$4:$S$22,MATCH(J494,Coefficients!$R$4:$R$22)),INDEX(Coefficients!$T$4:$T$22,MATCH(J494,Coefficients!$R$4:$R$22)))</f>
        <v>1.3</v>
      </c>
      <c r="AQ494" s="27">
        <f>IF((OR(R494="A",R494="B",R494="C")),INDEX(Coefficients!$S$4:$S$22,MATCH(K494,Coefficients!$R$4:$R$22)),INDEX(Coefficients!$T$4:$T$22,MATCH(K494,Coefficients!$R$4:$R$22)))</f>
        <v>25</v>
      </c>
      <c r="AR494" s="27">
        <f>IF(OR(R494="A",R494="B",R494="C",R494="D"),IF(AN494&gt;=11,IF(AN494&gt;=26,Coefficients!$M$6,Coefficients!$M$5),Coefficients!$M$4),IF(AN494&gt;=11,IF(AN494&gt;=26,Coefficients!$N$6,Coefficients!$N$5),Coefficients!$N$4))</f>
        <v>1</v>
      </c>
      <c r="AS494" s="27">
        <f>INDEX(Coefficients!$X$3:$X$4,MATCH(S494,Coefficients!$W$3:$W$4))</f>
        <v>1</v>
      </c>
      <c r="AT494" s="27">
        <f>INDEX(Coefficients!$X$7:$X$8,MATCH(O494,Coefficients!$W$7:$W$8))</f>
        <v>1</v>
      </c>
      <c r="AU494" s="27">
        <f>INDEX(Coefficients!$X$11:$X$12,MATCH(P494,Coefficients!$W$11:$W$12))</f>
        <v>1</v>
      </c>
      <c r="AV494" s="27">
        <f>INDEX(Coefficients!$X$15:$X$17,MATCH(Q494,Coefficients!$W$15:$W$17))</f>
        <v>1</v>
      </c>
      <c r="AW494" s="27">
        <f t="shared" si="448"/>
        <v>1</v>
      </c>
      <c r="AX494" s="27">
        <f t="shared" si="449"/>
        <v>1</v>
      </c>
      <c r="AY494" s="27">
        <f t="shared" si="450"/>
        <v>1.3</v>
      </c>
      <c r="AZ494" s="35">
        <f t="shared" si="451"/>
        <v>51.263076252997166</v>
      </c>
      <c r="BA494" s="35">
        <f t="shared" si="452"/>
        <v>0</v>
      </c>
      <c r="BB494" s="35">
        <f t="shared" si="453"/>
        <v>2.6656799651558525</v>
      </c>
      <c r="BC494" s="35">
        <f t="shared" si="454"/>
        <v>1.7334320034844146</v>
      </c>
      <c r="BD494" s="35">
        <f t="shared" si="458"/>
        <v>0.39014435851049173</v>
      </c>
      <c r="BE494" s="16">
        <f t="shared" si="459"/>
        <v>139.62618339967668</v>
      </c>
      <c r="BF494" s="16">
        <f t="shared" si="460"/>
        <v>120.74763320064665</v>
      </c>
      <c r="BG494" s="25">
        <f t="shared" si="461"/>
        <v>1</v>
      </c>
      <c r="BH494" s="35">
        <f t="shared" si="462"/>
        <v>307.17760347928873</v>
      </c>
      <c r="BI494" s="35">
        <f t="shared" si="463"/>
        <v>-214.35520695857747</v>
      </c>
      <c r="BJ494" s="35">
        <f t="shared" si="464"/>
        <v>32.134680862801957</v>
      </c>
    </row>
    <row r="495" spans="2:62">
      <c r="B495" s="35" t="s">
        <v>133</v>
      </c>
      <c r="C495" s="88" t="str">
        <f>'Cooler&amp;Wetter'!$B$1</f>
        <v>MIROC-Medres</v>
      </c>
      <c r="D495" s="89">
        <v>2053</v>
      </c>
      <c r="E495" s="90">
        <f>'Cooler&amp;Wetter'!AB81</f>
        <v>35.594499999999996</v>
      </c>
      <c r="F495" s="90">
        <f>'Cooler&amp;Wetter'!AD81</f>
        <v>23.268999999999998</v>
      </c>
      <c r="G495" s="35">
        <f t="shared" si="444"/>
        <v>2005</v>
      </c>
      <c r="H495" s="91" t="str">
        <f t="shared" si="424"/>
        <v>Pile 32 @ Berth 201</v>
      </c>
      <c r="I495" s="35" t="str">
        <f t="shared" si="425"/>
        <v>Turpentine Gum</v>
      </c>
      <c r="J495" s="35" t="str">
        <f t="shared" si="426"/>
        <v>HW1</v>
      </c>
      <c r="K495" s="35" t="str">
        <f t="shared" si="445"/>
        <v>SPHU</v>
      </c>
      <c r="L495" s="35">
        <f t="shared" si="427"/>
        <v>400</v>
      </c>
      <c r="M495" s="35">
        <f t="shared" si="428"/>
        <v>20</v>
      </c>
      <c r="N495" s="35">
        <f t="shared" si="429"/>
        <v>200</v>
      </c>
      <c r="O495" s="35" t="str">
        <f t="shared" si="430"/>
        <v>MTN2</v>
      </c>
      <c r="P495" s="35" t="str">
        <f t="shared" si="431"/>
        <v>CNT2</v>
      </c>
      <c r="Q495" s="35" t="str">
        <f t="shared" si="432"/>
        <v>KNT3</v>
      </c>
      <c r="R495" s="35" t="str">
        <f t="shared" si="433"/>
        <v>E</v>
      </c>
      <c r="S495" s="35" t="str">
        <f t="shared" si="434"/>
        <v>EXP1</v>
      </c>
      <c r="T495" s="58"/>
      <c r="U495" s="58"/>
      <c r="V495" s="58"/>
      <c r="W495" s="58"/>
      <c r="X495" s="58"/>
      <c r="Y495" s="58"/>
      <c r="Z495" s="58"/>
      <c r="AA495" s="95">
        <f t="shared" si="455"/>
        <v>1</v>
      </c>
      <c r="AB495" s="96">
        <f t="shared" si="446"/>
        <v>142.82516168092945</v>
      </c>
      <c r="AC495" s="58"/>
      <c r="AD495" s="58"/>
      <c r="AE495" s="58"/>
      <c r="AF495" s="58"/>
      <c r="AG495" s="58"/>
      <c r="AH495" s="58"/>
      <c r="AI495" s="58"/>
      <c r="AJ495" s="58"/>
      <c r="AK495" s="58"/>
      <c r="AL495" s="58"/>
      <c r="AM495" s="89">
        <f t="shared" si="447"/>
        <v>48</v>
      </c>
      <c r="AN495" s="36">
        <f t="shared" si="456"/>
        <v>35.594499999999996</v>
      </c>
      <c r="AO495" s="35">
        <f t="shared" si="457"/>
        <v>2.0593386900321895</v>
      </c>
      <c r="AP495" s="35">
        <f>IF((OR(R495="A",R495="B",R495="C")),INDEX(Coefficients!$S$4:$S$22,MATCH(J495,Coefficients!$R$4:$R$22)),INDEX(Coefficients!$T$4:$T$22,MATCH(J495,Coefficients!$R$4:$R$22)))</f>
        <v>1.3</v>
      </c>
      <c r="AQ495" s="27">
        <f>IF((OR(R495="A",R495="B",R495="C")),INDEX(Coefficients!$S$4:$S$22,MATCH(K495,Coefficients!$R$4:$R$22)),INDEX(Coefficients!$T$4:$T$22,MATCH(K495,Coefficients!$R$4:$R$22)))</f>
        <v>25</v>
      </c>
      <c r="AR495" s="27">
        <f>IF(OR(R495="A",R495="B",R495="C",R495="D"),IF(AN495&gt;=11,IF(AN495&gt;=26,Coefficients!$M$6,Coefficients!$M$5),Coefficients!$M$4),IF(AN495&gt;=11,IF(AN495&gt;=26,Coefficients!$N$6,Coefficients!$N$5),Coefficients!$N$4))</f>
        <v>1</v>
      </c>
      <c r="AS495" s="27">
        <f>INDEX(Coefficients!$X$3:$X$4,MATCH(S495,Coefficients!$W$3:$W$4))</f>
        <v>1</v>
      </c>
      <c r="AT495" s="27">
        <f>INDEX(Coefficients!$X$7:$X$8,MATCH(O495,Coefficients!$W$7:$W$8))</f>
        <v>1</v>
      </c>
      <c r="AU495" s="27">
        <f>INDEX(Coefficients!$X$11:$X$12,MATCH(P495,Coefficients!$W$11:$W$12))</f>
        <v>1</v>
      </c>
      <c r="AV495" s="27">
        <f>INDEX(Coefficients!$X$15:$X$17,MATCH(Q495,Coefficients!$W$15:$W$17))</f>
        <v>1</v>
      </c>
      <c r="AW495" s="27">
        <f t="shared" si="448"/>
        <v>1</v>
      </c>
      <c r="AX495" s="27">
        <f t="shared" si="449"/>
        <v>1</v>
      </c>
      <c r="AY495" s="27">
        <f t="shared" si="450"/>
        <v>1.3</v>
      </c>
      <c r="AZ495" s="35">
        <f t="shared" si="451"/>
        <v>51.483467250804736</v>
      </c>
      <c r="BA495" s="35">
        <f t="shared" si="452"/>
        <v>0</v>
      </c>
      <c r="BB495" s="35">
        <f t="shared" si="453"/>
        <v>2.6771402970418463</v>
      </c>
      <c r="BC495" s="35">
        <f t="shared" si="454"/>
        <v>1.7322859702958153</v>
      </c>
      <c r="BD495" s="35">
        <f t="shared" si="458"/>
        <v>0.38847422421199457</v>
      </c>
      <c r="BE495" s="16">
        <f t="shared" si="459"/>
        <v>142.82516168092945</v>
      </c>
      <c r="BF495" s="16">
        <f t="shared" si="460"/>
        <v>114.34967663814109</v>
      </c>
      <c r="BG495" s="25">
        <f t="shared" si="461"/>
        <v>1</v>
      </c>
      <c r="BH495" s="35">
        <f t="shared" si="462"/>
        <v>314.21535569804485</v>
      </c>
      <c r="BI495" s="35">
        <f t="shared" si="463"/>
        <v>-228.43071139608969</v>
      </c>
      <c r="BJ495" s="35">
        <f t="shared" si="464"/>
        <v>32.0033928261997</v>
      </c>
    </row>
    <row r="496" spans="2:62">
      <c r="B496" s="35" t="s">
        <v>133</v>
      </c>
      <c r="C496" s="88" t="str">
        <f>'Cooler&amp;Wetter'!$B$1</f>
        <v>MIROC-Medres</v>
      </c>
      <c r="D496" s="89">
        <v>2054</v>
      </c>
      <c r="E496" s="90">
        <f>'Cooler&amp;Wetter'!AB82</f>
        <v>35.595999999999997</v>
      </c>
      <c r="F496" s="90">
        <f>'Cooler&amp;Wetter'!AD82</f>
        <v>23.302</v>
      </c>
      <c r="G496" s="35">
        <f t="shared" si="444"/>
        <v>2005</v>
      </c>
      <c r="H496" s="91" t="str">
        <f t="shared" si="424"/>
        <v>Pile 32 @ Berth 201</v>
      </c>
      <c r="I496" s="35" t="str">
        <f t="shared" si="425"/>
        <v>Turpentine Gum</v>
      </c>
      <c r="J496" s="35" t="str">
        <f t="shared" si="426"/>
        <v>HW1</v>
      </c>
      <c r="K496" s="35" t="str">
        <f t="shared" si="445"/>
        <v>SPHU</v>
      </c>
      <c r="L496" s="35">
        <f t="shared" si="427"/>
        <v>400</v>
      </c>
      <c r="M496" s="35">
        <f t="shared" si="428"/>
        <v>20</v>
      </c>
      <c r="N496" s="35">
        <f t="shared" si="429"/>
        <v>200</v>
      </c>
      <c r="O496" s="35" t="str">
        <f t="shared" si="430"/>
        <v>MTN2</v>
      </c>
      <c r="P496" s="35" t="str">
        <f t="shared" si="431"/>
        <v>CNT2</v>
      </c>
      <c r="Q496" s="35" t="str">
        <f t="shared" si="432"/>
        <v>KNT3</v>
      </c>
      <c r="R496" s="35" t="str">
        <f t="shared" si="433"/>
        <v>E</v>
      </c>
      <c r="S496" s="35" t="str">
        <f t="shared" si="434"/>
        <v>EXP1</v>
      </c>
      <c r="T496" s="58"/>
      <c r="U496" s="58"/>
      <c r="V496" s="58"/>
      <c r="W496" s="58"/>
      <c r="X496" s="58"/>
      <c r="Y496" s="58"/>
      <c r="Z496" s="58"/>
      <c r="AA496" s="95">
        <f t="shared" si="455"/>
        <v>1</v>
      </c>
      <c r="AB496" s="96">
        <f t="shared" si="446"/>
        <v>146.0494290981074</v>
      </c>
      <c r="AC496" s="58"/>
      <c r="AD496" s="58"/>
      <c r="AE496" s="58"/>
      <c r="AF496" s="58"/>
      <c r="AG496" s="58"/>
      <c r="AH496" s="58"/>
      <c r="AI496" s="58"/>
      <c r="AJ496" s="58"/>
      <c r="AK496" s="58"/>
      <c r="AL496" s="58"/>
      <c r="AM496" s="89">
        <f t="shared" si="447"/>
        <v>49</v>
      </c>
      <c r="AN496" s="36">
        <f t="shared" si="456"/>
        <v>35.595999999999997</v>
      </c>
      <c r="AO496" s="35">
        <f t="shared" si="457"/>
        <v>2.068192230277806</v>
      </c>
      <c r="AP496" s="35">
        <f>IF((OR(R496="A",R496="B",R496="C")),INDEX(Coefficients!$S$4:$S$22,MATCH(J496,Coefficients!$R$4:$R$22)),INDEX(Coefficients!$T$4:$T$22,MATCH(J496,Coefficients!$R$4:$R$22)))</f>
        <v>1.3</v>
      </c>
      <c r="AQ496" s="27">
        <f>IF((OR(R496="A",R496="B",R496="C")),INDEX(Coefficients!$S$4:$S$22,MATCH(K496,Coefficients!$R$4:$R$22)),INDEX(Coefficients!$T$4:$T$22,MATCH(K496,Coefficients!$R$4:$R$22)))</f>
        <v>25</v>
      </c>
      <c r="AR496" s="27">
        <f>IF(OR(R496="A",R496="B",R496="C",R496="D"),IF(AN496&gt;=11,IF(AN496&gt;=26,Coefficients!$M$6,Coefficients!$M$5),Coefficients!$M$4),IF(AN496&gt;=11,IF(AN496&gt;=26,Coefficients!$N$6,Coefficients!$N$5),Coefficients!$N$4))</f>
        <v>1</v>
      </c>
      <c r="AS496" s="27">
        <f>INDEX(Coefficients!$X$3:$X$4,MATCH(S496,Coefficients!$W$3:$W$4))</f>
        <v>1</v>
      </c>
      <c r="AT496" s="27">
        <f>INDEX(Coefficients!$X$7:$X$8,MATCH(O496,Coefficients!$W$7:$W$8))</f>
        <v>1</v>
      </c>
      <c r="AU496" s="27">
        <f>INDEX(Coefficients!$X$11:$X$12,MATCH(P496,Coefficients!$W$11:$W$12))</f>
        <v>1</v>
      </c>
      <c r="AV496" s="27">
        <f>INDEX(Coefficients!$X$15:$X$17,MATCH(Q496,Coefficients!$W$15:$W$17))</f>
        <v>1</v>
      </c>
      <c r="AW496" s="27">
        <f t="shared" si="448"/>
        <v>1</v>
      </c>
      <c r="AX496" s="27">
        <f t="shared" si="449"/>
        <v>1</v>
      </c>
      <c r="AY496" s="27">
        <f t="shared" si="450"/>
        <v>1.3</v>
      </c>
      <c r="AZ496" s="35">
        <f t="shared" si="451"/>
        <v>51.704805756945149</v>
      </c>
      <c r="BA496" s="35">
        <f t="shared" si="452"/>
        <v>0</v>
      </c>
      <c r="BB496" s="35">
        <f t="shared" si="453"/>
        <v>2.6886498993611481</v>
      </c>
      <c r="BC496" s="35">
        <f t="shared" si="454"/>
        <v>1.7311350100638851</v>
      </c>
      <c r="BD496" s="35">
        <f t="shared" si="458"/>
        <v>0.386811239442932</v>
      </c>
      <c r="BE496" s="16">
        <f t="shared" si="459"/>
        <v>146.0494290981074</v>
      </c>
      <c r="BF496" s="16">
        <f t="shared" si="460"/>
        <v>107.90114180378521</v>
      </c>
      <c r="BG496" s="25">
        <f t="shared" si="461"/>
        <v>1</v>
      </c>
      <c r="BH496" s="35">
        <f t="shared" si="462"/>
        <v>321.30874401583628</v>
      </c>
      <c r="BI496" s="35">
        <f t="shared" si="463"/>
        <v>-242.61748803167256</v>
      </c>
      <c r="BJ496" s="35">
        <f t="shared" si="464"/>
        <v>31.872656975886198</v>
      </c>
    </row>
    <row r="497" spans="2:62">
      <c r="B497" s="35" t="s">
        <v>133</v>
      </c>
      <c r="C497" s="88" t="str">
        <f>'Cooler&amp;Wetter'!$B$1</f>
        <v>MIROC-Medres</v>
      </c>
      <c r="D497" s="89">
        <v>2055</v>
      </c>
      <c r="E497" s="90">
        <f>'Cooler&amp;Wetter'!AB83</f>
        <v>35.597499999999997</v>
      </c>
      <c r="F497" s="90">
        <f>'Cooler&amp;Wetter'!AD83</f>
        <v>23.335000000000001</v>
      </c>
      <c r="G497" s="35">
        <f t="shared" si="444"/>
        <v>2005</v>
      </c>
      <c r="H497" s="91" t="str">
        <f t="shared" si="424"/>
        <v>Pile 32 @ Berth 201</v>
      </c>
      <c r="I497" s="35" t="str">
        <f t="shared" si="425"/>
        <v>Turpentine Gum</v>
      </c>
      <c r="J497" s="35" t="str">
        <f t="shared" si="426"/>
        <v>HW1</v>
      </c>
      <c r="K497" s="35" t="str">
        <f t="shared" si="445"/>
        <v>SPHU</v>
      </c>
      <c r="L497" s="35">
        <f t="shared" si="427"/>
        <v>400</v>
      </c>
      <c r="M497" s="35">
        <f t="shared" si="428"/>
        <v>20</v>
      </c>
      <c r="N497" s="35">
        <f t="shared" si="429"/>
        <v>200</v>
      </c>
      <c r="O497" s="35" t="str">
        <f t="shared" si="430"/>
        <v>MTN2</v>
      </c>
      <c r="P497" s="35" t="str">
        <f t="shared" si="431"/>
        <v>CNT2</v>
      </c>
      <c r="Q497" s="35" t="str">
        <f t="shared" si="432"/>
        <v>KNT3</v>
      </c>
      <c r="R497" s="35" t="str">
        <f t="shared" si="433"/>
        <v>E</v>
      </c>
      <c r="S497" s="35" t="str">
        <f t="shared" si="434"/>
        <v>EXP1</v>
      </c>
      <c r="T497" s="58"/>
      <c r="U497" s="58"/>
      <c r="V497" s="58"/>
      <c r="W497" s="58"/>
      <c r="X497" s="58"/>
      <c r="Y497" s="58"/>
      <c r="Z497" s="58"/>
      <c r="AA497" s="95">
        <f t="shared" si="455"/>
        <v>1</v>
      </c>
      <c r="AB497" s="96">
        <f t="shared" si="446"/>
        <v>149.29914408471561</v>
      </c>
      <c r="AC497" s="58"/>
      <c r="AD497" s="58"/>
      <c r="AE497" s="58"/>
      <c r="AF497" s="58"/>
      <c r="AG497" s="58"/>
      <c r="AH497" s="58"/>
      <c r="AI497" s="58"/>
      <c r="AJ497" s="58"/>
      <c r="AK497" s="58"/>
      <c r="AL497" s="58"/>
      <c r="AM497" s="89">
        <f t="shared" si="447"/>
        <v>50</v>
      </c>
      <c r="AN497" s="36">
        <f t="shared" si="456"/>
        <v>35.597499999999997</v>
      </c>
      <c r="AO497" s="35">
        <f t="shared" si="457"/>
        <v>2.0770838337984245</v>
      </c>
      <c r="AP497" s="35">
        <f>IF((OR(R497="A",R497="B",R497="C")),INDEX(Coefficients!$S$4:$S$22,MATCH(J497,Coefficients!$R$4:$R$22)),INDEX(Coefficients!$T$4:$T$22,MATCH(J497,Coefficients!$R$4:$R$22)))</f>
        <v>1.3</v>
      </c>
      <c r="AQ497" s="27">
        <f>IF((OR(R497="A",R497="B",R497="C")),INDEX(Coefficients!$S$4:$S$22,MATCH(K497,Coefficients!$R$4:$R$22)),INDEX(Coefficients!$T$4:$T$22,MATCH(K497,Coefficients!$R$4:$R$22)))</f>
        <v>25</v>
      </c>
      <c r="AR497" s="27">
        <f>IF(OR(R497="A",R497="B",R497="C",R497="D"),IF(AN497&gt;=11,IF(AN497&gt;=26,Coefficients!$M$6,Coefficients!$M$5),Coefficients!$M$4),IF(AN497&gt;=11,IF(AN497&gt;=26,Coefficients!$N$6,Coefficients!$N$5),Coefficients!$N$4))</f>
        <v>1</v>
      </c>
      <c r="AS497" s="27">
        <f>INDEX(Coefficients!$X$3:$X$4,MATCH(S497,Coefficients!$W$3:$W$4))</f>
        <v>1</v>
      </c>
      <c r="AT497" s="27">
        <f>INDEX(Coefficients!$X$7:$X$8,MATCH(O497,Coefficients!$W$7:$W$8))</f>
        <v>1</v>
      </c>
      <c r="AU497" s="27">
        <f>INDEX(Coefficients!$X$11:$X$12,MATCH(P497,Coefficients!$W$11:$W$12))</f>
        <v>1</v>
      </c>
      <c r="AV497" s="27">
        <f>INDEX(Coefficients!$X$15:$X$17,MATCH(Q497,Coefficients!$W$15:$W$17))</f>
        <v>1</v>
      </c>
      <c r="AW497" s="27">
        <f t="shared" si="448"/>
        <v>1</v>
      </c>
      <c r="AX497" s="27">
        <f t="shared" si="449"/>
        <v>1</v>
      </c>
      <c r="AY497" s="27">
        <f t="shared" si="450"/>
        <v>1.3</v>
      </c>
      <c r="AZ497" s="35">
        <f t="shared" si="451"/>
        <v>51.927095844960611</v>
      </c>
      <c r="BA497" s="35">
        <f t="shared" si="452"/>
        <v>0</v>
      </c>
      <c r="BB497" s="35">
        <f t="shared" si="453"/>
        <v>2.7002089839379519</v>
      </c>
      <c r="BC497" s="35">
        <f t="shared" si="454"/>
        <v>1.7299791016062047</v>
      </c>
      <c r="BD497" s="35">
        <f t="shared" si="458"/>
        <v>0.38515537359751939</v>
      </c>
      <c r="BE497" s="16">
        <f t="shared" si="459"/>
        <v>149.29914408471561</v>
      </c>
      <c r="BF497" s="16">
        <f t="shared" si="460"/>
        <v>101.40171183056879</v>
      </c>
      <c r="BG497" s="25">
        <f t="shared" si="461"/>
        <v>1</v>
      </c>
      <c r="BH497" s="35">
        <f t="shared" si="462"/>
        <v>328.45811698637436</v>
      </c>
      <c r="BI497" s="35">
        <f t="shared" si="463"/>
        <v>-256.91623397274873</v>
      </c>
      <c r="BJ497" s="35">
        <f t="shared" si="464"/>
        <v>31.742470905782135</v>
      </c>
    </row>
    <row r="498" spans="2:62">
      <c r="B498" s="35" t="s">
        <v>133</v>
      </c>
      <c r="C498" s="88" t="str">
        <f>'Cooler&amp;Wetter'!$B$1</f>
        <v>MIROC-Medres</v>
      </c>
      <c r="D498" s="89">
        <v>2056</v>
      </c>
      <c r="E498" s="90">
        <f>'Cooler&amp;Wetter'!AB84</f>
        <v>35.598999999999997</v>
      </c>
      <c r="F498" s="90">
        <f>'Cooler&amp;Wetter'!AD84</f>
        <v>23.367999999999999</v>
      </c>
      <c r="G498" s="35">
        <f t="shared" si="444"/>
        <v>2005</v>
      </c>
      <c r="H498" s="91" t="str">
        <f t="shared" si="424"/>
        <v>Pile 32 @ Berth 201</v>
      </c>
      <c r="I498" s="35" t="str">
        <f t="shared" si="425"/>
        <v>Turpentine Gum</v>
      </c>
      <c r="J498" s="35" t="str">
        <f t="shared" si="426"/>
        <v>HW1</v>
      </c>
      <c r="K498" s="35" t="str">
        <f t="shared" si="445"/>
        <v>SPHU</v>
      </c>
      <c r="L498" s="35">
        <f t="shared" si="427"/>
        <v>400</v>
      </c>
      <c r="M498" s="35">
        <f t="shared" si="428"/>
        <v>20</v>
      </c>
      <c r="N498" s="35">
        <f t="shared" si="429"/>
        <v>200</v>
      </c>
      <c r="O498" s="35" t="str">
        <f t="shared" si="430"/>
        <v>MTN2</v>
      </c>
      <c r="P498" s="35" t="str">
        <f t="shared" si="431"/>
        <v>CNT2</v>
      </c>
      <c r="Q498" s="35" t="str">
        <f t="shared" si="432"/>
        <v>KNT3</v>
      </c>
      <c r="R498" s="35" t="str">
        <f t="shared" si="433"/>
        <v>E</v>
      </c>
      <c r="S498" s="35" t="str">
        <f t="shared" si="434"/>
        <v>EXP1</v>
      </c>
      <c r="T498" s="58"/>
      <c r="U498" s="58"/>
      <c r="V498" s="58"/>
      <c r="W498" s="58"/>
      <c r="X498" s="58"/>
      <c r="Y498" s="58"/>
      <c r="Z498" s="58"/>
      <c r="AA498" s="95">
        <f t="shared" si="455"/>
        <v>1</v>
      </c>
      <c r="AB498" s="96">
        <f t="shared" si="446"/>
        <v>152.57446597009672</v>
      </c>
      <c r="AC498" s="58"/>
      <c r="AD498" s="58"/>
      <c r="AE498" s="58"/>
      <c r="AF498" s="58"/>
      <c r="AG498" s="58"/>
      <c r="AH498" s="58"/>
      <c r="AI498" s="58"/>
      <c r="AJ498" s="58"/>
      <c r="AK498" s="58"/>
      <c r="AL498" s="58"/>
      <c r="AM498" s="89">
        <f t="shared" si="447"/>
        <v>51</v>
      </c>
      <c r="AN498" s="36">
        <f t="shared" si="456"/>
        <v>35.598999999999997</v>
      </c>
      <c r="AO498" s="35">
        <f t="shared" si="457"/>
        <v>2.0860136642362548</v>
      </c>
      <c r="AP498" s="35">
        <f>IF((OR(R498="A",R498="B",R498="C")),INDEX(Coefficients!$S$4:$S$22,MATCH(J498,Coefficients!$R$4:$R$22)),INDEX(Coefficients!$T$4:$T$22,MATCH(J498,Coefficients!$R$4:$R$22)))</f>
        <v>1.3</v>
      </c>
      <c r="AQ498" s="27">
        <f>IF((OR(R498="A",R498="B",R498="C")),INDEX(Coefficients!$S$4:$S$22,MATCH(K498,Coefficients!$R$4:$R$22)),INDEX(Coefficients!$T$4:$T$22,MATCH(K498,Coefficients!$R$4:$R$22)))</f>
        <v>25</v>
      </c>
      <c r="AR498" s="27">
        <f>IF(OR(R498="A",R498="B",R498="C",R498="D"),IF(AN498&gt;=11,IF(AN498&gt;=26,Coefficients!$M$6,Coefficients!$M$5),Coefficients!$M$4),IF(AN498&gt;=11,IF(AN498&gt;=26,Coefficients!$N$6,Coefficients!$N$5),Coefficients!$N$4))</f>
        <v>1</v>
      </c>
      <c r="AS498" s="27">
        <f>INDEX(Coefficients!$X$3:$X$4,MATCH(S498,Coefficients!$W$3:$W$4))</f>
        <v>1</v>
      </c>
      <c r="AT498" s="27">
        <f>INDEX(Coefficients!$X$7:$X$8,MATCH(O498,Coefficients!$W$7:$W$8))</f>
        <v>1</v>
      </c>
      <c r="AU498" s="27">
        <f>INDEX(Coefficients!$X$11:$X$12,MATCH(P498,Coefficients!$W$11:$W$12))</f>
        <v>1</v>
      </c>
      <c r="AV498" s="27">
        <f>INDEX(Coefficients!$X$15:$X$17,MATCH(Q498,Coefficients!$W$15:$W$17))</f>
        <v>1</v>
      </c>
      <c r="AW498" s="27">
        <f t="shared" si="448"/>
        <v>1</v>
      </c>
      <c r="AX498" s="27">
        <f t="shared" si="449"/>
        <v>1</v>
      </c>
      <c r="AY498" s="27">
        <f t="shared" si="450"/>
        <v>1.3</v>
      </c>
      <c r="AZ498" s="35">
        <f t="shared" si="451"/>
        <v>52.15034160590637</v>
      </c>
      <c r="BA498" s="35">
        <f t="shared" si="452"/>
        <v>0</v>
      </c>
      <c r="BB498" s="35">
        <f t="shared" si="453"/>
        <v>2.7118177635071312</v>
      </c>
      <c r="BC498" s="35">
        <f t="shared" si="454"/>
        <v>1.7288182236492868</v>
      </c>
      <c r="BD498" s="35">
        <f t="shared" si="458"/>
        <v>0.38350659620098959</v>
      </c>
      <c r="BE498" s="16">
        <f t="shared" si="459"/>
        <v>152.57446597009672</v>
      </c>
      <c r="BF498" s="16">
        <f t="shared" si="460"/>
        <v>94.851068059806551</v>
      </c>
      <c r="BG498" s="25">
        <f t="shared" si="461"/>
        <v>1</v>
      </c>
      <c r="BH498" s="35">
        <f t="shared" si="462"/>
        <v>335.6638251342128</v>
      </c>
      <c r="BI498" s="35">
        <f t="shared" si="463"/>
        <v>-271.3276502684256</v>
      </c>
      <c r="BJ498" s="35">
        <f t="shared" si="464"/>
        <v>31.6128322199264</v>
      </c>
    </row>
    <row r="499" spans="2:62">
      <c r="B499" s="35" t="s">
        <v>133</v>
      </c>
      <c r="C499" s="88" t="str">
        <f>'Cooler&amp;Wetter'!$B$1</f>
        <v>MIROC-Medres</v>
      </c>
      <c r="D499" s="89">
        <v>2057</v>
      </c>
      <c r="E499" s="90">
        <f>'Cooler&amp;Wetter'!AB85</f>
        <v>35.600499999999997</v>
      </c>
      <c r="F499" s="90">
        <f>'Cooler&amp;Wetter'!AD85</f>
        <v>23.401</v>
      </c>
      <c r="G499" s="35">
        <f t="shared" si="444"/>
        <v>2005</v>
      </c>
      <c r="H499" s="91" t="str">
        <f t="shared" si="424"/>
        <v>Pile 32 @ Berth 201</v>
      </c>
      <c r="I499" s="35" t="str">
        <f t="shared" si="425"/>
        <v>Turpentine Gum</v>
      </c>
      <c r="J499" s="35" t="str">
        <f t="shared" si="426"/>
        <v>HW1</v>
      </c>
      <c r="K499" s="35" t="str">
        <f t="shared" si="445"/>
        <v>SPHU</v>
      </c>
      <c r="L499" s="35">
        <f t="shared" si="427"/>
        <v>400</v>
      </c>
      <c r="M499" s="35">
        <f t="shared" si="428"/>
        <v>20</v>
      </c>
      <c r="N499" s="35">
        <f t="shared" si="429"/>
        <v>200</v>
      </c>
      <c r="O499" s="35" t="str">
        <f t="shared" si="430"/>
        <v>MTN2</v>
      </c>
      <c r="P499" s="35" t="str">
        <f t="shared" si="431"/>
        <v>CNT2</v>
      </c>
      <c r="Q499" s="35" t="str">
        <f t="shared" si="432"/>
        <v>KNT3</v>
      </c>
      <c r="R499" s="35" t="str">
        <f t="shared" si="433"/>
        <v>E</v>
      </c>
      <c r="S499" s="35" t="str">
        <f t="shared" si="434"/>
        <v>EXP1</v>
      </c>
      <c r="T499" s="58"/>
      <c r="U499" s="58"/>
      <c r="V499" s="58"/>
      <c r="W499" s="58"/>
      <c r="X499" s="58"/>
      <c r="Y499" s="58"/>
      <c r="Z499" s="58"/>
      <c r="AA499" s="95">
        <f t="shared" si="455"/>
        <v>1</v>
      </c>
      <c r="AB499" s="96">
        <f t="shared" si="446"/>
        <v>155.87555498421415</v>
      </c>
      <c r="AC499" s="58"/>
      <c r="AD499" s="58"/>
      <c r="AE499" s="58"/>
      <c r="AF499" s="58"/>
      <c r="AG499" s="58"/>
      <c r="AH499" s="58"/>
      <c r="AI499" s="58"/>
      <c r="AJ499" s="58"/>
      <c r="AK499" s="58"/>
      <c r="AL499" s="58"/>
      <c r="AM499" s="89">
        <f t="shared" si="447"/>
        <v>52</v>
      </c>
      <c r="AN499" s="36">
        <f t="shared" si="456"/>
        <v>35.600499999999997</v>
      </c>
      <c r="AO499" s="35">
        <f t="shared" si="457"/>
        <v>2.0949818859370435</v>
      </c>
      <c r="AP499" s="35">
        <f>IF((OR(R499="A",R499="B",R499="C")),INDEX(Coefficients!$S$4:$S$22,MATCH(J499,Coefficients!$R$4:$R$22)),INDEX(Coefficients!$T$4:$T$22,MATCH(J499,Coefficients!$R$4:$R$22)))</f>
        <v>1.3</v>
      </c>
      <c r="AQ499" s="27">
        <f>IF((OR(R499="A",R499="B",R499="C")),INDEX(Coefficients!$S$4:$S$22,MATCH(K499,Coefficients!$R$4:$R$22)),INDEX(Coefficients!$T$4:$T$22,MATCH(K499,Coefficients!$R$4:$R$22)))</f>
        <v>25</v>
      </c>
      <c r="AR499" s="27">
        <f>IF(OR(R499="A",R499="B",R499="C",R499="D"),IF(AN499&gt;=11,IF(AN499&gt;=26,Coefficients!$M$6,Coefficients!$M$5),Coefficients!$M$4),IF(AN499&gt;=11,IF(AN499&gt;=26,Coefficients!$N$6,Coefficients!$N$5),Coefficients!$N$4))</f>
        <v>1</v>
      </c>
      <c r="AS499" s="27">
        <f>INDEX(Coefficients!$X$3:$X$4,MATCH(S499,Coefficients!$W$3:$W$4))</f>
        <v>1</v>
      </c>
      <c r="AT499" s="27">
        <f>INDEX(Coefficients!$X$7:$X$8,MATCH(O499,Coefficients!$W$7:$W$8))</f>
        <v>1</v>
      </c>
      <c r="AU499" s="27">
        <f>INDEX(Coefficients!$X$11:$X$12,MATCH(P499,Coefficients!$W$11:$W$12))</f>
        <v>1</v>
      </c>
      <c r="AV499" s="27">
        <f>INDEX(Coefficients!$X$15:$X$17,MATCH(Q499,Coefficients!$W$15:$W$17))</f>
        <v>1</v>
      </c>
      <c r="AW499" s="27">
        <f t="shared" si="448"/>
        <v>1</v>
      </c>
      <c r="AX499" s="27">
        <f t="shared" si="449"/>
        <v>1</v>
      </c>
      <c r="AY499" s="27">
        <f t="shared" si="450"/>
        <v>1.3</v>
      </c>
      <c r="AZ499" s="35">
        <f t="shared" si="451"/>
        <v>52.374547148426089</v>
      </c>
      <c r="BA499" s="35">
        <f t="shared" si="452"/>
        <v>0</v>
      </c>
      <c r="BB499" s="35">
        <f t="shared" si="453"/>
        <v>2.7234764517181564</v>
      </c>
      <c r="BC499" s="35">
        <f t="shared" si="454"/>
        <v>1.7276523548281844</v>
      </c>
      <c r="BD499" s="35">
        <f t="shared" si="458"/>
        <v>0.38186487690903159</v>
      </c>
      <c r="BE499" s="16">
        <f t="shared" si="459"/>
        <v>155.87555498421415</v>
      </c>
      <c r="BF499" s="16">
        <f t="shared" si="460"/>
        <v>88.248890031571705</v>
      </c>
      <c r="BG499" s="25">
        <f t="shared" si="461"/>
        <v>1</v>
      </c>
      <c r="BH499" s="35">
        <f t="shared" si="462"/>
        <v>342.92622096527117</v>
      </c>
      <c r="BI499" s="35">
        <f t="shared" si="463"/>
        <v>-285.85244193054234</v>
      </c>
      <c r="BJ499" s="35">
        <f t="shared" si="464"/>
        <v>31.483738532431953</v>
      </c>
    </row>
    <row r="500" spans="2:62">
      <c r="B500" s="35" t="s">
        <v>133</v>
      </c>
      <c r="C500" s="88" t="str">
        <f>'Cooler&amp;Wetter'!$B$1</f>
        <v>MIROC-Medres</v>
      </c>
      <c r="D500" s="89">
        <v>2058</v>
      </c>
      <c r="E500" s="90">
        <f>'Cooler&amp;Wetter'!AB86</f>
        <v>35.601999999999997</v>
      </c>
      <c r="F500" s="90">
        <f>'Cooler&amp;Wetter'!AD86</f>
        <v>23.433999999999997</v>
      </c>
      <c r="G500" s="35">
        <f t="shared" si="444"/>
        <v>2005</v>
      </c>
      <c r="H500" s="91" t="str">
        <f t="shared" si="424"/>
        <v>Pile 32 @ Berth 201</v>
      </c>
      <c r="I500" s="35" t="str">
        <f t="shared" si="425"/>
        <v>Turpentine Gum</v>
      </c>
      <c r="J500" s="35" t="str">
        <f t="shared" si="426"/>
        <v>HW1</v>
      </c>
      <c r="K500" s="35" t="str">
        <f t="shared" si="445"/>
        <v>SPHU</v>
      </c>
      <c r="L500" s="35">
        <f t="shared" si="427"/>
        <v>400</v>
      </c>
      <c r="M500" s="35">
        <f t="shared" si="428"/>
        <v>20</v>
      </c>
      <c r="N500" s="35">
        <f t="shared" si="429"/>
        <v>200</v>
      </c>
      <c r="O500" s="35" t="str">
        <f t="shared" si="430"/>
        <v>MTN2</v>
      </c>
      <c r="P500" s="35" t="str">
        <f t="shared" si="431"/>
        <v>CNT2</v>
      </c>
      <c r="Q500" s="35" t="str">
        <f t="shared" si="432"/>
        <v>KNT3</v>
      </c>
      <c r="R500" s="35" t="str">
        <f t="shared" si="433"/>
        <v>E</v>
      </c>
      <c r="S500" s="35" t="str">
        <f t="shared" si="434"/>
        <v>EXP1</v>
      </c>
      <c r="T500" s="58"/>
      <c r="U500" s="58"/>
      <c r="V500" s="58"/>
      <c r="W500" s="58"/>
      <c r="X500" s="58"/>
      <c r="Y500" s="58"/>
      <c r="Z500" s="58"/>
      <c r="AA500" s="95">
        <f t="shared" si="455"/>
        <v>1</v>
      </c>
      <c r="AB500" s="96">
        <f t="shared" si="446"/>
        <v>159.20257226245926</v>
      </c>
      <c r="AC500" s="58"/>
      <c r="AD500" s="58"/>
      <c r="AE500" s="58"/>
      <c r="AF500" s="58"/>
      <c r="AG500" s="58"/>
      <c r="AH500" s="58"/>
      <c r="AI500" s="58"/>
      <c r="AJ500" s="58"/>
      <c r="AK500" s="58"/>
      <c r="AL500" s="58"/>
      <c r="AM500" s="89">
        <f t="shared" si="447"/>
        <v>53</v>
      </c>
      <c r="AN500" s="36">
        <f t="shared" si="456"/>
        <v>35.601999999999997</v>
      </c>
      <c r="AO500" s="35">
        <f t="shared" si="457"/>
        <v>2.1039886639530914</v>
      </c>
      <c r="AP500" s="35">
        <f>IF((OR(R500="A",R500="B",R500="C")),INDEX(Coefficients!$S$4:$S$22,MATCH(J500,Coefficients!$R$4:$R$22)),INDEX(Coefficients!$T$4:$T$22,MATCH(J500,Coefficients!$R$4:$R$22)))</f>
        <v>1.3</v>
      </c>
      <c r="AQ500" s="27">
        <f>IF((OR(R500="A",R500="B",R500="C")),INDEX(Coefficients!$S$4:$S$22,MATCH(K500,Coefficients!$R$4:$R$22)),INDEX(Coefficients!$T$4:$T$22,MATCH(K500,Coefficients!$R$4:$R$22)))</f>
        <v>25</v>
      </c>
      <c r="AR500" s="27">
        <f>IF(OR(R500="A",R500="B",R500="C",R500="D"),IF(AN500&gt;=11,IF(AN500&gt;=26,Coefficients!$M$6,Coefficients!$M$5),Coefficients!$M$4),IF(AN500&gt;=11,IF(AN500&gt;=26,Coefficients!$N$6,Coefficients!$N$5),Coefficients!$N$4))</f>
        <v>1</v>
      </c>
      <c r="AS500" s="27">
        <f>INDEX(Coefficients!$X$3:$X$4,MATCH(S500,Coefficients!$W$3:$W$4))</f>
        <v>1</v>
      </c>
      <c r="AT500" s="27">
        <f>INDEX(Coefficients!$X$7:$X$8,MATCH(O500,Coefficients!$W$7:$W$8))</f>
        <v>1</v>
      </c>
      <c r="AU500" s="27">
        <f>INDEX(Coefficients!$X$11:$X$12,MATCH(P500,Coefficients!$W$11:$W$12))</f>
        <v>1</v>
      </c>
      <c r="AV500" s="27">
        <f>INDEX(Coefficients!$X$15:$X$17,MATCH(Q500,Coefficients!$W$15:$W$17))</f>
        <v>1</v>
      </c>
      <c r="AW500" s="27">
        <f t="shared" si="448"/>
        <v>1</v>
      </c>
      <c r="AX500" s="27">
        <f t="shared" si="449"/>
        <v>1</v>
      </c>
      <c r="AY500" s="27">
        <f t="shared" si="450"/>
        <v>1.3</v>
      </c>
      <c r="AZ500" s="35">
        <f t="shared" si="451"/>
        <v>52.599716598827285</v>
      </c>
      <c r="BA500" s="35">
        <f t="shared" si="452"/>
        <v>0</v>
      </c>
      <c r="BB500" s="35">
        <f t="shared" si="453"/>
        <v>2.735185263139019</v>
      </c>
      <c r="BC500" s="35">
        <f t="shared" si="454"/>
        <v>1.7264814736860981</v>
      </c>
      <c r="BD500" s="35">
        <f t="shared" si="458"/>
        <v>0.38023018550723336</v>
      </c>
      <c r="BE500" s="16">
        <f t="shared" si="459"/>
        <v>159.20257226245926</v>
      </c>
      <c r="BF500" s="16">
        <f t="shared" si="460"/>
        <v>81.594855475081488</v>
      </c>
      <c r="BG500" s="25">
        <f t="shared" si="461"/>
        <v>1</v>
      </c>
      <c r="BH500" s="35">
        <f t="shared" si="462"/>
        <v>350.24565897741041</v>
      </c>
      <c r="BI500" s="35">
        <f t="shared" si="463"/>
        <v>-300.49131795482083</v>
      </c>
      <c r="BJ500" s="35">
        <f t="shared" si="464"/>
        <v>31.35518746744205</v>
      </c>
    </row>
    <row r="501" spans="2:62">
      <c r="B501" s="35" t="s">
        <v>133</v>
      </c>
      <c r="C501" s="88" t="str">
        <f>'Cooler&amp;Wetter'!$B$1</f>
        <v>MIROC-Medres</v>
      </c>
      <c r="D501" s="89">
        <v>2059</v>
      </c>
      <c r="E501" s="90">
        <f>'Cooler&amp;Wetter'!AB87</f>
        <v>35.603499999999997</v>
      </c>
      <c r="F501" s="90">
        <f>'Cooler&amp;Wetter'!AD87</f>
        <v>23.466999999999999</v>
      </c>
      <c r="G501" s="35">
        <f t="shared" si="444"/>
        <v>2005</v>
      </c>
      <c r="H501" s="91" t="str">
        <f t="shared" si="424"/>
        <v>Pile 32 @ Berth 201</v>
      </c>
      <c r="I501" s="35" t="str">
        <f t="shared" si="425"/>
        <v>Turpentine Gum</v>
      </c>
      <c r="J501" s="35" t="str">
        <f t="shared" si="426"/>
        <v>HW1</v>
      </c>
      <c r="K501" s="35" t="str">
        <f t="shared" si="445"/>
        <v>SPHU</v>
      </c>
      <c r="L501" s="35">
        <f t="shared" si="427"/>
        <v>400</v>
      </c>
      <c r="M501" s="35">
        <f t="shared" si="428"/>
        <v>20</v>
      </c>
      <c r="N501" s="35">
        <f t="shared" si="429"/>
        <v>200</v>
      </c>
      <c r="O501" s="35" t="str">
        <f t="shared" si="430"/>
        <v>MTN2</v>
      </c>
      <c r="P501" s="35" t="str">
        <f t="shared" si="431"/>
        <v>CNT2</v>
      </c>
      <c r="Q501" s="35" t="str">
        <f t="shared" si="432"/>
        <v>KNT3</v>
      </c>
      <c r="R501" s="35" t="str">
        <f t="shared" si="433"/>
        <v>E</v>
      </c>
      <c r="S501" s="35" t="str">
        <f t="shared" si="434"/>
        <v>EXP1</v>
      </c>
      <c r="T501" s="58"/>
      <c r="U501" s="58"/>
      <c r="V501" s="58"/>
      <c r="W501" s="58"/>
      <c r="X501" s="58"/>
      <c r="Y501" s="58"/>
      <c r="Z501" s="58"/>
      <c r="AA501" s="95">
        <f t="shared" si="455"/>
        <v>1</v>
      </c>
      <c r="AB501" s="96">
        <f t="shared" si="446"/>
        <v>162.55567985048381</v>
      </c>
      <c r="AC501" s="58"/>
      <c r="AD501" s="58"/>
      <c r="AE501" s="58"/>
      <c r="AF501" s="58"/>
      <c r="AG501" s="58"/>
      <c r="AH501" s="58"/>
      <c r="AI501" s="58"/>
      <c r="AJ501" s="58"/>
      <c r="AK501" s="58"/>
      <c r="AL501" s="58"/>
      <c r="AM501" s="89">
        <f t="shared" si="447"/>
        <v>54</v>
      </c>
      <c r="AN501" s="36">
        <f t="shared" si="456"/>
        <v>35.603499999999997</v>
      </c>
      <c r="AO501" s="35">
        <f t="shared" si="457"/>
        <v>2.1130341640462968</v>
      </c>
      <c r="AP501" s="35">
        <f>IF((OR(R501="A",R501="B",R501="C")),INDEX(Coefficients!$S$4:$S$22,MATCH(J501,Coefficients!$R$4:$R$22)),INDEX(Coefficients!$T$4:$T$22,MATCH(J501,Coefficients!$R$4:$R$22)))</f>
        <v>1.3</v>
      </c>
      <c r="AQ501" s="27">
        <f>IF((OR(R501="A",R501="B",R501="C")),INDEX(Coefficients!$S$4:$S$22,MATCH(K501,Coefficients!$R$4:$R$22)),INDEX(Coefficients!$T$4:$T$22,MATCH(K501,Coefficients!$R$4:$R$22)))</f>
        <v>25</v>
      </c>
      <c r="AR501" s="27">
        <f>IF(OR(R501="A",R501="B",R501="C",R501="D"),IF(AN501&gt;=11,IF(AN501&gt;=26,Coefficients!$M$6,Coefficients!$M$5),Coefficients!$M$4),IF(AN501&gt;=11,IF(AN501&gt;=26,Coefficients!$N$6,Coefficients!$N$5),Coefficients!$N$4))</f>
        <v>1</v>
      </c>
      <c r="AS501" s="27">
        <f>INDEX(Coefficients!$X$3:$X$4,MATCH(S501,Coefficients!$W$3:$W$4))</f>
        <v>1</v>
      </c>
      <c r="AT501" s="27">
        <f>INDEX(Coefficients!$X$7:$X$8,MATCH(O501,Coefficients!$W$7:$W$8))</f>
        <v>1</v>
      </c>
      <c r="AU501" s="27">
        <f>INDEX(Coefficients!$X$11:$X$12,MATCH(P501,Coefficients!$W$11:$W$12))</f>
        <v>1</v>
      </c>
      <c r="AV501" s="27">
        <f>INDEX(Coefficients!$X$15:$X$17,MATCH(Q501,Coefficients!$W$15:$W$17))</f>
        <v>1</v>
      </c>
      <c r="AW501" s="27">
        <f t="shared" si="448"/>
        <v>1</v>
      </c>
      <c r="AX501" s="27">
        <f t="shared" si="449"/>
        <v>1</v>
      </c>
      <c r="AY501" s="27">
        <f t="shared" si="450"/>
        <v>1.3</v>
      </c>
      <c r="AZ501" s="35">
        <f t="shared" si="451"/>
        <v>52.825854101157418</v>
      </c>
      <c r="BA501" s="35">
        <f t="shared" si="452"/>
        <v>0</v>
      </c>
      <c r="BB501" s="35">
        <f t="shared" si="453"/>
        <v>2.7469444132601861</v>
      </c>
      <c r="BC501" s="35">
        <f t="shared" si="454"/>
        <v>1.7253055586739814</v>
      </c>
      <c r="BD501" s="35">
        <f t="shared" si="458"/>
        <v>0.37860249191052453</v>
      </c>
      <c r="BE501" s="16">
        <f t="shared" si="459"/>
        <v>162.55567985048381</v>
      </c>
      <c r="BF501" s="16">
        <f t="shared" si="460"/>
        <v>74.888640299032375</v>
      </c>
      <c r="BG501" s="25">
        <f t="shared" si="461"/>
        <v>1</v>
      </c>
      <c r="BH501" s="35">
        <f t="shared" si="462"/>
        <v>357.62249567106443</v>
      </c>
      <c r="BI501" s="35">
        <f t="shared" si="463"/>
        <v>-315.24499134212886</v>
      </c>
      <c r="BJ501" s="35">
        <f t="shared" si="464"/>
        <v>31.227176659086386</v>
      </c>
    </row>
    <row r="502" spans="2:62">
      <c r="B502" s="35" t="s">
        <v>133</v>
      </c>
      <c r="C502" s="88" t="str">
        <f>'Cooler&amp;Wetter'!$B$1</f>
        <v>MIROC-Medres</v>
      </c>
      <c r="D502" s="89">
        <v>2060</v>
      </c>
      <c r="E502" s="90">
        <f>'Cooler&amp;Wetter'!AB88</f>
        <v>35.604999999999997</v>
      </c>
      <c r="F502" s="90">
        <f>'Cooler&amp;Wetter'!AD88</f>
        <v>23.5</v>
      </c>
      <c r="G502" s="35">
        <f t="shared" si="444"/>
        <v>2005</v>
      </c>
      <c r="H502" s="91" t="str">
        <f t="shared" si="424"/>
        <v>Pile 32 @ Berth 201</v>
      </c>
      <c r="I502" s="35" t="str">
        <f t="shared" si="425"/>
        <v>Turpentine Gum</v>
      </c>
      <c r="J502" s="35" t="str">
        <f t="shared" si="426"/>
        <v>HW1</v>
      </c>
      <c r="K502" s="35" t="str">
        <f t="shared" si="445"/>
        <v>SPHU</v>
      </c>
      <c r="L502" s="35">
        <f t="shared" si="427"/>
        <v>400</v>
      </c>
      <c r="M502" s="35">
        <f t="shared" si="428"/>
        <v>20</v>
      </c>
      <c r="N502" s="35">
        <f t="shared" si="429"/>
        <v>200</v>
      </c>
      <c r="O502" s="35" t="str">
        <f t="shared" si="430"/>
        <v>MTN2</v>
      </c>
      <c r="P502" s="35" t="str">
        <f t="shared" si="431"/>
        <v>CNT2</v>
      </c>
      <c r="Q502" s="35" t="str">
        <f t="shared" si="432"/>
        <v>KNT3</v>
      </c>
      <c r="R502" s="35" t="str">
        <f t="shared" si="433"/>
        <v>E</v>
      </c>
      <c r="S502" s="35" t="str">
        <f t="shared" si="434"/>
        <v>EXP1</v>
      </c>
      <c r="T502" s="58"/>
      <c r="U502" s="58"/>
      <c r="V502" s="58"/>
      <c r="W502" s="58"/>
      <c r="X502" s="58"/>
      <c r="Y502" s="58"/>
      <c r="Z502" s="58"/>
      <c r="AA502" s="95">
        <f t="shared" si="455"/>
        <v>1</v>
      </c>
      <c r="AB502" s="96">
        <f t="shared" si="446"/>
        <v>165.93504070905726</v>
      </c>
      <c r="AC502" s="58"/>
      <c r="AD502" s="58"/>
      <c r="AE502" s="58"/>
      <c r="AF502" s="58"/>
      <c r="AG502" s="58"/>
      <c r="AH502" s="58"/>
      <c r="AI502" s="58"/>
      <c r="AJ502" s="58"/>
      <c r="AK502" s="58"/>
      <c r="AL502" s="58"/>
      <c r="AM502" s="89">
        <f t="shared" si="447"/>
        <v>55</v>
      </c>
      <c r="AN502" s="36">
        <f t="shared" si="456"/>
        <v>35.604999999999997</v>
      </c>
      <c r="AO502" s="35">
        <f t="shared" si="457"/>
        <v>2.1221185526912039</v>
      </c>
      <c r="AP502" s="35">
        <f>IF((OR(R502="A",R502="B",R502="C")),INDEX(Coefficients!$S$4:$S$22,MATCH(J502,Coefficients!$R$4:$R$22)),INDEX(Coefficients!$T$4:$T$22,MATCH(J502,Coefficients!$R$4:$R$22)))</f>
        <v>1.3</v>
      </c>
      <c r="AQ502" s="27">
        <f>IF((OR(R502="A",R502="B",R502="C")),INDEX(Coefficients!$S$4:$S$22,MATCH(K502,Coefficients!$R$4:$R$22)),INDEX(Coefficients!$T$4:$T$22,MATCH(K502,Coefficients!$R$4:$R$22)))</f>
        <v>25</v>
      </c>
      <c r="AR502" s="27">
        <f>IF(OR(R502="A",R502="B",R502="C",R502="D"),IF(AN502&gt;=11,IF(AN502&gt;=26,Coefficients!$M$6,Coefficients!$M$5),Coefficients!$M$4),IF(AN502&gt;=11,IF(AN502&gt;=26,Coefficients!$N$6,Coefficients!$N$5),Coefficients!$N$4))</f>
        <v>1</v>
      </c>
      <c r="AS502" s="27">
        <f>INDEX(Coefficients!$X$3:$X$4,MATCH(S502,Coefficients!$W$3:$W$4))</f>
        <v>1</v>
      </c>
      <c r="AT502" s="27">
        <f>INDEX(Coefficients!$X$7:$X$8,MATCH(O502,Coefficients!$W$7:$W$8))</f>
        <v>1</v>
      </c>
      <c r="AU502" s="27">
        <f>INDEX(Coefficients!$X$11:$X$12,MATCH(P502,Coefficients!$W$11:$W$12))</f>
        <v>1</v>
      </c>
      <c r="AV502" s="27">
        <f>INDEX(Coefficients!$X$15:$X$17,MATCH(Q502,Coefficients!$W$15:$W$17))</f>
        <v>1</v>
      </c>
      <c r="AW502" s="27">
        <f t="shared" si="448"/>
        <v>1</v>
      </c>
      <c r="AX502" s="27">
        <f t="shared" si="449"/>
        <v>1</v>
      </c>
      <c r="AY502" s="27">
        <f t="shared" si="450"/>
        <v>1.3</v>
      </c>
      <c r="AZ502" s="35">
        <f t="shared" si="451"/>
        <v>53.052963817280094</v>
      </c>
      <c r="BA502" s="35">
        <f t="shared" si="452"/>
        <v>0</v>
      </c>
      <c r="BB502" s="35">
        <f t="shared" si="453"/>
        <v>2.7587541184985653</v>
      </c>
      <c r="BC502" s="35">
        <f t="shared" si="454"/>
        <v>1.7241245881501435</v>
      </c>
      <c r="BD502" s="35">
        <f t="shared" si="458"/>
        <v>0.3769817661626233</v>
      </c>
      <c r="BE502" s="16">
        <f t="shared" si="459"/>
        <v>165.93504070905726</v>
      </c>
      <c r="BF502" s="16">
        <f t="shared" si="460"/>
        <v>68.129918581885477</v>
      </c>
      <c r="BG502" s="25">
        <f t="shared" si="461"/>
        <v>1</v>
      </c>
      <c r="BH502" s="35">
        <f t="shared" si="462"/>
        <v>365.057089559926</v>
      </c>
      <c r="BI502" s="35">
        <f t="shared" si="463"/>
        <v>-330.114179119852</v>
      </c>
      <c r="BJ502" s="35">
        <f t="shared" si="464"/>
        <v>31.09970375143763</v>
      </c>
    </row>
    <row r="503" spans="2:62">
      <c r="B503" s="35" t="s">
        <v>133</v>
      </c>
      <c r="C503" s="88" t="str">
        <f>'Cooler&amp;Wetter'!$B$1</f>
        <v>MIROC-Medres</v>
      </c>
      <c r="D503" s="89">
        <v>2061</v>
      </c>
      <c r="E503" s="90">
        <f>'Cooler&amp;Wetter'!AB89</f>
        <v>35.606499999999997</v>
      </c>
      <c r="F503" s="90">
        <f>'Cooler&amp;Wetter'!AD89</f>
        <v>23.532999999999998</v>
      </c>
      <c r="G503" s="35">
        <f t="shared" si="444"/>
        <v>2005</v>
      </c>
      <c r="H503" s="91" t="str">
        <f t="shared" si="424"/>
        <v>Pile 32 @ Berth 201</v>
      </c>
      <c r="I503" s="35" t="str">
        <f t="shared" si="425"/>
        <v>Turpentine Gum</v>
      </c>
      <c r="J503" s="35" t="str">
        <f t="shared" si="426"/>
        <v>HW1</v>
      </c>
      <c r="K503" s="35" t="str">
        <f t="shared" si="445"/>
        <v>SPHU</v>
      </c>
      <c r="L503" s="35">
        <f t="shared" si="427"/>
        <v>400</v>
      </c>
      <c r="M503" s="35">
        <f t="shared" si="428"/>
        <v>20</v>
      </c>
      <c r="N503" s="35">
        <f t="shared" si="429"/>
        <v>200</v>
      </c>
      <c r="O503" s="35" t="str">
        <f t="shared" si="430"/>
        <v>MTN2</v>
      </c>
      <c r="P503" s="35" t="str">
        <f t="shared" si="431"/>
        <v>CNT2</v>
      </c>
      <c r="Q503" s="35" t="str">
        <f t="shared" si="432"/>
        <v>KNT3</v>
      </c>
      <c r="R503" s="35" t="str">
        <f t="shared" si="433"/>
        <v>E</v>
      </c>
      <c r="S503" s="35" t="str">
        <f t="shared" si="434"/>
        <v>EXP1</v>
      </c>
      <c r="T503" s="58"/>
      <c r="U503" s="58"/>
      <c r="V503" s="58"/>
      <c r="W503" s="58"/>
      <c r="X503" s="58"/>
      <c r="Y503" s="58"/>
      <c r="Z503" s="58"/>
      <c r="AA503" s="95">
        <f t="shared" si="455"/>
        <v>1</v>
      </c>
      <c r="AB503" s="96">
        <f t="shared" si="446"/>
        <v>169.34081871894855</v>
      </c>
      <c r="AC503" s="58"/>
      <c r="AD503" s="58"/>
      <c r="AE503" s="58"/>
      <c r="AF503" s="58"/>
      <c r="AG503" s="58"/>
      <c r="AH503" s="58"/>
      <c r="AI503" s="58"/>
      <c r="AJ503" s="58"/>
      <c r="AK503" s="58"/>
      <c r="AL503" s="58"/>
      <c r="AM503" s="89">
        <f t="shared" si="447"/>
        <v>56</v>
      </c>
      <c r="AN503" s="36">
        <f t="shared" si="456"/>
        <v>35.606499999999997</v>
      </c>
      <c r="AO503" s="35">
        <f t="shared" si="457"/>
        <v>2.1312419970780638</v>
      </c>
      <c r="AP503" s="35">
        <f>IF((OR(R503="A",R503="B",R503="C")),INDEX(Coefficients!$S$4:$S$22,MATCH(J503,Coefficients!$R$4:$R$22)),INDEX(Coefficients!$T$4:$T$22,MATCH(J503,Coefficients!$R$4:$R$22)))</f>
        <v>1.3</v>
      </c>
      <c r="AQ503" s="27">
        <f>IF((OR(R503="A",R503="B",R503="C")),INDEX(Coefficients!$S$4:$S$22,MATCH(K503,Coefficients!$R$4:$R$22)),INDEX(Coefficients!$T$4:$T$22,MATCH(K503,Coefficients!$R$4:$R$22)))</f>
        <v>25</v>
      </c>
      <c r="AR503" s="27">
        <f>IF(OR(R503="A",R503="B",R503="C",R503="D"),IF(AN503&gt;=11,IF(AN503&gt;=26,Coefficients!$M$6,Coefficients!$M$5),Coefficients!$M$4),IF(AN503&gt;=11,IF(AN503&gt;=26,Coefficients!$N$6,Coefficients!$N$5),Coefficients!$N$4))</f>
        <v>1</v>
      </c>
      <c r="AS503" s="27">
        <f>INDEX(Coefficients!$X$3:$X$4,MATCH(S503,Coefficients!$W$3:$W$4))</f>
        <v>1</v>
      </c>
      <c r="AT503" s="27">
        <f>INDEX(Coefficients!$X$7:$X$8,MATCH(O503,Coefficients!$W$7:$W$8))</f>
        <v>1</v>
      </c>
      <c r="AU503" s="27">
        <f>INDEX(Coefficients!$X$11:$X$12,MATCH(P503,Coefficients!$W$11:$W$12))</f>
        <v>1</v>
      </c>
      <c r="AV503" s="27">
        <f>INDEX(Coefficients!$X$15:$X$17,MATCH(Q503,Coefficients!$W$15:$W$17))</f>
        <v>1</v>
      </c>
      <c r="AW503" s="27">
        <f t="shared" si="448"/>
        <v>1</v>
      </c>
      <c r="AX503" s="27">
        <f t="shared" si="449"/>
        <v>1</v>
      </c>
      <c r="AY503" s="27">
        <f t="shared" si="450"/>
        <v>1.3</v>
      </c>
      <c r="AZ503" s="35">
        <f t="shared" si="451"/>
        <v>53.281049926951596</v>
      </c>
      <c r="BA503" s="35">
        <f t="shared" si="452"/>
        <v>0</v>
      </c>
      <c r="BB503" s="35">
        <f t="shared" si="453"/>
        <v>2.770614596201483</v>
      </c>
      <c r="BC503" s="35">
        <f t="shared" si="454"/>
        <v>1.7229385403798516</v>
      </c>
      <c r="BD503" s="35">
        <f t="shared" si="458"/>
        <v>0.37536797843548564</v>
      </c>
      <c r="BE503" s="16">
        <f t="shared" si="459"/>
        <v>169.34081871894855</v>
      </c>
      <c r="BF503" s="16">
        <f t="shared" si="460"/>
        <v>61.318362562102891</v>
      </c>
      <c r="BG503" s="25">
        <f t="shared" si="461"/>
        <v>1</v>
      </c>
      <c r="BH503" s="35">
        <f t="shared" si="462"/>
        <v>372.54980118168686</v>
      </c>
      <c r="BI503" s="35">
        <f t="shared" si="463"/>
        <v>-345.09960236337372</v>
      </c>
      <c r="BJ503" s="35">
        <f t="shared" si="464"/>
        <v>30.972766398468075</v>
      </c>
    </row>
    <row r="504" spans="2:62">
      <c r="B504" s="35" t="s">
        <v>133</v>
      </c>
      <c r="C504" s="88" t="str">
        <f>'Cooler&amp;Wetter'!$B$1</f>
        <v>MIROC-Medres</v>
      </c>
      <c r="D504" s="89">
        <v>2062</v>
      </c>
      <c r="E504" s="90">
        <f>'Cooler&amp;Wetter'!AB90</f>
        <v>35.607999999999997</v>
      </c>
      <c r="F504" s="90">
        <f>'Cooler&amp;Wetter'!AD90</f>
        <v>23.565999999999999</v>
      </c>
      <c r="G504" s="35">
        <f t="shared" si="444"/>
        <v>2005</v>
      </c>
      <c r="H504" s="91" t="str">
        <f t="shared" si="424"/>
        <v>Pile 32 @ Berth 201</v>
      </c>
      <c r="I504" s="35" t="str">
        <f t="shared" si="425"/>
        <v>Turpentine Gum</v>
      </c>
      <c r="J504" s="35" t="str">
        <f t="shared" si="426"/>
        <v>HW1</v>
      </c>
      <c r="K504" s="35" t="str">
        <f t="shared" si="445"/>
        <v>SPHU</v>
      </c>
      <c r="L504" s="35">
        <f t="shared" si="427"/>
        <v>400</v>
      </c>
      <c r="M504" s="35">
        <f t="shared" si="428"/>
        <v>20</v>
      </c>
      <c r="N504" s="35">
        <f t="shared" si="429"/>
        <v>200</v>
      </c>
      <c r="O504" s="35" t="str">
        <f t="shared" si="430"/>
        <v>MTN2</v>
      </c>
      <c r="P504" s="35" t="str">
        <f t="shared" si="431"/>
        <v>CNT2</v>
      </c>
      <c r="Q504" s="35" t="str">
        <f t="shared" si="432"/>
        <v>KNT3</v>
      </c>
      <c r="R504" s="35" t="str">
        <f t="shared" si="433"/>
        <v>E</v>
      </c>
      <c r="S504" s="35" t="str">
        <f t="shared" si="434"/>
        <v>EXP1</v>
      </c>
      <c r="T504" s="58"/>
      <c r="U504" s="58"/>
      <c r="V504" s="58"/>
      <c r="W504" s="58"/>
      <c r="X504" s="58"/>
      <c r="Y504" s="58"/>
      <c r="Z504" s="58"/>
      <c r="AA504" s="95">
        <f t="shared" si="455"/>
        <v>1</v>
      </c>
      <c r="AB504" s="96">
        <f t="shared" si="446"/>
        <v>172.7731786858343</v>
      </c>
      <c r="AC504" s="58"/>
      <c r="AD504" s="58"/>
      <c r="AE504" s="58"/>
      <c r="AF504" s="58"/>
      <c r="AG504" s="58"/>
      <c r="AH504" s="58"/>
      <c r="AI504" s="58"/>
      <c r="AJ504" s="58"/>
      <c r="AK504" s="58"/>
      <c r="AL504" s="58"/>
      <c r="AM504" s="89">
        <f t="shared" si="447"/>
        <v>57</v>
      </c>
      <c r="AN504" s="36">
        <f t="shared" si="456"/>
        <v>35.607999999999997</v>
      </c>
      <c r="AO504" s="35">
        <f t="shared" si="457"/>
        <v>2.1404046651159199</v>
      </c>
      <c r="AP504" s="35">
        <f>IF((OR(R504="A",R504="B",R504="C")),INDEX(Coefficients!$S$4:$S$22,MATCH(J504,Coefficients!$R$4:$R$22)),INDEX(Coefficients!$T$4:$T$22,MATCH(J504,Coefficients!$R$4:$R$22)))</f>
        <v>1.3</v>
      </c>
      <c r="AQ504" s="27">
        <f>IF((OR(R504="A",R504="B",R504="C")),INDEX(Coefficients!$S$4:$S$22,MATCH(K504,Coefficients!$R$4:$R$22)),INDEX(Coefficients!$T$4:$T$22,MATCH(K504,Coefficients!$R$4:$R$22)))</f>
        <v>25</v>
      </c>
      <c r="AR504" s="27">
        <f>IF(OR(R504="A",R504="B",R504="C",R504="D"),IF(AN504&gt;=11,IF(AN504&gt;=26,Coefficients!$M$6,Coefficients!$M$5),Coefficients!$M$4),IF(AN504&gt;=11,IF(AN504&gt;=26,Coefficients!$N$6,Coefficients!$N$5),Coefficients!$N$4))</f>
        <v>1</v>
      </c>
      <c r="AS504" s="27">
        <f>INDEX(Coefficients!$X$3:$X$4,MATCH(S504,Coefficients!$W$3:$W$4))</f>
        <v>1</v>
      </c>
      <c r="AT504" s="27">
        <f>INDEX(Coefficients!$X$7:$X$8,MATCH(O504,Coefficients!$W$7:$W$8))</f>
        <v>1</v>
      </c>
      <c r="AU504" s="27">
        <f>INDEX(Coefficients!$X$11:$X$12,MATCH(P504,Coefficients!$W$11:$W$12))</f>
        <v>1</v>
      </c>
      <c r="AV504" s="27">
        <f>INDEX(Coefficients!$X$15:$X$17,MATCH(Q504,Coefficients!$W$15:$W$17))</f>
        <v>1</v>
      </c>
      <c r="AW504" s="27">
        <f t="shared" si="448"/>
        <v>1</v>
      </c>
      <c r="AX504" s="27">
        <f t="shared" si="449"/>
        <v>1</v>
      </c>
      <c r="AY504" s="27">
        <f t="shared" si="450"/>
        <v>1.3</v>
      </c>
      <c r="AZ504" s="35">
        <f t="shared" si="451"/>
        <v>53.510116627898</v>
      </c>
      <c r="BA504" s="35">
        <f t="shared" si="452"/>
        <v>0</v>
      </c>
      <c r="BB504" s="35">
        <f t="shared" si="453"/>
        <v>2.7825260646506957</v>
      </c>
      <c r="BC504" s="35">
        <f t="shared" si="454"/>
        <v>1.7217473935349303</v>
      </c>
      <c r="BD504" s="35">
        <f t="shared" si="458"/>
        <v>0.37376109902875476</v>
      </c>
      <c r="BE504" s="16">
        <f t="shared" si="459"/>
        <v>172.7731786858343</v>
      </c>
      <c r="BF504" s="16">
        <f t="shared" si="460"/>
        <v>54.453642628331409</v>
      </c>
      <c r="BG504" s="25">
        <f t="shared" si="461"/>
        <v>1</v>
      </c>
      <c r="BH504" s="35">
        <f t="shared" si="462"/>
        <v>380.1009931088355</v>
      </c>
      <c r="BI504" s="35">
        <f t="shared" si="463"/>
        <v>-360.20198621767099</v>
      </c>
      <c r="BJ504" s="35">
        <f t="shared" si="464"/>
        <v>30.846362264006359</v>
      </c>
    </row>
    <row r="505" spans="2:62">
      <c r="B505" s="35" t="s">
        <v>133</v>
      </c>
      <c r="C505" s="88" t="str">
        <f>'Cooler&amp;Wetter'!$B$1</f>
        <v>MIROC-Medres</v>
      </c>
      <c r="D505" s="89">
        <v>2063</v>
      </c>
      <c r="E505" s="90">
        <f>'Cooler&amp;Wetter'!AB91</f>
        <v>35.609499999999997</v>
      </c>
      <c r="F505" s="90">
        <f>'Cooler&amp;Wetter'!AD91</f>
        <v>23.599</v>
      </c>
      <c r="G505" s="35">
        <f t="shared" si="444"/>
        <v>2005</v>
      </c>
      <c r="H505" s="91" t="str">
        <f t="shared" si="424"/>
        <v>Pile 32 @ Berth 201</v>
      </c>
      <c r="I505" s="35" t="str">
        <f t="shared" si="425"/>
        <v>Turpentine Gum</v>
      </c>
      <c r="J505" s="35" t="str">
        <f t="shared" si="426"/>
        <v>HW1</v>
      </c>
      <c r="K505" s="35" t="str">
        <f t="shared" si="445"/>
        <v>SPHU</v>
      </c>
      <c r="L505" s="35">
        <f t="shared" si="427"/>
        <v>400</v>
      </c>
      <c r="M505" s="35">
        <f t="shared" si="428"/>
        <v>20</v>
      </c>
      <c r="N505" s="35">
        <f t="shared" si="429"/>
        <v>200</v>
      </c>
      <c r="O505" s="35" t="str">
        <f t="shared" si="430"/>
        <v>MTN2</v>
      </c>
      <c r="P505" s="35" t="str">
        <f t="shared" si="431"/>
        <v>CNT2</v>
      </c>
      <c r="Q505" s="35" t="str">
        <f t="shared" si="432"/>
        <v>KNT3</v>
      </c>
      <c r="R505" s="35" t="str">
        <f t="shared" si="433"/>
        <v>E</v>
      </c>
      <c r="S505" s="35" t="str">
        <f t="shared" si="434"/>
        <v>EXP1</v>
      </c>
      <c r="T505" s="58"/>
      <c r="U505" s="58"/>
      <c r="V505" s="58"/>
      <c r="W505" s="58"/>
      <c r="X505" s="58"/>
      <c r="Y505" s="58"/>
      <c r="Z505" s="58"/>
      <c r="AA505" s="95">
        <f t="shared" si="455"/>
        <v>1</v>
      </c>
      <c r="AB505" s="96">
        <f t="shared" si="446"/>
        <v>176.23228634523056</v>
      </c>
      <c r="AC505" s="58"/>
      <c r="AD505" s="58"/>
      <c r="AE505" s="58"/>
      <c r="AF505" s="58"/>
      <c r="AG505" s="58"/>
      <c r="AH505" s="58"/>
      <c r="AI505" s="58"/>
      <c r="AJ505" s="58"/>
      <c r="AK505" s="58"/>
      <c r="AL505" s="58"/>
      <c r="AM505" s="89">
        <f t="shared" si="447"/>
        <v>58</v>
      </c>
      <c r="AN505" s="36">
        <f t="shared" si="456"/>
        <v>35.609499999999997</v>
      </c>
      <c r="AO505" s="35">
        <f t="shared" si="457"/>
        <v>2.1496067254356879</v>
      </c>
      <c r="AP505" s="35">
        <f>IF((OR(R505="A",R505="B",R505="C")),INDEX(Coefficients!$S$4:$S$22,MATCH(J505,Coefficients!$R$4:$R$22)),INDEX(Coefficients!$T$4:$T$22,MATCH(J505,Coefficients!$R$4:$R$22)))</f>
        <v>1.3</v>
      </c>
      <c r="AQ505" s="27">
        <f>IF((OR(R505="A",R505="B",R505="C")),INDEX(Coefficients!$S$4:$S$22,MATCH(K505,Coefficients!$R$4:$R$22)),INDEX(Coefficients!$T$4:$T$22,MATCH(K505,Coefficients!$R$4:$R$22)))</f>
        <v>25</v>
      </c>
      <c r="AR505" s="27">
        <f>IF(OR(R505="A",R505="B",R505="C",R505="D"),IF(AN505&gt;=11,IF(AN505&gt;=26,Coefficients!$M$6,Coefficients!$M$5),Coefficients!$M$4),IF(AN505&gt;=11,IF(AN505&gt;=26,Coefficients!$N$6,Coefficients!$N$5),Coefficients!$N$4))</f>
        <v>1</v>
      </c>
      <c r="AS505" s="27">
        <f>INDEX(Coefficients!$X$3:$X$4,MATCH(S505,Coefficients!$W$3:$W$4))</f>
        <v>1</v>
      </c>
      <c r="AT505" s="27">
        <f>INDEX(Coefficients!$X$7:$X$8,MATCH(O505,Coefficients!$W$7:$W$8))</f>
        <v>1</v>
      </c>
      <c r="AU505" s="27">
        <f>INDEX(Coefficients!$X$11:$X$12,MATCH(P505,Coefficients!$W$11:$W$12))</f>
        <v>1</v>
      </c>
      <c r="AV505" s="27">
        <f>INDEX(Coefficients!$X$15:$X$17,MATCH(Q505,Coefficients!$W$15:$W$17))</f>
        <v>1</v>
      </c>
      <c r="AW505" s="27">
        <f t="shared" si="448"/>
        <v>1</v>
      </c>
      <c r="AX505" s="27">
        <f t="shared" si="449"/>
        <v>1</v>
      </c>
      <c r="AY505" s="27">
        <f t="shared" si="450"/>
        <v>1.3</v>
      </c>
      <c r="AZ505" s="35">
        <f t="shared" si="451"/>
        <v>53.740168135892198</v>
      </c>
      <c r="BA505" s="35">
        <f t="shared" si="452"/>
        <v>0</v>
      </c>
      <c r="BB505" s="35">
        <f t="shared" si="453"/>
        <v>2.7944887430663945</v>
      </c>
      <c r="BC505" s="35">
        <f t="shared" si="454"/>
        <v>1.7205511256933606</v>
      </c>
      <c r="BD505" s="35">
        <f t="shared" si="458"/>
        <v>0.37216109836921629</v>
      </c>
      <c r="BE505" s="16">
        <f t="shared" si="459"/>
        <v>176.23228634523056</v>
      </c>
      <c r="BF505" s="16">
        <f t="shared" si="460"/>
        <v>47.535427309538875</v>
      </c>
      <c r="BG505" s="25">
        <f t="shared" si="461"/>
        <v>1</v>
      </c>
      <c r="BH505" s="35">
        <f t="shared" si="462"/>
        <v>387.71102995950724</v>
      </c>
      <c r="BI505" s="35">
        <f t="shared" si="463"/>
        <v>-375.42205991901449</v>
      </c>
      <c r="BJ505" s="35">
        <f t="shared" si="464"/>
        <v>30.720489021694597</v>
      </c>
    </row>
    <row r="506" spans="2:62">
      <c r="B506" s="35" t="s">
        <v>133</v>
      </c>
      <c r="C506" s="88" t="str">
        <f>'Cooler&amp;Wetter'!$B$1</f>
        <v>MIROC-Medres</v>
      </c>
      <c r="D506" s="89">
        <v>2064</v>
      </c>
      <c r="E506" s="90">
        <f>'Cooler&amp;Wetter'!AB92</f>
        <v>35.610999999999997</v>
      </c>
      <c r="F506" s="90">
        <f>'Cooler&amp;Wetter'!AD92</f>
        <v>23.631999999999998</v>
      </c>
      <c r="G506" s="35">
        <f t="shared" si="444"/>
        <v>2005</v>
      </c>
      <c r="H506" s="91" t="str">
        <f t="shared" ref="H506:H512" si="465">$H$10</f>
        <v>Pile 32 @ Berth 201</v>
      </c>
      <c r="I506" s="35" t="str">
        <f t="shared" ref="I506:I512" si="466">$I$10</f>
        <v>Turpentine Gum</v>
      </c>
      <c r="J506" s="35" t="str">
        <f t="shared" ref="J506:J512" si="467">$J$10</f>
        <v>HW1</v>
      </c>
      <c r="K506" s="35" t="str">
        <f t="shared" si="445"/>
        <v>SPHU</v>
      </c>
      <c r="L506" s="35">
        <f t="shared" ref="L506:L512" si="468">$L$10</f>
        <v>400</v>
      </c>
      <c r="M506" s="35">
        <f t="shared" ref="M506:M512" si="469">$M$10</f>
        <v>20</v>
      </c>
      <c r="N506" s="35">
        <f t="shared" ref="N506:N512" si="470">$N$10</f>
        <v>200</v>
      </c>
      <c r="O506" s="35" t="str">
        <f t="shared" ref="O506:O512" si="471">$O$10</f>
        <v>MTN2</v>
      </c>
      <c r="P506" s="35" t="str">
        <f t="shared" ref="P506:P512" si="472">$P$10</f>
        <v>CNT2</v>
      </c>
      <c r="Q506" s="35" t="str">
        <f t="shared" ref="Q506:Q512" si="473">$Q$10</f>
        <v>KNT3</v>
      </c>
      <c r="R506" s="35" t="str">
        <f t="shared" ref="R506:R512" si="474">$R$10</f>
        <v>E</v>
      </c>
      <c r="S506" s="35" t="str">
        <f t="shared" ref="S506:S512" si="475">$S$10</f>
        <v>EXP1</v>
      </c>
      <c r="T506" s="58"/>
      <c r="U506" s="58"/>
      <c r="V506" s="58"/>
      <c r="W506" s="58"/>
      <c r="X506" s="58"/>
      <c r="Y506" s="58"/>
      <c r="Z506" s="58"/>
      <c r="AA506" s="95">
        <f t="shared" si="455"/>
        <v>1</v>
      </c>
      <c r="AB506" s="96">
        <f t="shared" si="446"/>
        <v>179.71830836745113</v>
      </c>
      <c r="AC506" s="58"/>
      <c r="AD506" s="58"/>
      <c r="AE506" s="58"/>
      <c r="AF506" s="58"/>
      <c r="AG506" s="58"/>
      <c r="AH506" s="58"/>
      <c r="AI506" s="58"/>
      <c r="AJ506" s="58"/>
      <c r="AK506" s="58"/>
      <c r="AL506" s="58"/>
      <c r="AM506" s="89">
        <f t="shared" si="447"/>
        <v>59</v>
      </c>
      <c r="AN506" s="36">
        <f t="shared" ref="AN506:AN512" si="476">E506</f>
        <v>35.610999999999997</v>
      </c>
      <c r="AO506" s="35">
        <f t="shared" ref="AO506:AO512" si="477">0.1*EXP(0.13*F506)</f>
        <v>2.1588483473932647</v>
      </c>
      <c r="AP506" s="35">
        <f>IF((OR(R506="A",R506="B",R506="C")),INDEX(Coefficients!$S$4:$S$22,MATCH(J506,Coefficients!$R$4:$R$22)),INDEX(Coefficients!$T$4:$T$22,MATCH(J506,Coefficients!$R$4:$R$22)))</f>
        <v>1.3</v>
      </c>
      <c r="AQ506" s="27">
        <f>IF((OR(R506="A",R506="B",R506="C")),INDEX(Coefficients!$S$4:$S$22,MATCH(K506,Coefficients!$R$4:$R$22)),INDEX(Coefficients!$T$4:$T$22,MATCH(K506,Coefficients!$R$4:$R$22)))</f>
        <v>25</v>
      </c>
      <c r="AR506" s="27">
        <f>IF(OR(R506="A",R506="B",R506="C",R506="D"),IF(AN506&gt;=11,IF(AN506&gt;=26,Coefficients!$M$6,Coefficients!$M$5),Coefficients!$M$4),IF(AN506&gt;=11,IF(AN506&gt;=26,Coefficients!$N$6,Coefficients!$N$5),Coefficients!$N$4))</f>
        <v>1</v>
      </c>
      <c r="AS506" s="27">
        <f>INDEX(Coefficients!$X$3:$X$4,MATCH(S506,Coefficients!$W$3:$W$4))</f>
        <v>1</v>
      </c>
      <c r="AT506" s="27">
        <f>INDEX(Coefficients!$X$7:$X$8,MATCH(O506,Coefficients!$W$7:$W$8))</f>
        <v>1</v>
      </c>
      <c r="AU506" s="27">
        <f>INDEX(Coefficients!$X$11:$X$12,MATCH(P506,Coefficients!$W$11:$W$12))</f>
        <v>1</v>
      </c>
      <c r="AV506" s="27">
        <f>INDEX(Coefficients!$X$15:$X$17,MATCH(Q506,Coefficients!$W$15:$W$17))</f>
        <v>1</v>
      </c>
      <c r="AW506" s="27">
        <f t="shared" si="448"/>
        <v>1</v>
      </c>
      <c r="AX506" s="27">
        <f t="shared" si="449"/>
        <v>1</v>
      </c>
      <c r="AY506" s="27">
        <f t="shared" si="450"/>
        <v>1.3</v>
      </c>
      <c r="AZ506" s="35">
        <f t="shared" si="451"/>
        <v>53.971208684831616</v>
      </c>
      <c r="BA506" s="35">
        <f t="shared" si="452"/>
        <v>0</v>
      </c>
      <c r="BB506" s="35">
        <f t="shared" si="453"/>
        <v>2.8065028516112442</v>
      </c>
      <c r="BC506" s="35">
        <f t="shared" si="454"/>
        <v>1.7193497148388754</v>
      </c>
      <c r="BD506" s="35">
        <f t="shared" ref="BD506:BD512" si="478">M506/AZ506+BA506</f>
        <v>0.3705679470102532</v>
      </c>
      <c r="BE506" s="16">
        <f t="shared" ref="BE506:BE512" si="479">IF(AM506&lt;=0,0,IF(AM506&gt;(BD506+BC506),M506+(AM506-BD506-BC506)*BB506,M506))</f>
        <v>179.71830836745113</v>
      </c>
      <c r="BF506" s="16">
        <f t="shared" ref="BF506:BF512" si="480">L506-2*BE506</f>
        <v>40.563383265097741</v>
      </c>
      <c r="BG506" s="25">
        <f t="shared" ref="BG506:BG512" si="481">IF(2*BE506&gt;(L506-N506),1,BE506/((L506-N506)/2))</f>
        <v>1</v>
      </c>
      <c r="BH506" s="35">
        <f t="shared" ref="BH506:BH512" si="482">BE506*(1+$BF$1*$BF$2)</f>
        <v>395.38027840839254</v>
      </c>
      <c r="BI506" s="35">
        <f t="shared" ref="BI506:BI512" si="483">L506-2*BH506</f>
        <v>-390.76055681678508</v>
      </c>
      <c r="BJ506" s="35">
        <f t="shared" ref="BJ506:BJ512" si="484">($BF$3/2-M506)/BB506+BD506+BC506</f>
        <v>30.595144354945532</v>
      </c>
    </row>
    <row r="507" spans="2:62">
      <c r="B507" s="35" t="s">
        <v>133</v>
      </c>
      <c r="C507" s="88" t="str">
        <f>'Cooler&amp;Wetter'!$B$1</f>
        <v>MIROC-Medres</v>
      </c>
      <c r="D507" s="89">
        <v>2065</v>
      </c>
      <c r="E507" s="90">
        <f>'Cooler&amp;Wetter'!AB93</f>
        <v>35.612499999999997</v>
      </c>
      <c r="F507" s="90">
        <f>'Cooler&amp;Wetter'!AD93</f>
        <v>23.664999999999999</v>
      </c>
      <c r="G507" s="35">
        <f t="shared" ref="G507:G512" si="485">$G$10</f>
        <v>2005</v>
      </c>
      <c r="H507" s="91" t="str">
        <f t="shared" si="465"/>
        <v>Pile 32 @ Berth 201</v>
      </c>
      <c r="I507" s="35" t="str">
        <f t="shared" si="466"/>
        <v>Turpentine Gum</v>
      </c>
      <c r="J507" s="35" t="str">
        <f t="shared" si="467"/>
        <v>HW1</v>
      </c>
      <c r="K507" s="35" t="str">
        <f t="shared" ref="K507:K512" si="486">$K$10</f>
        <v>SPHU</v>
      </c>
      <c r="L507" s="35">
        <f t="shared" si="468"/>
        <v>400</v>
      </c>
      <c r="M507" s="35">
        <f t="shared" si="469"/>
        <v>20</v>
      </c>
      <c r="N507" s="35">
        <f t="shared" si="470"/>
        <v>200</v>
      </c>
      <c r="O507" s="35" t="str">
        <f t="shared" si="471"/>
        <v>MTN2</v>
      </c>
      <c r="P507" s="35" t="str">
        <f t="shared" si="472"/>
        <v>CNT2</v>
      </c>
      <c r="Q507" s="35" t="str">
        <f t="shared" si="473"/>
        <v>KNT3</v>
      </c>
      <c r="R507" s="35" t="str">
        <f t="shared" si="474"/>
        <v>E</v>
      </c>
      <c r="S507" s="35" t="str">
        <f t="shared" si="475"/>
        <v>EXP1</v>
      </c>
      <c r="T507" s="58"/>
      <c r="U507" s="58"/>
      <c r="V507" s="58"/>
      <c r="W507" s="58"/>
      <c r="X507" s="58"/>
      <c r="Y507" s="58"/>
      <c r="Z507" s="58"/>
      <c r="AA507" s="95">
        <f t="shared" si="455"/>
        <v>1</v>
      </c>
      <c r="AB507" s="96">
        <f t="shared" ref="AB507:AB512" si="487">BE507</f>
        <v>183.23141236259153</v>
      </c>
      <c r="AC507" s="58"/>
      <c r="AD507" s="58"/>
      <c r="AE507" s="58"/>
      <c r="AF507" s="58"/>
      <c r="AG507" s="58"/>
      <c r="AH507" s="58"/>
      <c r="AI507" s="58"/>
      <c r="AJ507" s="58"/>
      <c r="AK507" s="58"/>
      <c r="AL507" s="58"/>
      <c r="AM507" s="89">
        <f t="shared" ref="AM507:AM512" si="488">MAX(0,D507-G507)</f>
        <v>60</v>
      </c>
      <c r="AN507" s="36">
        <f t="shared" si="476"/>
        <v>35.612499999999997</v>
      </c>
      <c r="AO507" s="35">
        <f t="shared" si="477"/>
        <v>2.1681297010726488</v>
      </c>
      <c r="AP507" s="35">
        <f>IF((OR(R507="A",R507="B",R507="C")),INDEX(Coefficients!$S$4:$S$22,MATCH(J507,Coefficients!$R$4:$R$22)),INDEX(Coefficients!$T$4:$T$22,MATCH(J507,Coefficients!$R$4:$R$22)))</f>
        <v>1.3</v>
      </c>
      <c r="AQ507" s="27">
        <f>IF((OR(R507="A",R507="B",R507="C")),INDEX(Coefficients!$S$4:$S$22,MATCH(K507,Coefficients!$R$4:$R$22)),INDEX(Coefficients!$T$4:$T$22,MATCH(K507,Coefficients!$R$4:$R$22)))</f>
        <v>25</v>
      </c>
      <c r="AR507" s="27">
        <f>IF(OR(R507="A",R507="B",R507="C",R507="D"),IF(AN507&gt;=11,IF(AN507&gt;=26,Coefficients!$M$6,Coefficients!$M$5),Coefficients!$M$4),IF(AN507&gt;=11,IF(AN507&gt;=26,Coefficients!$N$6,Coefficients!$N$5),Coefficients!$N$4))</f>
        <v>1</v>
      </c>
      <c r="AS507" s="27">
        <f>INDEX(Coefficients!$X$3:$X$4,MATCH(S507,Coefficients!$W$3:$W$4))</f>
        <v>1</v>
      </c>
      <c r="AT507" s="27">
        <f>INDEX(Coefficients!$X$7:$X$8,MATCH(O507,Coefficients!$W$7:$W$8))</f>
        <v>1</v>
      </c>
      <c r="AU507" s="27">
        <f>INDEX(Coefficients!$X$11:$X$12,MATCH(P507,Coefficients!$W$11:$W$12))</f>
        <v>1</v>
      </c>
      <c r="AV507" s="27">
        <f>INDEX(Coefficients!$X$15:$X$17,MATCH(Q507,Coefficients!$W$15:$W$17))</f>
        <v>1</v>
      </c>
      <c r="AW507" s="27">
        <f t="shared" ref="AW507:AW512" si="489">AR507*AS507</f>
        <v>1</v>
      </c>
      <c r="AX507" s="27">
        <f t="shared" ref="AX507:AX512" si="490">AT507*AU507*AV507</f>
        <v>1</v>
      </c>
      <c r="AY507" s="27">
        <f t="shared" ref="AY507:AY512" si="491">AP507*AR507*AS507*AT507*AU507*AV507</f>
        <v>1.3</v>
      </c>
      <c r="AZ507" s="35">
        <f t="shared" ref="AZ507:AZ512" si="492">AO507*AQ507*AW507*AX507</f>
        <v>54.203242526816219</v>
      </c>
      <c r="BA507" s="35">
        <f t="shared" ref="BA507:BA512" si="493">IF(AZ507&gt;=20,0,2-0.1*AZ507)</f>
        <v>0</v>
      </c>
      <c r="BB507" s="35">
        <f t="shared" ref="BB507:BB512" si="494">AO507*AP507*AR507*AS507*AT507*AU507*AV507</f>
        <v>2.8185686113944435</v>
      </c>
      <c r="BC507" s="35">
        <f t="shared" ref="BC507:BC512" si="495">IF(BB507&gt;=20,0,2-0.1*BB507)</f>
        <v>1.7181431388605557</v>
      </c>
      <c r="BD507" s="35">
        <f t="shared" si="478"/>
        <v>0.36898161563130305</v>
      </c>
      <c r="BE507" s="16">
        <f t="shared" si="479"/>
        <v>183.23141236259153</v>
      </c>
      <c r="BF507" s="16">
        <f t="shared" si="480"/>
        <v>33.537175274816946</v>
      </c>
      <c r="BG507" s="25">
        <f t="shared" si="481"/>
        <v>1</v>
      </c>
      <c r="BH507" s="35">
        <f t="shared" si="482"/>
        <v>403.10910719770141</v>
      </c>
      <c r="BI507" s="35">
        <f t="shared" si="483"/>
        <v>-406.21821439540281</v>
      </c>
      <c r="BJ507" s="35">
        <f t="shared" si="484"/>
        <v>30.470325956899782</v>
      </c>
    </row>
    <row r="508" spans="2:62">
      <c r="B508" s="35" t="s">
        <v>133</v>
      </c>
      <c r="C508" s="88" t="str">
        <f>'Cooler&amp;Wetter'!$B$1</f>
        <v>MIROC-Medres</v>
      </c>
      <c r="D508" s="89">
        <v>2066</v>
      </c>
      <c r="E508" s="90">
        <f>'Cooler&amp;Wetter'!AB94</f>
        <v>35.613999999999997</v>
      </c>
      <c r="F508" s="90">
        <f>'Cooler&amp;Wetter'!AD94</f>
        <v>23.698</v>
      </c>
      <c r="G508" s="35">
        <f t="shared" si="485"/>
        <v>2005</v>
      </c>
      <c r="H508" s="91" t="str">
        <f t="shared" si="465"/>
        <v>Pile 32 @ Berth 201</v>
      </c>
      <c r="I508" s="35" t="str">
        <f t="shared" si="466"/>
        <v>Turpentine Gum</v>
      </c>
      <c r="J508" s="35" t="str">
        <f t="shared" si="467"/>
        <v>HW1</v>
      </c>
      <c r="K508" s="35" t="str">
        <f t="shared" si="486"/>
        <v>SPHU</v>
      </c>
      <c r="L508" s="35">
        <f t="shared" si="468"/>
        <v>400</v>
      </c>
      <c r="M508" s="35">
        <f t="shared" si="469"/>
        <v>20</v>
      </c>
      <c r="N508" s="35">
        <f t="shared" si="470"/>
        <v>200</v>
      </c>
      <c r="O508" s="35" t="str">
        <f t="shared" si="471"/>
        <v>MTN2</v>
      </c>
      <c r="P508" s="35" t="str">
        <f t="shared" si="472"/>
        <v>CNT2</v>
      </c>
      <c r="Q508" s="35" t="str">
        <f t="shared" si="473"/>
        <v>KNT3</v>
      </c>
      <c r="R508" s="35" t="str">
        <f t="shared" si="474"/>
        <v>E</v>
      </c>
      <c r="S508" s="35" t="str">
        <f t="shared" si="475"/>
        <v>EXP1</v>
      </c>
      <c r="T508" s="58"/>
      <c r="U508" s="58"/>
      <c r="V508" s="58"/>
      <c r="W508" s="58"/>
      <c r="X508" s="58"/>
      <c r="Y508" s="58"/>
      <c r="Z508" s="58"/>
      <c r="AA508" s="95">
        <f t="shared" si="455"/>
        <v>1</v>
      </c>
      <c r="AB508" s="96">
        <f t="shared" si="487"/>
        <v>186.77176688553752</v>
      </c>
      <c r="AC508" s="58"/>
      <c r="AD508" s="58"/>
      <c r="AE508" s="58"/>
      <c r="AF508" s="58"/>
      <c r="AG508" s="58"/>
      <c r="AH508" s="58"/>
      <c r="AI508" s="58"/>
      <c r="AJ508" s="58"/>
      <c r="AK508" s="58"/>
      <c r="AL508" s="58"/>
      <c r="AM508" s="89">
        <f t="shared" si="488"/>
        <v>61</v>
      </c>
      <c r="AN508" s="36">
        <f t="shared" si="476"/>
        <v>35.613999999999997</v>
      </c>
      <c r="AO508" s="35">
        <f t="shared" si="477"/>
        <v>2.1774509572890621</v>
      </c>
      <c r="AP508" s="35">
        <f>IF((OR(R508="A",R508="B",R508="C")),INDEX(Coefficients!$S$4:$S$22,MATCH(J508,Coefficients!$R$4:$R$22)),INDEX(Coefficients!$T$4:$T$22,MATCH(J508,Coefficients!$R$4:$R$22)))</f>
        <v>1.3</v>
      </c>
      <c r="AQ508" s="27">
        <f>IF((OR(R508="A",R508="B",R508="C")),INDEX(Coefficients!$S$4:$S$22,MATCH(K508,Coefficients!$R$4:$R$22)),INDEX(Coefficients!$T$4:$T$22,MATCH(K508,Coefficients!$R$4:$R$22)))</f>
        <v>25</v>
      </c>
      <c r="AR508" s="27">
        <f>IF(OR(R508="A",R508="B",R508="C",R508="D"),IF(AN508&gt;=11,IF(AN508&gt;=26,Coefficients!$M$6,Coefficients!$M$5),Coefficients!$M$4),IF(AN508&gt;=11,IF(AN508&gt;=26,Coefficients!$N$6,Coefficients!$N$5),Coefficients!$N$4))</f>
        <v>1</v>
      </c>
      <c r="AS508" s="27">
        <f>INDEX(Coefficients!$X$3:$X$4,MATCH(S508,Coefficients!$W$3:$W$4))</f>
        <v>1</v>
      </c>
      <c r="AT508" s="27">
        <f>INDEX(Coefficients!$X$7:$X$8,MATCH(O508,Coefficients!$W$7:$W$8))</f>
        <v>1</v>
      </c>
      <c r="AU508" s="27">
        <f>INDEX(Coefficients!$X$11:$X$12,MATCH(P508,Coefficients!$W$11:$W$12))</f>
        <v>1</v>
      </c>
      <c r="AV508" s="27">
        <f>INDEX(Coefficients!$X$15:$X$17,MATCH(Q508,Coefficients!$W$15:$W$17))</f>
        <v>1</v>
      </c>
      <c r="AW508" s="27">
        <f t="shared" si="489"/>
        <v>1</v>
      </c>
      <c r="AX508" s="27">
        <f t="shared" si="490"/>
        <v>1</v>
      </c>
      <c r="AY508" s="27">
        <f t="shared" si="491"/>
        <v>1.3</v>
      </c>
      <c r="AZ508" s="35">
        <f t="shared" si="492"/>
        <v>54.436273932226555</v>
      </c>
      <c r="BA508" s="35">
        <f t="shared" si="493"/>
        <v>0</v>
      </c>
      <c r="BB508" s="35">
        <f t="shared" si="494"/>
        <v>2.830686244475781</v>
      </c>
      <c r="BC508" s="35">
        <f t="shared" si="495"/>
        <v>1.7169313755524218</v>
      </c>
      <c r="BD508" s="35">
        <f t="shared" si="478"/>
        <v>0.36740207503731986</v>
      </c>
      <c r="BE508" s="16">
        <f t="shared" si="479"/>
        <v>186.77176688553752</v>
      </c>
      <c r="BF508" s="16">
        <f t="shared" si="480"/>
        <v>26.456466228924967</v>
      </c>
      <c r="BG508" s="25">
        <f t="shared" si="481"/>
        <v>1</v>
      </c>
      <c r="BH508" s="35">
        <f t="shared" si="482"/>
        <v>410.89788714818258</v>
      </c>
      <c r="BI508" s="35">
        <f t="shared" si="483"/>
        <v>-421.79577429636515</v>
      </c>
      <c r="BJ508" s="35">
        <f t="shared" si="484"/>
        <v>30.346031530383577</v>
      </c>
    </row>
    <row r="509" spans="2:62">
      <c r="B509" s="35" t="s">
        <v>133</v>
      </c>
      <c r="C509" s="88" t="str">
        <f>'Cooler&amp;Wetter'!$B$1</f>
        <v>MIROC-Medres</v>
      </c>
      <c r="D509" s="89">
        <v>2067</v>
      </c>
      <c r="E509" s="90">
        <f>'Cooler&amp;Wetter'!AB95</f>
        <v>35.615499999999997</v>
      </c>
      <c r="F509" s="90">
        <f>'Cooler&amp;Wetter'!AD95</f>
        <v>23.730999999999998</v>
      </c>
      <c r="G509" s="35">
        <f t="shared" si="485"/>
        <v>2005</v>
      </c>
      <c r="H509" s="91" t="str">
        <f t="shared" si="465"/>
        <v>Pile 32 @ Berth 201</v>
      </c>
      <c r="I509" s="35" t="str">
        <f t="shared" si="466"/>
        <v>Turpentine Gum</v>
      </c>
      <c r="J509" s="35" t="str">
        <f t="shared" si="467"/>
        <v>HW1</v>
      </c>
      <c r="K509" s="35" t="str">
        <f t="shared" si="486"/>
        <v>SPHU</v>
      </c>
      <c r="L509" s="35">
        <f t="shared" si="468"/>
        <v>400</v>
      </c>
      <c r="M509" s="35">
        <f t="shared" si="469"/>
        <v>20</v>
      </c>
      <c r="N509" s="35">
        <f t="shared" si="470"/>
        <v>200</v>
      </c>
      <c r="O509" s="35" t="str">
        <f t="shared" si="471"/>
        <v>MTN2</v>
      </c>
      <c r="P509" s="35" t="str">
        <f t="shared" si="472"/>
        <v>CNT2</v>
      </c>
      <c r="Q509" s="35" t="str">
        <f t="shared" si="473"/>
        <v>KNT3</v>
      </c>
      <c r="R509" s="35" t="str">
        <f t="shared" si="474"/>
        <v>E</v>
      </c>
      <c r="S509" s="35" t="str">
        <f t="shared" si="475"/>
        <v>EXP1</v>
      </c>
      <c r="T509" s="58"/>
      <c r="U509" s="58"/>
      <c r="V509" s="58"/>
      <c r="W509" s="58"/>
      <c r="X509" s="58"/>
      <c r="Y509" s="58"/>
      <c r="Z509" s="58"/>
      <c r="AA509" s="95">
        <f t="shared" si="455"/>
        <v>1</v>
      </c>
      <c r="AB509" s="96">
        <f t="shared" si="487"/>
        <v>190.33954144100025</v>
      </c>
      <c r="AC509" s="58"/>
      <c r="AD509" s="58"/>
      <c r="AE509" s="58"/>
      <c r="AF509" s="58"/>
      <c r="AG509" s="58"/>
      <c r="AH509" s="58"/>
      <c r="AI509" s="58"/>
      <c r="AJ509" s="58"/>
      <c r="AK509" s="58"/>
      <c r="AL509" s="58"/>
      <c r="AM509" s="89">
        <f t="shared" si="488"/>
        <v>62</v>
      </c>
      <c r="AN509" s="36">
        <f t="shared" si="476"/>
        <v>35.615499999999997</v>
      </c>
      <c r="AO509" s="35">
        <f t="shared" si="477"/>
        <v>2.186812287592097</v>
      </c>
      <c r="AP509" s="35">
        <f>IF((OR(R509="A",R509="B",R509="C")),INDEX(Coefficients!$S$4:$S$22,MATCH(J509,Coefficients!$R$4:$R$22)),INDEX(Coefficients!$T$4:$T$22,MATCH(J509,Coefficients!$R$4:$R$22)))</f>
        <v>1.3</v>
      </c>
      <c r="AQ509" s="27">
        <f>IF((OR(R509="A",R509="B",R509="C")),INDEX(Coefficients!$S$4:$S$22,MATCH(K509,Coefficients!$R$4:$R$22)),INDEX(Coefficients!$T$4:$T$22,MATCH(K509,Coefficients!$R$4:$R$22)))</f>
        <v>25</v>
      </c>
      <c r="AR509" s="27">
        <f>IF(OR(R509="A",R509="B",R509="C",R509="D"),IF(AN509&gt;=11,IF(AN509&gt;=26,Coefficients!$M$6,Coefficients!$M$5),Coefficients!$M$4),IF(AN509&gt;=11,IF(AN509&gt;=26,Coefficients!$N$6,Coefficients!$N$5),Coefficients!$N$4))</f>
        <v>1</v>
      </c>
      <c r="AS509" s="27">
        <f>INDEX(Coefficients!$X$3:$X$4,MATCH(S509,Coefficients!$W$3:$W$4))</f>
        <v>1</v>
      </c>
      <c r="AT509" s="27">
        <f>INDEX(Coefficients!$X$7:$X$8,MATCH(O509,Coefficients!$W$7:$W$8))</f>
        <v>1</v>
      </c>
      <c r="AU509" s="27">
        <f>INDEX(Coefficients!$X$11:$X$12,MATCH(P509,Coefficients!$W$11:$W$12))</f>
        <v>1</v>
      </c>
      <c r="AV509" s="27">
        <f>INDEX(Coefficients!$X$15:$X$17,MATCH(Q509,Coefficients!$W$15:$W$17))</f>
        <v>1</v>
      </c>
      <c r="AW509" s="27">
        <f t="shared" si="489"/>
        <v>1</v>
      </c>
      <c r="AX509" s="27">
        <f t="shared" si="490"/>
        <v>1</v>
      </c>
      <c r="AY509" s="27">
        <f t="shared" si="491"/>
        <v>1.3</v>
      </c>
      <c r="AZ509" s="35">
        <f t="shared" si="492"/>
        <v>54.670307189802422</v>
      </c>
      <c r="BA509" s="35">
        <f t="shared" si="493"/>
        <v>0</v>
      </c>
      <c r="BB509" s="35">
        <f t="shared" si="494"/>
        <v>2.8428559738697263</v>
      </c>
      <c r="BC509" s="35">
        <f t="shared" si="495"/>
        <v>1.7157144026130273</v>
      </c>
      <c r="BD509" s="35">
        <f t="shared" si="478"/>
        <v>0.36582929615823656</v>
      </c>
      <c r="BE509" s="16">
        <f t="shared" si="479"/>
        <v>190.33954144100025</v>
      </c>
      <c r="BF509" s="16">
        <f t="shared" si="480"/>
        <v>19.3209171179995</v>
      </c>
      <c r="BG509" s="25">
        <f t="shared" si="481"/>
        <v>1</v>
      </c>
      <c r="BH509" s="35">
        <f t="shared" si="482"/>
        <v>418.7469911702006</v>
      </c>
      <c r="BI509" s="35">
        <f t="shared" si="483"/>
        <v>-437.4939823404012</v>
      </c>
      <c r="BJ509" s="35">
        <f t="shared" si="484"/>
        <v>30.22225878786638</v>
      </c>
    </row>
    <row r="510" spans="2:62">
      <c r="B510" s="35" t="s">
        <v>133</v>
      </c>
      <c r="C510" s="88" t="str">
        <f>'Cooler&amp;Wetter'!$B$1</f>
        <v>MIROC-Medres</v>
      </c>
      <c r="D510" s="89">
        <v>2068</v>
      </c>
      <c r="E510" s="90">
        <f>'Cooler&amp;Wetter'!AB96</f>
        <v>35.616999999999997</v>
      </c>
      <c r="F510" s="90">
        <f>'Cooler&amp;Wetter'!AD96</f>
        <v>23.763999999999999</v>
      </c>
      <c r="G510" s="35">
        <f t="shared" si="485"/>
        <v>2005</v>
      </c>
      <c r="H510" s="91" t="str">
        <f t="shared" si="465"/>
        <v>Pile 32 @ Berth 201</v>
      </c>
      <c r="I510" s="35" t="str">
        <f t="shared" si="466"/>
        <v>Turpentine Gum</v>
      </c>
      <c r="J510" s="35" t="str">
        <f t="shared" si="467"/>
        <v>HW1</v>
      </c>
      <c r="K510" s="35" t="str">
        <f t="shared" si="486"/>
        <v>SPHU</v>
      </c>
      <c r="L510" s="35">
        <f t="shared" si="468"/>
        <v>400</v>
      </c>
      <c r="M510" s="35">
        <f t="shared" si="469"/>
        <v>20</v>
      </c>
      <c r="N510" s="35">
        <f t="shared" si="470"/>
        <v>200</v>
      </c>
      <c r="O510" s="35" t="str">
        <f t="shared" si="471"/>
        <v>MTN2</v>
      </c>
      <c r="P510" s="35" t="str">
        <f t="shared" si="472"/>
        <v>CNT2</v>
      </c>
      <c r="Q510" s="35" t="str">
        <f t="shared" si="473"/>
        <v>KNT3</v>
      </c>
      <c r="R510" s="35" t="str">
        <f t="shared" si="474"/>
        <v>E</v>
      </c>
      <c r="S510" s="35" t="str">
        <f t="shared" si="475"/>
        <v>EXP1</v>
      </c>
      <c r="T510" s="58"/>
      <c r="U510" s="58"/>
      <c r="V510" s="58"/>
      <c r="W510" s="58"/>
      <c r="X510" s="58"/>
      <c r="Y510" s="58"/>
      <c r="Z510" s="58"/>
      <c r="AA510" s="95">
        <f t="shared" si="455"/>
        <v>1</v>
      </c>
      <c r="AB510" s="96">
        <f t="shared" si="487"/>
        <v>193.93490648857778</v>
      </c>
      <c r="AC510" s="58"/>
      <c r="AD510" s="58"/>
      <c r="AE510" s="58"/>
      <c r="AF510" s="58"/>
      <c r="AG510" s="58"/>
      <c r="AH510" s="58"/>
      <c r="AI510" s="58"/>
      <c r="AJ510" s="58"/>
      <c r="AK510" s="58"/>
      <c r="AL510" s="58"/>
      <c r="AM510" s="89">
        <f t="shared" si="488"/>
        <v>63</v>
      </c>
      <c r="AN510" s="36">
        <f t="shared" si="476"/>
        <v>35.616999999999997</v>
      </c>
      <c r="AO510" s="35">
        <f t="shared" si="477"/>
        <v>2.1962138642688807</v>
      </c>
      <c r="AP510" s="35">
        <f>IF((OR(R510="A",R510="B",R510="C")),INDEX(Coefficients!$S$4:$S$22,MATCH(J510,Coefficients!$R$4:$R$22)),INDEX(Coefficients!$T$4:$T$22,MATCH(J510,Coefficients!$R$4:$R$22)))</f>
        <v>1.3</v>
      </c>
      <c r="AQ510" s="27">
        <f>IF((OR(R510="A",R510="B",R510="C")),INDEX(Coefficients!$S$4:$S$22,MATCH(K510,Coefficients!$R$4:$R$22)),INDEX(Coefficients!$T$4:$T$22,MATCH(K510,Coefficients!$R$4:$R$22)))</f>
        <v>25</v>
      </c>
      <c r="AR510" s="27">
        <f>IF(OR(R510="A",R510="B",R510="C",R510="D"),IF(AN510&gt;=11,IF(AN510&gt;=26,Coefficients!$M$6,Coefficients!$M$5),Coefficients!$M$4),IF(AN510&gt;=11,IF(AN510&gt;=26,Coefficients!$N$6,Coefficients!$N$5),Coefficients!$N$4))</f>
        <v>1</v>
      </c>
      <c r="AS510" s="27">
        <f>INDEX(Coefficients!$X$3:$X$4,MATCH(S510,Coefficients!$W$3:$W$4))</f>
        <v>1</v>
      </c>
      <c r="AT510" s="27">
        <f>INDEX(Coefficients!$X$7:$X$8,MATCH(O510,Coefficients!$W$7:$W$8))</f>
        <v>1</v>
      </c>
      <c r="AU510" s="27">
        <f>INDEX(Coefficients!$X$11:$X$12,MATCH(P510,Coefficients!$W$11:$W$12))</f>
        <v>1</v>
      </c>
      <c r="AV510" s="27">
        <f>INDEX(Coefficients!$X$15:$X$17,MATCH(Q510,Coefficients!$W$15:$W$17))</f>
        <v>1</v>
      </c>
      <c r="AW510" s="27">
        <f t="shared" si="489"/>
        <v>1</v>
      </c>
      <c r="AX510" s="27">
        <f t="shared" si="490"/>
        <v>1</v>
      </c>
      <c r="AY510" s="27">
        <f t="shared" si="491"/>
        <v>1.3</v>
      </c>
      <c r="AZ510" s="35">
        <f t="shared" si="492"/>
        <v>54.90534660672202</v>
      </c>
      <c r="BA510" s="35">
        <f t="shared" si="493"/>
        <v>0</v>
      </c>
      <c r="BB510" s="35">
        <f t="shared" si="494"/>
        <v>2.8550780235495448</v>
      </c>
      <c r="BC510" s="35">
        <f t="shared" si="495"/>
        <v>1.7144921976450456</v>
      </c>
      <c r="BD510" s="35">
        <f t="shared" si="478"/>
        <v>0.36426325004842819</v>
      </c>
      <c r="BE510" s="16">
        <f t="shared" si="479"/>
        <v>193.93490648857778</v>
      </c>
      <c r="BF510" s="16">
        <f t="shared" si="480"/>
        <v>12.130187022844439</v>
      </c>
      <c r="BG510" s="25">
        <f t="shared" si="481"/>
        <v>1</v>
      </c>
      <c r="BH510" s="35">
        <f t="shared" si="482"/>
        <v>426.65679427487117</v>
      </c>
      <c r="BI510" s="35">
        <f t="shared" si="483"/>
        <v>-453.31358854974235</v>
      </c>
      <c r="BJ510" s="35">
        <f t="shared" si="484"/>
        <v>30.099005451418719</v>
      </c>
    </row>
    <row r="511" spans="2:62">
      <c r="B511" s="35" t="s">
        <v>133</v>
      </c>
      <c r="C511" s="88" t="str">
        <f>'Cooler&amp;Wetter'!$B$1</f>
        <v>MIROC-Medres</v>
      </c>
      <c r="D511" s="89">
        <v>2069</v>
      </c>
      <c r="E511" s="90">
        <f>'Cooler&amp;Wetter'!AB97</f>
        <v>35.618499999999997</v>
      </c>
      <c r="F511" s="90">
        <f>'Cooler&amp;Wetter'!AD97</f>
        <v>23.796999999999997</v>
      </c>
      <c r="G511" s="35">
        <f t="shared" si="485"/>
        <v>2005</v>
      </c>
      <c r="H511" s="91" t="str">
        <f t="shared" si="465"/>
        <v>Pile 32 @ Berth 201</v>
      </c>
      <c r="I511" s="35" t="str">
        <f t="shared" si="466"/>
        <v>Turpentine Gum</v>
      </c>
      <c r="J511" s="35" t="str">
        <f t="shared" si="467"/>
        <v>HW1</v>
      </c>
      <c r="K511" s="35" t="str">
        <f t="shared" si="486"/>
        <v>SPHU</v>
      </c>
      <c r="L511" s="35">
        <f t="shared" si="468"/>
        <v>400</v>
      </c>
      <c r="M511" s="35">
        <f t="shared" si="469"/>
        <v>20</v>
      </c>
      <c r="N511" s="35">
        <f t="shared" si="470"/>
        <v>200</v>
      </c>
      <c r="O511" s="35" t="str">
        <f t="shared" si="471"/>
        <v>MTN2</v>
      </c>
      <c r="P511" s="35" t="str">
        <f t="shared" si="472"/>
        <v>CNT2</v>
      </c>
      <c r="Q511" s="35" t="str">
        <f t="shared" si="473"/>
        <v>KNT3</v>
      </c>
      <c r="R511" s="35" t="str">
        <f t="shared" si="474"/>
        <v>E</v>
      </c>
      <c r="S511" s="35" t="str">
        <f t="shared" si="475"/>
        <v>EXP1</v>
      </c>
      <c r="T511" s="58"/>
      <c r="U511" s="58"/>
      <c r="V511" s="58"/>
      <c r="W511" s="58"/>
      <c r="X511" s="58"/>
      <c r="Y511" s="58"/>
      <c r="Z511" s="58"/>
      <c r="AA511" s="95">
        <f t="shared" si="455"/>
        <v>1</v>
      </c>
      <c r="AB511" s="96">
        <f t="shared" si="487"/>
        <v>197.55803344784096</v>
      </c>
      <c r="AC511" s="58"/>
      <c r="AD511" s="58"/>
      <c r="AE511" s="58"/>
      <c r="AF511" s="58"/>
      <c r="AG511" s="58"/>
      <c r="AH511" s="58"/>
      <c r="AI511" s="58"/>
      <c r="AJ511" s="58"/>
      <c r="AK511" s="58"/>
      <c r="AL511" s="58"/>
      <c r="AM511" s="89">
        <f t="shared" si="488"/>
        <v>64</v>
      </c>
      <c r="AN511" s="36">
        <f t="shared" si="476"/>
        <v>35.618499999999997</v>
      </c>
      <c r="AO511" s="35">
        <f t="shared" si="477"/>
        <v>2.2056558603472327</v>
      </c>
      <c r="AP511" s="35">
        <f>IF((OR(R511="A",R511="B",R511="C")),INDEX(Coefficients!$S$4:$S$22,MATCH(J511,Coefficients!$R$4:$R$22)),INDEX(Coefficients!$T$4:$T$22,MATCH(J511,Coefficients!$R$4:$R$22)))</f>
        <v>1.3</v>
      </c>
      <c r="AQ511" s="27">
        <f>IF((OR(R511="A",R511="B",R511="C")),INDEX(Coefficients!$S$4:$S$22,MATCH(K511,Coefficients!$R$4:$R$22)),INDEX(Coefficients!$T$4:$T$22,MATCH(K511,Coefficients!$R$4:$R$22)))</f>
        <v>25</v>
      </c>
      <c r="AR511" s="27">
        <f>IF(OR(R511="A",R511="B",R511="C",R511="D"),IF(AN511&gt;=11,IF(AN511&gt;=26,Coefficients!$M$6,Coefficients!$M$5),Coefficients!$M$4),IF(AN511&gt;=11,IF(AN511&gt;=26,Coefficients!$N$6,Coefficients!$N$5),Coefficients!$N$4))</f>
        <v>1</v>
      </c>
      <c r="AS511" s="27">
        <f>INDEX(Coefficients!$X$3:$X$4,MATCH(S511,Coefficients!$W$3:$W$4))</f>
        <v>1</v>
      </c>
      <c r="AT511" s="27">
        <f>INDEX(Coefficients!$X$7:$X$8,MATCH(O511,Coefficients!$W$7:$W$8))</f>
        <v>1</v>
      </c>
      <c r="AU511" s="27">
        <f>INDEX(Coefficients!$X$11:$X$12,MATCH(P511,Coefficients!$W$11:$W$12))</f>
        <v>1</v>
      </c>
      <c r="AV511" s="27">
        <f>INDEX(Coefficients!$X$15:$X$17,MATCH(Q511,Coefficients!$W$15:$W$17))</f>
        <v>1</v>
      </c>
      <c r="AW511" s="27">
        <f t="shared" si="489"/>
        <v>1</v>
      </c>
      <c r="AX511" s="27">
        <f t="shared" si="490"/>
        <v>1</v>
      </c>
      <c r="AY511" s="27">
        <f t="shared" si="491"/>
        <v>1.3</v>
      </c>
      <c r="AZ511" s="35">
        <f t="shared" si="492"/>
        <v>55.14139650868082</v>
      </c>
      <c r="BA511" s="35">
        <f t="shared" si="493"/>
        <v>0</v>
      </c>
      <c r="BB511" s="35">
        <f t="shared" si="494"/>
        <v>2.8673526184514024</v>
      </c>
      <c r="BC511" s="35">
        <f t="shared" si="495"/>
        <v>1.7132647381548598</v>
      </c>
      <c r="BD511" s="35">
        <f t="shared" si="478"/>
        <v>0.3627039078861819</v>
      </c>
      <c r="BE511" s="16">
        <f t="shared" si="479"/>
        <v>197.55803344784096</v>
      </c>
      <c r="BF511" s="16">
        <f t="shared" si="480"/>
        <v>4.8839331043180891</v>
      </c>
      <c r="BG511" s="25">
        <f t="shared" si="481"/>
        <v>1</v>
      </c>
      <c r="BH511" s="35">
        <f t="shared" si="482"/>
        <v>434.62767358525014</v>
      </c>
      <c r="BI511" s="35">
        <f t="shared" si="483"/>
        <v>-469.25534717050027</v>
      </c>
      <c r="BJ511" s="35">
        <f t="shared" si="484"/>
        <v>29.97626925267042</v>
      </c>
    </row>
    <row r="512" spans="2:62">
      <c r="B512" s="35" t="s">
        <v>133</v>
      </c>
      <c r="C512" s="88" t="str">
        <f>'Cooler&amp;Wetter'!$B$1</f>
        <v>MIROC-Medres</v>
      </c>
      <c r="D512" s="89">
        <v>2070</v>
      </c>
      <c r="E512" s="90">
        <f>'Cooler&amp;Wetter'!AB98</f>
        <v>35.619999999999997</v>
      </c>
      <c r="F512" s="90">
        <f>'Cooler&amp;Wetter'!AD98</f>
        <v>23.83</v>
      </c>
      <c r="G512" s="35">
        <f t="shared" si="485"/>
        <v>2005</v>
      </c>
      <c r="H512" s="91" t="str">
        <f t="shared" si="465"/>
        <v>Pile 32 @ Berth 201</v>
      </c>
      <c r="I512" s="35" t="str">
        <f t="shared" si="466"/>
        <v>Turpentine Gum</v>
      </c>
      <c r="J512" s="35" t="str">
        <f t="shared" si="467"/>
        <v>HW1</v>
      </c>
      <c r="K512" s="35" t="str">
        <f t="shared" si="486"/>
        <v>SPHU</v>
      </c>
      <c r="L512" s="35">
        <f t="shared" si="468"/>
        <v>400</v>
      </c>
      <c r="M512" s="35">
        <f t="shared" si="469"/>
        <v>20</v>
      </c>
      <c r="N512" s="35">
        <f t="shared" si="470"/>
        <v>200</v>
      </c>
      <c r="O512" s="35" t="str">
        <f t="shared" si="471"/>
        <v>MTN2</v>
      </c>
      <c r="P512" s="35" t="str">
        <f t="shared" si="472"/>
        <v>CNT2</v>
      </c>
      <c r="Q512" s="35" t="str">
        <f t="shared" si="473"/>
        <v>KNT3</v>
      </c>
      <c r="R512" s="35" t="str">
        <f t="shared" si="474"/>
        <v>E</v>
      </c>
      <c r="S512" s="35" t="str">
        <f t="shared" si="475"/>
        <v>EXP1</v>
      </c>
      <c r="T512" s="58"/>
      <c r="U512" s="58"/>
      <c r="V512" s="58"/>
      <c r="W512" s="58"/>
      <c r="X512" s="58"/>
      <c r="Y512" s="58"/>
      <c r="Z512" s="58"/>
      <c r="AA512" s="95">
        <f t="shared" si="455"/>
        <v>1</v>
      </c>
      <c r="AB512" s="96">
        <f t="shared" si="487"/>
        <v>201.20909470344751</v>
      </c>
      <c r="AC512" s="58"/>
      <c r="AD512" s="58"/>
      <c r="AE512" s="58"/>
      <c r="AF512" s="58"/>
      <c r="AG512" s="58"/>
      <c r="AH512" s="58"/>
      <c r="AI512" s="58"/>
      <c r="AJ512" s="58"/>
      <c r="AK512" s="58"/>
      <c r="AL512" s="58"/>
      <c r="AM512" s="89">
        <f t="shared" si="488"/>
        <v>65</v>
      </c>
      <c r="AN512" s="36">
        <f t="shared" si="476"/>
        <v>35.619999999999997</v>
      </c>
      <c r="AO512" s="35">
        <f t="shared" si="477"/>
        <v>2.2151384495988626</v>
      </c>
      <c r="AP512" s="35">
        <f>IF((OR(R512="A",R512="B",R512="C")),INDEX(Coefficients!$S$4:$S$22,MATCH(J512,Coefficients!$R$4:$R$22)),INDEX(Coefficients!$T$4:$T$22,MATCH(J512,Coefficients!$R$4:$R$22)))</f>
        <v>1.3</v>
      </c>
      <c r="AQ512" s="27">
        <f>IF((OR(R512="A",R512="B",R512="C")),INDEX(Coefficients!$S$4:$S$22,MATCH(K512,Coefficients!$R$4:$R$22)),INDEX(Coefficients!$T$4:$T$22,MATCH(K512,Coefficients!$R$4:$R$22)))</f>
        <v>25</v>
      </c>
      <c r="AR512" s="27">
        <f>IF(OR(R512="A",R512="B",R512="C",R512="D"),IF(AN512&gt;=11,IF(AN512&gt;=26,Coefficients!$M$6,Coefficients!$M$5),Coefficients!$M$4),IF(AN512&gt;=11,IF(AN512&gt;=26,Coefficients!$N$6,Coefficients!$N$5),Coefficients!$N$4))</f>
        <v>1</v>
      </c>
      <c r="AS512" s="27">
        <f>INDEX(Coefficients!$X$3:$X$4,MATCH(S512,Coefficients!$W$3:$W$4))</f>
        <v>1</v>
      </c>
      <c r="AT512" s="27">
        <f>INDEX(Coefficients!$X$7:$X$8,MATCH(O512,Coefficients!$W$7:$W$8))</f>
        <v>1</v>
      </c>
      <c r="AU512" s="27">
        <f>INDEX(Coefficients!$X$11:$X$12,MATCH(P512,Coefficients!$W$11:$W$12))</f>
        <v>1</v>
      </c>
      <c r="AV512" s="27">
        <f>INDEX(Coefficients!$X$15:$X$17,MATCH(Q512,Coefficients!$W$15:$W$17))</f>
        <v>1</v>
      </c>
      <c r="AW512" s="27">
        <f t="shared" si="489"/>
        <v>1</v>
      </c>
      <c r="AX512" s="27">
        <f t="shared" si="490"/>
        <v>1</v>
      </c>
      <c r="AY512" s="27">
        <f t="shared" si="491"/>
        <v>1.3</v>
      </c>
      <c r="AZ512" s="35">
        <f t="shared" si="492"/>
        <v>55.378461239971564</v>
      </c>
      <c r="BA512" s="35">
        <f t="shared" si="493"/>
        <v>0</v>
      </c>
      <c r="BB512" s="35">
        <f t="shared" si="494"/>
        <v>2.8796799844785217</v>
      </c>
      <c r="BC512" s="35">
        <f t="shared" si="495"/>
        <v>1.7120320015521477</v>
      </c>
      <c r="BD512" s="35">
        <f t="shared" si="478"/>
        <v>0.36115124097316414</v>
      </c>
      <c r="BE512" s="16">
        <f t="shared" si="479"/>
        <v>201.20909470344751</v>
      </c>
      <c r="BF512" s="16">
        <f t="shared" si="480"/>
        <v>-2.4181894068950101</v>
      </c>
      <c r="BG512" s="25">
        <f t="shared" si="481"/>
        <v>1</v>
      </c>
      <c r="BH512" s="35">
        <f t="shared" si="482"/>
        <v>442.66000834758455</v>
      </c>
      <c r="BI512" s="35">
        <f t="shared" si="483"/>
        <v>-485.3200166951691</v>
      </c>
      <c r="BJ512" s="35">
        <f t="shared" si="484"/>
        <v>29.854047932768704</v>
      </c>
    </row>
    <row r="513" s="86" customFormat="1"/>
  </sheetData>
  <printOptions headings="1" gridLines="1"/>
  <pageMargins left="0.70866141732283472" right="0.70866141732283472" top="0.74803149606299213" bottom="0.74803149606299213" header="0.31496062992125984" footer="0.31496062992125984"/>
  <pageSetup paperSize="8" scale="10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Baseline</vt:lpstr>
      <vt:lpstr>MostLikely</vt:lpstr>
      <vt:lpstr>Hotter&amp;Drier</vt:lpstr>
      <vt:lpstr>Cooler&amp;Wetter</vt:lpstr>
      <vt:lpstr>Coefficients</vt:lpstr>
      <vt:lpstr>InputData</vt:lpstr>
      <vt:lpstr>Mastersheet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indika.karunaratna</cp:lastModifiedBy>
  <cp:lastPrinted>2012-10-02T06:45:15Z</cp:lastPrinted>
  <dcterms:created xsi:type="dcterms:W3CDTF">2012-05-13T18:53:18Z</dcterms:created>
  <dcterms:modified xsi:type="dcterms:W3CDTF">2012-12-03T09:28:38Z</dcterms:modified>
</cp:coreProperties>
</file>